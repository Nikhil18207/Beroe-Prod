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beroeinc.sharepoint.com/sites/Kearney-Beroe_project/Shared Documents/01_Data sharing (Kearney-to-Beroe)/"/>
    </mc:Choice>
  </mc:AlternateContent>
  <xr:revisionPtr revIDLastSave="6020" documentId="11_F25DC773A252ABDACC104820795D78925ADE58F3" xr6:coauthVersionLast="47" xr6:coauthVersionMax="47" xr10:uidLastSave="{F1882887-2470-47D4-938D-445093521617}"/>
  <bookViews>
    <workbookView xWindow="-110" yWindow="-110" windowWidth="19420" windowHeight="10300" tabRatio="778" firstSheet="4" activeTab="5" xr2:uid="{00000000-000D-0000-FFFF-FFFF00000000}"/>
  </bookViews>
  <sheets>
    <sheet name="Maturity assessment" sheetId="2" state="hidden" r:id="rId1"/>
    <sheet name="V1" sheetId="1" state="hidden" r:id="rId2"/>
    <sheet name="Sheet2" sheetId="33" state="hidden" r:id="rId3"/>
    <sheet name="1_Value &amp; risk levers" sheetId="13" state="hidden" r:id="rId4"/>
    <sheet name="Sheet5" sheetId="43" r:id="rId5"/>
    <sheet name="2_Methodology (Value)" sheetId="5" r:id="rId6"/>
    <sheet name="3_Risk profile" sheetId="31" state="hidden" r:id="rId7"/>
    <sheet name="3_Risk profile_v2" sheetId="41" r:id="rId8"/>
    <sheet name="Sheet8" sheetId="39" state="hidden" r:id="rId9"/>
    <sheet name="Risk profile - example" sheetId="38" r:id="rId10"/>
    <sheet name="Sheet6" sheetId="36" state="hidden" r:id="rId11"/>
    <sheet name="Sheet4" sheetId="34" state="hidden" r:id="rId12"/>
    <sheet name="3_Methodology (Risk)_old" sheetId="25" state="hidden" r:id="rId13"/>
    <sheet name="Test 2 - Risk impact flag" sheetId="30" state="hidden" r:id="rId14"/>
    <sheet name="Reference-Proof pt impact flag" sheetId="29" r:id="rId15"/>
    <sheet name="Test 2 -Proof points - Sonnet" sheetId="27" state="hidden" r:id="rId16"/>
    <sheet name="Sheet3" sheetId="28" state="hidden" r:id="rId17"/>
    <sheet name="Test" sheetId="9" state="hidden" r:id="rId18"/>
    <sheet name="gpt5_1" sheetId="21" state="hidden" r:id="rId19"/>
    <sheet name="Gemini pro_2" sheetId="20" state="hidden" r:id="rId20"/>
    <sheet name="Gemini pro_1" sheetId="18" state="hidden" r:id="rId21"/>
    <sheet name="gpt5 iteration2" sheetId="19" state="hidden" r:id="rId22"/>
    <sheet name="Test 2 - Proof points - GPT5" sheetId="26" r:id="rId23"/>
    <sheet name="Sheet1" sheetId="42" r:id="rId24"/>
    <sheet name="Sheet7" sheetId="44" r:id="rId25"/>
  </sheets>
  <externalReferences>
    <externalReference r:id="rId26"/>
    <externalReference r:id="rId27"/>
    <externalReference r:id="rId28"/>
    <externalReference r:id="rId29"/>
  </externalReferences>
  <definedNames>
    <definedName name="_xlnm._FilterDatabase" localSheetId="3" hidden="1">'1_Value &amp; risk levers'!$B$8:$U$27</definedName>
    <definedName name="_xlnm._FilterDatabase" localSheetId="5" hidden="1">'2_Methodology (Value)'!$A$2:$CA$289</definedName>
    <definedName name="_xlnm._FilterDatabase" localSheetId="12" hidden="1">'3_Methodology (Risk)_old'!$B$2:$R$2</definedName>
    <definedName name="_xlnm._FilterDatabase" localSheetId="6" hidden="1">'3_Risk profile'!$A$2:$AS$24</definedName>
    <definedName name="_xlnm._FilterDatabase" localSheetId="7" hidden="1">'3_Risk profile_v2'!$A$2:$AP$24</definedName>
    <definedName name="_xlnm._FilterDatabase" localSheetId="19" hidden="1">'Gemini pro_2'!$A$1:$AI$34</definedName>
    <definedName name="_xlnm._FilterDatabase" localSheetId="0" hidden="1">'Maturity assessment'!$A$8:$R$235</definedName>
    <definedName name="_xlnm._FilterDatabase" localSheetId="14" hidden="1">'Reference-Proof pt impact flag'!$A$2:$I$55</definedName>
    <definedName name="_xlnm._FilterDatabase" localSheetId="16" hidden="1">Sheet3!$A$1:$B$57</definedName>
    <definedName name="_xlnm._FilterDatabase" localSheetId="13" hidden="1">'Test 2 - Risk impact flag'!$A$1:$X$1</definedName>
    <definedName name="_xlnm._FilterDatabase" localSheetId="15" hidden="1">'Test 2 -Proof points - Sonnet'!$A$1:$AB$54</definedName>
    <definedName name="_xlnm._FilterDatabase" localSheetId="1" hidden="1">'V1'!$A$2:$H$14</definedName>
    <definedName name="Abos_1" localSheetId="3">#REF!</definedName>
    <definedName name="Abos_1" localSheetId="0">#REF!</definedName>
    <definedName name="Abos_1">#REF!</definedName>
    <definedName name="Abos_10" localSheetId="3">#REF!</definedName>
    <definedName name="Abos_10" localSheetId="0">#REF!</definedName>
    <definedName name="Abos_10">#REF!</definedName>
    <definedName name="Abos_2" localSheetId="3">#REF!</definedName>
    <definedName name="Abos_2" localSheetId="0">#REF!</definedName>
    <definedName name="Abos_2">#REF!</definedName>
    <definedName name="Abos_3" localSheetId="3">#REF!</definedName>
    <definedName name="Abos_3" localSheetId="0">#REF!</definedName>
    <definedName name="Abos_3">#REF!</definedName>
    <definedName name="Abos_4" localSheetId="3">#REF!</definedName>
    <definedName name="Abos_4" localSheetId="0">#REF!</definedName>
    <definedName name="Abos_4">#REF!</definedName>
    <definedName name="Abos_5" localSheetId="3">#REF!</definedName>
    <definedName name="Abos_5" localSheetId="0">#REF!</definedName>
    <definedName name="Abos_5">#REF!</definedName>
    <definedName name="Abos_6" localSheetId="3">#REF!</definedName>
    <definedName name="Abos_6" localSheetId="0">#REF!</definedName>
    <definedName name="Abos_6">#REF!</definedName>
    <definedName name="Abos_7" localSheetId="3">#REF!</definedName>
    <definedName name="Abos_7" localSheetId="0">#REF!</definedName>
    <definedName name="Abos_7">#REF!</definedName>
    <definedName name="Abos_8" localSheetId="3">#REF!</definedName>
    <definedName name="Abos_8" localSheetId="0">#REF!</definedName>
    <definedName name="Abos_8">#REF!</definedName>
    <definedName name="Abos_9" localSheetId="3">#REF!</definedName>
    <definedName name="Abos_9" localSheetId="0">#REF!</definedName>
    <definedName name="Abos_9">#REF!</definedName>
    <definedName name="Aufwand" localSheetId="3">'[1]Drop Downs - Do not delete!'!$E$4:$E$7</definedName>
    <definedName name="Aufwand" localSheetId="0">'[1]Drop Downs - Do not delete!'!$E$4:$E$7</definedName>
    <definedName name="Aufwand">'[2]Drop Downs - Do not delete!'!$E$4:$E$7</definedName>
    <definedName name="Beratung_1" localSheetId="3">#REF!</definedName>
    <definedName name="Beratung_1" localSheetId="0">#REF!</definedName>
    <definedName name="Beratung_1">#REF!</definedName>
    <definedName name="Beratung_10" localSheetId="3">#REF!</definedName>
    <definedName name="Beratung_10" localSheetId="0">#REF!</definedName>
    <definedName name="Beratung_10">#REF!</definedName>
    <definedName name="Beratung_2" localSheetId="3">#REF!</definedName>
    <definedName name="Beratung_2" localSheetId="0">#REF!</definedName>
    <definedName name="Beratung_2">#REF!</definedName>
    <definedName name="Beratung_3" localSheetId="3">#REF!</definedName>
    <definedName name="Beratung_3" localSheetId="0">#REF!</definedName>
    <definedName name="Beratung_3">#REF!</definedName>
    <definedName name="Beratung_4" localSheetId="3">#REF!</definedName>
    <definedName name="Beratung_4" localSheetId="0">#REF!</definedName>
    <definedName name="Beratung_4">#REF!</definedName>
    <definedName name="Beratung_5" localSheetId="3">#REF!</definedName>
    <definedName name="Beratung_5" localSheetId="0">#REF!</definedName>
    <definedName name="Beratung_5">#REF!</definedName>
    <definedName name="Beratung_6" localSheetId="3">#REF!</definedName>
    <definedName name="Beratung_6" localSheetId="0">#REF!</definedName>
    <definedName name="Beratung_6">#REF!</definedName>
    <definedName name="Beratung_7" localSheetId="3">#REF!</definedName>
    <definedName name="Beratung_7" localSheetId="0">#REF!</definedName>
    <definedName name="Beratung_7">#REF!</definedName>
    <definedName name="Beratung_8" localSheetId="3">#REF!</definedName>
    <definedName name="Beratung_8" localSheetId="0">#REF!</definedName>
    <definedName name="Beratung_8">#REF!</definedName>
    <definedName name="Beratung_9" localSheetId="3">#REF!</definedName>
    <definedName name="Beratung_9" localSheetId="0">#REF!</definedName>
    <definedName name="Beratung_9">#REF!</definedName>
    <definedName name="BI_1">[3]BI!$CB$21:$CB$26</definedName>
    <definedName name="BI_2">[3]BI!$CC$21:$CC$26</definedName>
    <definedName name="BI_3">[3]BI!$CD$21:$CD$26</definedName>
    <definedName name="BI_4">[3]BI!$CE$21:$CE$26</definedName>
    <definedName name="BI_5">[3]BI!$CF$21:$CF$26</definedName>
    <definedName name="Büro_1" localSheetId="3">#REF!</definedName>
    <definedName name="Büro_1" localSheetId="0">#REF!</definedName>
    <definedName name="Büro_1">#REF!</definedName>
    <definedName name="Büro_10" localSheetId="3">#REF!</definedName>
    <definedName name="Büro_10" localSheetId="0">#REF!</definedName>
    <definedName name="Büro_10">#REF!</definedName>
    <definedName name="Büro_2" localSheetId="3">#REF!</definedName>
    <definedName name="Büro_2" localSheetId="0">#REF!</definedName>
    <definedName name="Büro_2">#REF!</definedName>
    <definedName name="Büro_3" localSheetId="3">#REF!</definedName>
    <definedName name="Büro_3" localSheetId="0">#REF!</definedName>
    <definedName name="Büro_3">#REF!</definedName>
    <definedName name="Büro_4" localSheetId="3">#REF!</definedName>
    <definedName name="Büro_4" localSheetId="0">#REF!</definedName>
    <definedName name="Büro_4">#REF!</definedName>
    <definedName name="Büro_5" localSheetId="3">#REF!</definedName>
    <definedName name="Büro_5" localSheetId="0">#REF!</definedName>
    <definedName name="Büro_5">#REF!</definedName>
    <definedName name="Büro_6" localSheetId="3">#REF!</definedName>
    <definedName name="Büro_6" localSheetId="0">#REF!</definedName>
    <definedName name="Büro_6">#REF!</definedName>
    <definedName name="Büro_7" localSheetId="3">#REF!</definedName>
    <definedName name="Büro_7" localSheetId="0">#REF!</definedName>
    <definedName name="Büro_7">#REF!</definedName>
    <definedName name="Büro_8" localSheetId="3">#REF!</definedName>
    <definedName name="Büro_8" localSheetId="0">#REF!</definedName>
    <definedName name="Büro_8">#REF!</definedName>
    <definedName name="Büro_9" localSheetId="3">#REF!</definedName>
    <definedName name="Büro_9" localSheetId="0">#REF!</definedName>
    <definedName name="Büro_9">#REF!</definedName>
    <definedName name="Catalog_1" localSheetId="3">#REF!</definedName>
    <definedName name="Catalog_1" localSheetId="0">#REF!</definedName>
    <definedName name="Catalog_1">#REF!</definedName>
    <definedName name="Catalog_10" localSheetId="3">#REF!</definedName>
    <definedName name="Catalog_10" localSheetId="0">#REF!</definedName>
    <definedName name="Catalog_10">#REF!</definedName>
    <definedName name="Catalog_2" localSheetId="3">#REF!</definedName>
    <definedName name="Catalog_2" localSheetId="0">#REF!</definedName>
    <definedName name="Catalog_2">#REF!</definedName>
    <definedName name="Catalog_3" localSheetId="3">#REF!</definedName>
    <definedName name="Catalog_3" localSheetId="0">#REF!</definedName>
    <definedName name="Catalog_3">#REF!</definedName>
    <definedName name="Catalog_4" localSheetId="3">#REF!</definedName>
    <definedName name="Catalog_4" localSheetId="0">#REF!</definedName>
    <definedName name="Catalog_4">#REF!</definedName>
    <definedName name="Catalog_5" localSheetId="3">#REF!</definedName>
    <definedName name="Catalog_5" localSheetId="0">#REF!</definedName>
    <definedName name="Catalog_5">#REF!</definedName>
    <definedName name="Catalog_6" localSheetId="3">#REF!</definedName>
    <definedName name="Catalog_6" localSheetId="0">#REF!</definedName>
    <definedName name="Catalog_6">#REF!</definedName>
    <definedName name="Catalog_7" localSheetId="3">#REF!</definedName>
    <definedName name="Catalog_7" localSheetId="0">#REF!</definedName>
    <definedName name="Catalog_7">#REF!</definedName>
    <definedName name="Catalog_8" localSheetId="3">#REF!</definedName>
    <definedName name="Catalog_8" localSheetId="0">#REF!</definedName>
    <definedName name="Catalog_8">#REF!</definedName>
    <definedName name="Catalog_9" localSheetId="3">#REF!</definedName>
    <definedName name="Catalog_9" localSheetId="0">#REF!</definedName>
    <definedName name="Catalog_9">#REF!</definedName>
    <definedName name="Cater_1" localSheetId="3">#REF!</definedName>
    <definedName name="Cater_1" localSheetId="0">#REF!</definedName>
    <definedName name="Cater_1">#REF!</definedName>
    <definedName name="Cater_10" localSheetId="3">#REF!</definedName>
    <definedName name="Cater_10" localSheetId="0">#REF!</definedName>
    <definedName name="Cater_10">#REF!</definedName>
    <definedName name="Cater_2" localSheetId="3">#REF!</definedName>
    <definedName name="Cater_2" localSheetId="0">#REF!</definedName>
    <definedName name="Cater_2">#REF!</definedName>
    <definedName name="Cater_3" localSheetId="3">#REF!</definedName>
    <definedName name="Cater_3" localSheetId="0">#REF!</definedName>
    <definedName name="Cater_3">#REF!</definedName>
    <definedName name="Cater_4" localSheetId="3">#REF!</definedName>
    <definedName name="Cater_4" localSheetId="0">#REF!</definedName>
    <definedName name="Cater_4">#REF!</definedName>
    <definedName name="Cater_5" localSheetId="3">#REF!</definedName>
    <definedName name="Cater_5" localSheetId="0">#REF!</definedName>
    <definedName name="Cater_5">#REF!</definedName>
    <definedName name="Cater_6" localSheetId="3">#REF!</definedName>
    <definedName name="Cater_6" localSheetId="0">#REF!</definedName>
    <definedName name="Cater_6">#REF!</definedName>
    <definedName name="Cater_7" localSheetId="3">#REF!</definedName>
    <definedName name="Cater_7" localSheetId="0">#REF!</definedName>
    <definedName name="Cater_7">#REF!</definedName>
    <definedName name="Cater_8" localSheetId="3">#REF!</definedName>
    <definedName name="Cater_8" localSheetId="0">#REF!</definedName>
    <definedName name="Cater_8">#REF!</definedName>
    <definedName name="Cater_9" localSheetId="3">#REF!</definedName>
    <definedName name="Cater_9" localSheetId="0">#REF!</definedName>
    <definedName name="Cater_9">#REF!</definedName>
    <definedName name="Currency">[3]Admin!$O$12</definedName>
    <definedName name="Dauer" localSheetId="3">'[1]Drop Downs - Do not delete!'!$G$4:$G$6</definedName>
    <definedName name="Dauer" localSheetId="0">'[1]Drop Downs - Do not delete!'!$G$4:$G$6</definedName>
    <definedName name="Dauer">'[2]Drop Downs - Do not delete!'!$G$4:$G$6</definedName>
    <definedName name="HC_1">[4]HC!$CB$21:$CB$26</definedName>
    <definedName name="HC_2">[4]HC!$CC$21:$CC$26</definedName>
    <definedName name="HC_3">[4]HC!$CD$21:$CD$26</definedName>
    <definedName name="HC_4">[4]HC!$CE$21:$CE$26</definedName>
    <definedName name="HC_5">[4]HC!$CF$21:$CF$26</definedName>
    <definedName name="Language" localSheetId="3">'[1]Drop Downs - Do not delete!'!$N$4:$N$13</definedName>
    <definedName name="Language" localSheetId="0">'[1]Drop Downs - Do not delete!'!$N$4:$N$13</definedName>
    <definedName name="Language">'[2]Drop Downs - Do not delete!'!$N$4:$N$13</definedName>
    <definedName name="Lever">[3]DropDown!$N$5:$N$9</definedName>
    <definedName name="MC_1">[3]MC!$CB$21:$CB$26</definedName>
    <definedName name="MC_2">[3]MC!$CC$21:$CC$26</definedName>
    <definedName name="MC_3">[3]MC!$CD$21:$CD$26</definedName>
    <definedName name="MC_4">[3]MC!$CE$21:$CE$26</definedName>
    <definedName name="MC_5">[3]MC!$CF$21:$CF$26</definedName>
    <definedName name="P_1" localSheetId="3">#REF!</definedName>
    <definedName name="P_1" localSheetId="0">#REF!</definedName>
    <definedName name="P_1">#REF!</definedName>
    <definedName name="P_10" localSheetId="3">#REF!</definedName>
    <definedName name="P_10" localSheetId="0">#REF!</definedName>
    <definedName name="P_10">#REF!</definedName>
    <definedName name="P_2" localSheetId="3">#REF!</definedName>
    <definedName name="P_2" localSheetId="0">#REF!</definedName>
    <definedName name="P_2">#REF!</definedName>
    <definedName name="P_3" localSheetId="3">#REF!</definedName>
    <definedName name="P_3" localSheetId="0">#REF!</definedName>
    <definedName name="P_3">#REF!</definedName>
    <definedName name="P_4" localSheetId="3">#REF!</definedName>
    <definedName name="P_4" localSheetId="0">#REF!</definedName>
    <definedName name="P_4">#REF!</definedName>
    <definedName name="P_5" localSheetId="3">#REF!</definedName>
    <definedName name="P_5" localSheetId="0">#REF!</definedName>
    <definedName name="P_5">#REF!</definedName>
    <definedName name="P_6" localSheetId="3">#REF!</definedName>
    <definedName name="P_6" localSheetId="0">#REF!</definedName>
    <definedName name="P_6">#REF!</definedName>
    <definedName name="P_7" localSheetId="3">#REF!</definedName>
    <definedName name="P_7" localSheetId="0">#REF!</definedName>
    <definedName name="P_7">#REF!</definedName>
    <definedName name="P_8" localSheetId="3">#REF!</definedName>
    <definedName name="P_8" localSheetId="0">#REF!</definedName>
    <definedName name="P_8">#REF!</definedName>
    <definedName name="P_9" localSheetId="3">#REF!</definedName>
    <definedName name="P_9" localSheetId="0">#REF!</definedName>
    <definedName name="P_9">#REF!</definedName>
    <definedName name="RV_1" localSheetId="3">#REF!</definedName>
    <definedName name="RV_1" localSheetId="0">#REF!</definedName>
    <definedName name="RV_1">#REF!</definedName>
    <definedName name="RV_10" localSheetId="3">#REF!</definedName>
    <definedName name="RV_10" localSheetId="0">#REF!</definedName>
    <definedName name="RV_10">#REF!</definedName>
    <definedName name="RV_2" localSheetId="3">#REF!</definedName>
    <definedName name="RV_2" localSheetId="0">#REF!</definedName>
    <definedName name="RV_2">#REF!</definedName>
    <definedName name="RV_3" localSheetId="3">#REF!</definedName>
    <definedName name="RV_3" localSheetId="0">#REF!</definedName>
    <definedName name="RV_3">#REF!</definedName>
    <definedName name="RV_4" localSheetId="3">#REF!</definedName>
    <definedName name="RV_4" localSheetId="0">#REF!</definedName>
    <definedName name="RV_4">#REF!</definedName>
    <definedName name="RV_5" localSheetId="3">#REF!</definedName>
    <definedName name="RV_5" localSheetId="0">#REF!</definedName>
    <definedName name="RV_5">#REF!</definedName>
    <definedName name="RV_6" localSheetId="3">#REF!</definedName>
    <definedName name="RV_6" localSheetId="0">#REF!</definedName>
    <definedName name="RV_6">#REF!</definedName>
    <definedName name="RV_7" localSheetId="3">#REF!</definedName>
    <definedName name="RV_7" localSheetId="0">#REF!</definedName>
    <definedName name="RV_7">#REF!</definedName>
    <definedName name="RV_8" localSheetId="3">#REF!</definedName>
    <definedName name="RV_8" localSheetId="0">#REF!</definedName>
    <definedName name="RV_8">#REF!</definedName>
    <definedName name="RV_9" localSheetId="3">#REF!</definedName>
    <definedName name="RV_9" localSheetId="0">#REF!</definedName>
    <definedName name="RV_9">#REF!</definedName>
    <definedName name="Supplier_1">[3]DropDown!$G$4:$G$9</definedName>
    <definedName name="Supplier_2">[3]DropDown!$H$4:$H$9</definedName>
    <definedName name="Supplier_3">[3]DropDown!$I$4:$I$9</definedName>
    <definedName name="Supplier_4">[3]DropDown!$J$4:$J$9</definedName>
    <definedName name="Supplier_5">[3]DropDown!$K$4:$K$9</definedName>
    <definedName name="Supplier_ALL">[3]DropDown!$L$4:$L$29</definedName>
    <definedName name="TK_1" localSheetId="3">#REF!</definedName>
    <definedName name="TK_1" localSheetId="0">#REF!</definedName>
    <definedName name="TK_1">#REF!</definedName>
    <definedName name="TK_10" localSheetId="3">#REF!</definedName>
    <definedName name="TK_10" localSheetId="0">#REF!</definedName>
    <definedName name="TK_10">#REF!</definedName>
    <definedName name="TK_2" localSheetId="3">#REF!</definedName>
    <definedName name="TK_2" localSheetId="0">#REF!</definedName>
    <definedName name="TK_2">#REF!</definedName>
    <definedName name="TK_3" localSheetId="3">#REF!</definedName>
    <definedName name="TK_3" localSheetId="0">#REF!</definedName>
    <definedName name="TK_3">#REF!</definedName>
    <definedName name="TK_4" localSheetId="3">#REF!</definedName>
    <definedName name="TK_4" localSheetId="0">#REF!</definedName>
    <definedName name="TK_4">#REF!</definedName>
    <definedName name="TK_5" localSheetId="3">#REF!</definedName>
    <definedName name="TK_5" localSheetId="0">#REF!</definedName>
    <definedName name="TK_5">#REF!</definedName>
    <definedName name="TK_6" localSheetId="3">#REF!</definedName>
    <definedName name="TK_6" localSheetId="0">#REF!</definedName>
    <definedName name="TK_6">#REF!</definedName>
    <definedName name="TK_7" localSheetId="3">#REF!</definedName>
    <definedName name="TK_7" localSheetId="0">#REF!</definedName>
    <definedName name="TK_7">#REF!</definedName>
    <definedName name="TK_8" localSheetId="3">#REF!</definedName>
    <definedName name="TK_8" localSheetId="0">#REF!</definedName>
    <definedName name="TK_8">#REF!</definedName>
    <definedName name="TK_9" localSheetId="3">#REF!</definedName>
    <definedName name="TK_9" localSheetId="0">#REF!</definedName>
    <definedName name="TK_9">#REF!</definedName>
    <definedName name="Travel_1" localSheetId="3">#REF!</definedName>
    <definedName name="Travel_1" localSheetId="0">#REF!</definedName>
    <definedName name="Travel_1">#REF!</definedName>
    <definedName name="Travel_10" localSheetId="3">#REF!</definedName>
    <definedName name="Travel_10" localSheetId="0">#REF!</definedName>
    <definedName name="Travel_10">#REF!</definedName>
    <definedName name="Travel_2" localSheetId="3">#REF!</definedName>
    <definedName name="Travel_2" localSheetId="0">#REF!</definedName>
    <definedName name="Travel_2">#REF!</definedName>
    <definedName name="Travel_3" localSheetId="3">#REF!</definedName>
    <definedName name="Travel_3" localSheetId="0">#REF!</definedName>
    <definedName name="Travel_3">#REF!</definedName>
    <definedName name="Travel_4" localSheetId="3">#REF!</definedName>
    <definedName name="Travel_4" localSheetId="0">#REF!</definedName>
    <definedName name="Travel_4">#REF!</definedName>
    <definedName name="Travel_5" localSheetId="3">#REF!</definedName>
    <definedName name="Travel_5" localSheetId="0">#REF!</definedName>
    <definedName name="Travel_5">#REF!</definedName>
    <definedName name="Travel_6" localSheetId="3">#REF!</definedName>
    <definedName name="Travel_6" localSheetId="0">#REF!</definedName>
    <definedName name="Travel_6">#REF!</definedName>
    <definedName name="Travel_7" localSheetId="3">#REF!</definedName>
    <definedName name="Travel_7" localSheetId="0">#REF!</definedName>
    <definedName name="Travel_7">#REF!</definedName>
    <definedName name="Travel_8" localSheetId="3">#REF!</definedName>
    <definedName name="Travel_8" localSheetId="0">#REF!</definedName>
    <definedName name="Travel_8">#REF!</definedName>
    <definedName name="Travel_9" localSheetId="3">#REF!</definedName>
    <definedName name="Travel_9" localSheetId="0">#REF!</definedName>
    <definedName name="Travel_9">#REF!</definedName>
    <definedName name="Währung" localSheetId="3">[1]Toolbox1!$O$14</definedName>
    <definedName name="Währung" localSheetId="0">[1]Toolbox1!$O$14</definedName>
    <definedName name="Währung">[2]Toolbox1!$O$14</definedName>
    <definedName name="Währungsdef" localSheetId="3">'[1]Drop Downs - Do not delete!'!$B$4:$B$17</definedName>
    <definedName name="Währungsdef" localSheetId="0">'[1]Drop Downs - Do not delete!'!$B$4:$B$17</definedName>
    <definedName name="Währungsdef">'[2]Drop Downs - Do not delete!'!$B$4:$B$17</definedName>
    <definedName name="Währungsdefinition">[3]DropDown!$B$5:$B$20</definedName>
    <definedName name="ZB_1" localSheetId="3">#REF!</definedName>
    <definedName name="ZB_1" localSheetId="0">#REF!</definedName>
    <definedName name="ZB_1">#REF!</definedName>
    <definedName name="ZB_10" localSheetId="3">#REF!</definedName>
    <definedName name="ZB_10" localSheetId="0">#REF!</definedName>
    <definedName name="ZB_10">#REF!</definedName>
    <definedName name="ZB_2" localSheetId="3">#REF!</definedName>
    <definedName name="ZB_2" localSheetId="0">#REF!</definedName>
    <definedName name="ZB_2">#REF!</definedName>
    <definedName name="ZB_3" localSheetId="3">#REF!</definedName>
    <definedName name="ZB_3" localSheetId="0">#REF!</definedName>
    <definedName name="ZB_3">#REF!</definedName>
    <definedName name="ZB_4" localSheetId="3">#REF!</definedName>
    <definedName name="ZB_4" localSheetId="0">#REF!</definedName>
    <definedName name="ZB_4">#REF!</definedName>
    <definedName name="ZB_5" localSheetId="3">#REF!</definedName>
    <definedName name="ZB_5" localSheetId="0">#REF!</definedName>
    <definedName name="ZB_5">#REF!</definedName>
    <definedName name="ZB_6" localSheetId="3">#REF!</definedName>
    <definedName name="ZB_6" localSheetId="0">#REF!</definedName>
    <definedName name="ZB_6">#REF!</definedName>
    <definedName name="ZB_7" localSheetId="3">#REF!</definedName>
    <definedName name="ZB_7" localSheetId="0">#REF!</definedName>
    <definedName name="ZB_7">#REF!</definedName>
    <definedName name="ZB_8" localSheetId="3">#REF!</definedName>
    <definedName name="ZB_8" localSheetId="0">#REF!</definedName>
    <definedName name="ZB_8">#REF!</definedName>
    <definedName name="ZB_9" localSheetId="3">#REF!</definedName>
    <definedName name="ZB_9" localSheetId="0">#REF!</definedName>
    <definedName name="ZB_9">#REF!</definedName>
  </definedNames>
  <calcPr calcId="191028"/>
  <pivotCaches>
    <pivotCache cacheId="2" r:id="rId30"/>
    <pivotCache cacheId="3" r:id="rId3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1" i="41" l="1"/>
  <c r="AC12" i="41"/>
  <c r="AC13" i="41"/>
  <c r="M11" i="41"/>
  <c r="N11" i="41"/>
  <c r="O11" i="41"/>
  <c r="P11" i="41"/>
  <c r="Q11" i="41"/>
  <c r="AF11" i="41"/>
  <c r="AG11" i="41"/>
  <c r="Q12" i="41"/>
  <c r="Q13" i="41"/>
  <c r="AC18" i="41" l="1"/>
  <c r="AC15" i="41"/>
  <c r="AC14" i="41"/>
  <c r="Q14" i="41"/>
  <c r="AG10" i="41"/>
  <c r="AF10" i="41"/>
  <c r="AC10" i="41"/>
  <c r="Q10" i="41"/>
  <c r="P10" i="41"/>
  <c r="O10" i="41"/>
  <c r="N10" i="41"/>
  <c r="M10" i="41"/>
  <c r="AG9" i="41"/>
  <c r="AF9" i="41"/>
  <c r="AC9" i="41"/>
  <c r="Q9" i="41"/>
  <c r="P9" i="41"/>
  <c r="O9" i="41"/>
  <c r="N9" i="41"/>
  <c r="M9" i="41"/>
  <c r="AG8" i="41"/>
  <c r="AF8" i="41"/>
  <c r="AC8" i="41"/>
  <c r="Q8" i="41"/>
  <c r="P8" i="41"/>
  <c r="O8" i="41"/>
  <c r="N8" i="41"/>
  <c r="M8" i="41"/>
  <c r="AG7" i="41"/>
  <c r="AF7" i="41"/>
  <c r="AC7" i="41"/>
  <c r="Q7" i="41"/>
  <c r="P7" i="41"/>
  <c r="O7" i="41"/>
  <c r="N7" i="41"/>
  <c r="M7" i="41"/>
  <c r="AG6" i="41"/>
  <c r="AF6" i="41"/>
  <c r="AC6" i="41"/>
  <c r="Q6" i="41"/>
  <c r="P6" i="41"/>
  <c r="O6" i="41"/>
  <c r="N6" i="41"/>
  <c r="M6" i="41"/>
  <c r="AG5" i="41"/>
  <c r="AF5" i="41"/>
  <c r="AC5" i="41"/>
  <c r="Q5" i="41"/>
  <c r="P5" i="41"/>
  <c r="O5" i="41"/>
  <c r="N5" i="41"/>
  <c r="M5" i="41"/>
  <c r="AG4" i="41"/>
  <c r="AF4" i="41"/>
  <c r="AC4" i="41"/>
  <c r="Q4" i="41"/>
  <c r="P4" i="41"/>
  <c r="O4" i="41"/>
  <c r="N4" i="41"/>
  <c r="M4" i="41"/>
  <c r="AG3" i="41"/>
  <c r="AF3" i="41"/>
  <c r="AC3" i="41"/>
  <c r="Q3" i="41"/>
  <c r="P3" i="41"/>
  <c r="O3" i="41"/>
  <c r="N3" i="41"/>
  <c r="M3" i="41"/>
  <c r="AC24" i="41"/>
  <c r="Q24" i="41"/>
  <c r="P24" i="41"/>
  <c r="O24" i="41"/>
  <c r="N24" i="41"/>
  <c r="M24" i="41"/>
  <c r="AC23" i="41"/>
  <c r="Q23" i="41"/>
  <c r="P23" i="41"/>
  <c r="O23" i="41"/>
  <c r="N23" i="41"/>
  <c r="M23" i="41"/>
  <c r="AC22" i="41"/>
  <c r="Q22" i="41"/>
  <c r="P22" i="41"/>
  <c r="O22" i="41"/>
  <c r="N22" i="41"/>
  <c r="M22" i="41"/>
  <c r="AC21" i="41"/>
  <c r="Q21" i="41"/>
  <c r="P21" i="41"/>
  <c r="O21" i="41"/>
  <c r="N21" i="41"/>
  <c r="M21" i="41"/>
  <c r="AG20" i="41"/>
  <c r="AF20" i="41"/>
  <c r="AC20" i="41"/>
  <c r="Q20" i="41"/>
  <c r="P20" i="41"/>
  <c r="O20" i="41"/>
  <c r="N20" i="41"/>
  <c r="M20" i="41"/>
  <c r="AG19" i="41"/>
  <c r="AF19" i="41"/>
  <c r="AC19" i="41"/>
  <c r="U19" i="41" s="1"/>
  <c r="Q19" i="41"/>
  <c r="P19" i="41"/>
  <c r="O19" i="41"/>
  <c r="N19" i="41"/>
  <c r="M19" i="41"/>
  <c r="AG17" i="41"/>
  <c r="AF17" i="41"/>
  <c r="AC17" i="41"/>
  <c r="Q17" i="41"/>
  <c r="P17" i="41"/>
  <c r="O17" i="41"/>
  <c r="N17" i="41"/>
  <c r="M17" i="41"/>
  <c r="AG16" i="41"/>
  <c r="AF16" i="41"/>
  <c r="AC16" i="41"/>
  <c r="Q16" i="41"/>
  <c r="P16" i="41"/>
  <c r="O16" i="41"/>
  <c r="N16" i="41"/>
  <c r="M16" i="41"/>
  <c r="AC4" i="31"/>
  <c r="AC5" i="31"/>
  <c r="U5" i="31" s="1"/>
  <c r="AC6" i="31"/>
  <c r="AC7" i="31"/>
  <c r="AC8" i="31"/>
  <c r="AC9" i="31"/>
  <c r="AC10" i="31"/>
  <c r="AC11" i="31"/>
  <c r="AC12" i="31"/>
  <c r="AC13" i="31"/>
  <c r="AC14" i="31"/>
  <c r="AC15" i="31"/>
  <c r="AC16" i="31"/>
  <c r="AC17" i="31"/>
  <c r="AC18" i="31"/>
  <c r="AC19" i="31"/>
  <c r="AC20" i="31"/>
  <c r="AC21" i="31"/>
  <c r="AC22" i="31"/>
  <c r="AC3" i="31"/>
  <c r="Q10" i="31"/>
  <c r="P10" i="31"/>
  <c r="O10" i="31"/>
  <c r="N10" i="31"/>
  <c r="M10" i="31"/>
  <c r="Q9" i="31"/>
  <c r="P9" i="31"/>
  <c r="O9" i="31"/>
  <c r="N9" i="31"/>
  <c r="M9" i="31"/>
  <c r="Q8" i="31"/>
  <c r="P8" i="31"/>
  <c r="O8" i="31"/>
  <c r="N8" i="31"/>
  <c r="M8" i="31"/>
  <c r="G6" i="34"/>
  <c r="I6" i="34"/>
  <c r="J6" i="34"/>
  <c r="Q7" i="31"/>
  <c r="P7" i="31"/>
  <c r="O7" i="31"/>
  <c r="N7" i="31"/>
  <c r="M7" i="31"/>
  <c r="Q22" i="31"/>
  <c r="Q21" i="31"/>
  <c r="Q20" i="31"/>
  <c r="AG19" i="31"/>
  <c r="Q19" i="31"/>
  <c r="P19" i="31"/>
  <c r="O19" i="31"/>
  <c r="N19" i="31"/>
  <c r="M19" i="31"/>
  <c r="AG18" i="31"/>
  <c r="Q18" i="31"/>
  <c r="P18" i="31"/>
  <c r="O18" i="31"/>
  <c r="N18" i="31"/>
  <c r="M18" i="31"/>
  <c r="AG17" i="31"/>
  <c r="Q17" i="31"/>
  <c r="P17" i="31"/>
  <c r="O17" i="31"/>
  <c r="N17" i="31"/>
  <c r="M17" i="31"/>
  <c r="AG16" i="31"/>
  <c r="Q16" i="31"/>
  <c r="P16" i="31"/>
  <c r="O16" i="31"/>
  <c r="N16" i="31"/>
  <c r="M16" i="31"/>
  <c r="AG15" i="31"/>
  <c r="Q15" i="31"/>
  <c r="P15" i="31"/>
  <c r="O15" i="31"/>
  <c r="N15" i="31"/>
  <c r="M15" i="31"/>
  <c r="AG14" i="31"/>
  <c r="Q14" i="31"/>
  <c r="P14" i="31"/>
  <c r="O14" i="31"/>
  <c r="N14" i="31"/>
  <c r="M14" i="31"/>
  <c r="AG13" i="31"/>
  <c r="Q13" i="31"/>
  <c r="P13" i="31"/>
  <c r="O13" i="31"/>
  <c r="N13" i="31"/>
  <c r="M13" i="31"/>
  <c r="AG12" i="31"/>
  <c r="Q12" i="31"/>
  <c r="P12" i="31"/>
  <c r="O12" i="31"/>
  <c r="N12" i="31"/>
  <c r="M12" i="31"/>
  <c r="AG11" i="31"/>
  <c r="Q11" i="31"/>
  <c r="P11" i="31"/>
  <c r="O11" i="31"/>
  <c r="N11" i="31"/>
  <c r="M11" i="31"/>
  <c r="AG6" i="31"/>
  <c r="Q6" i="31"/>
  <c r="P6" i="31"/>
  <c r="O6" i="31"/>
  <c r="N6" i="31"/>
  <c r="M6" i="31"/>
  <c r="AG5" i="31"/>
  <c r="Q5" i="31"/>
  <c r="P5" i="31"/>
  <c r="O5" i="31"/>
  <c r="N5" i="31"/>
  <c r="M5" i="31"/>
  <c r="AG4" i="31"/>
  <c r="Q4" i="31"/>
  <c r="P4" i="31"/>
  <c r="O4" i="31"/>
  <c r="N4" i="31"/>
  <c r="M4" i="31"/>
  <c r="AG3" i="31"/>
  <c r="Q3" i="31"/>
  <c r="P3" i="31"/>
  <c r="O3" i="31"/>
  <c r="N3" i="31"/>
  <c r="M3" i="31"/>
  <c r="I4" i="29"/>
  <c r="I5" i="29"/>
  <c r="I6" i="29"/>
  <c r="I7" i="29"/>
  <c r="I8" i="29"/>
  <c r="I9" i="29"/>
  <c r="I10" i="29"/>
  <c r="AZ50" i="5" s="1"/>
  <c r="I11" i="29"/>
  <c r="I12" i="29"/>
  <c r="I13" i="29"/>
  <c r="I14" i="29"/>
  <c r="I15" i="29"/>
  <c r="I16" i="29"/>
  <c r="I17" i="29"/>
  <c r="I18" i="29"/>
  <c r="I19" i="29"/>
  <c r="I20" i="29"/>
  <c r="I21" i="29"/>
  <c r="I22" i="29"/>
  <c r="I23" i="29"/>
  <c r="I24" i="29"/>
  <c r="I25" i="29"/>
  <c r="I26" i="29"/>
  <c r="I27" i="29"/>
  <c r="I28" i="29"/>
  <c r="I29" i="29"/>
  <c r="I30" i="29"/>
  <c r="I31" i="29"/>
  <c r="I32" i="29"/>
  <c r="I33" i="29"/>
  <c r="I34" i="29"/>
  <c r="I35" i="29"/>
  <c r="I36" i="29"/>
  <c r="I37" i="29"/>
  <c r="I38" i="29"/>
  <c r="I39" i="29"/>
  <c r="I40" i="29"/>
  <c r="I41" i="29"/>
  <c r="I42" i="29"/>
  <c r="I43" i="29"/>
  <c r="I44" i="29"/>
  <c r="I45" i="29"/>
  <c r="I46" i="29"/>
  <c r="I47" i="29"/>
  <c r="I48" i="29"/>
  <c r="I49" i="29"/>
  <c r="I50" i="29"/>
  <c r="I51" i="29"/>
  <c r="I52" i="29"/>
  <c r="I53" i="29"/>
  <c r="I54" i="29"/>
  <c r="I55" i="29"/>
  <c r="I3" i="29"/>
  <c r="BG289" i="5"/>
  <c r="BG288" i="5"/>
  <c r="BG287" i="5"/>
  <c r="BG286" i="5"/>
  <c r="BG285" i="5"/>
  <c r="BG284" i="5"/>
  <c r="BG283" i="5"/>
  <c r="BG282" i="5"/>
  <c r="BG281" i="5"/>
  <c r="BG280" i="5"/>
  <c r="BG279" i="5"/>
  <c r="BG278" i="5"/>
  <c r="BG277" i="5"/>
  <c r="BG276" i="5"/>
  <c r="BG275" i="5"/>
  <c r="BG274" i="5"/>
  <c r="BG273" i="5"/>
  <c r="BG272" i="5"/>
  <c r="BG271" i="5"/>
  <c r="BG270" i="5"/>
  <c r="BG269" i="5"/>
  <c r="BG268" i="5"/>
  <c r="BG267" i="5"/>
  <c r="BG266" i="5"/>
  <c r="BG265" i="5"/>
  <c r="BG264" i="5"/>
  <c r="BG263" i="5"/>
  <c r="BG262" i="5"/>
  <c r="BG261" i="5"/>
  <c r="BG260" i="5"/>
  <c r="BG259" i="5"/>
  <c r="BG258" i="5"/>
  <c r="BG257" i="5"/>
  <c r="BG256" i="5"/>
  <c r="BG255" i="5"/>
  <c r="BG254" i="5"/>
  <c r="BG253" i="5"/>
  <c r="BG252" i="5"/>
  <c r="BG251" i="5"/>
  <c r="BG250" i="5"/>
  <c r="BG248" i="5"/>
  <c r="BG247" i="5"/>
  <c r="BG246" i="5"/>
  <c r="BG245" i="5"/>
  <c r="BG244" i="5"/>
  <c r="BG243" i="5"/>
  <c r="BG242" i="5"/>
  <c r="BG241" i="5"/>
  <c r="BG240" i="5"/>
  <c r="BG239" i="5"/>
  <c r="BG238" i="5"/>
  <c r="BG237" i="5"/>
  <c r="BG236" i="5"/>
  <c r="BG235" i="5"/>
  <c r="BG234" i="5"/>
  <c r="BG233" i="5"/>
  <c r="BG232" i="5"/>
  <c r="BG231" i="5"/>
  <c r="BG230" i="5"/>
  <c r="BG229" i="5"/>
  <c r="BG228" i="5"/>
  <c r="BG227" i="5"/>
  <c r="BG226" i="5"/>
  <c r="BG225" i="5"/>
  <c r="BG224" i="5"/>
  <c r="BG223" i="5"/>
  <c r="BG222" i="5"/>
  <c r="BG221" i="5"/>
  <c r="BG220" i="5"/>
  <c r="BG219" i="5"/>
  <c r="BG218" i="5"/>
  <c r="BG217" i="5"/>
  <c r="BG216" i="5"/>
  <c r="BG215" i="5"/>
  <c r="BG214" i="5"/>
  <c r="BG213" i="5"/>
  <c r="BG212" i="5"/>
  <c r="BG211" i="5"/>
  <c r="BG210" i="5"/>
  <c r="BG208" i="5"/>
  <c r="BG207" i="5"/>
  <c r="BG206" i="5"/>
  <c r="BG205" i="5"/>
  <c r="BG204" i="5"/>
  <c r="BG203" i="5"/>
  <c r="BG202" i="5"/>
  <c r="BG201" i="5"/>
  <c r="BG200" i="5"/>
  <c r="BG199" i="5"/>
  <c r="BG198" i="5"/>
  <c r="BG197" i="5"/>
  <c r="BG196" i="5"/>
  <c r="BG195" i="5"/>
  <c r="BG194" i="5"/>
  <c r="BG193" i="5"/>
  <c r="BG192" i="5"/>
  <c r="BG191" i="5"/>
  <c r="BG190" i="5"/>
  <c r="BG189" i="5"/>
  <c r="BG188" i="5"/>
  <c r="BG187" i="5"/>
  <c r="BG186" i="5"/>
  <c r="BG185" i="5"/>
  <c r="BG184" i="5"/>
  <c r="BG183" i="5"/>
  <c r="BG182" i="5"/>
  <c r="BG181" i="5"/>
  <c r="BG180" i="5"/>
  <c r="BG179" i="5"/>
  <c r="BG178" i="5"/>
  <c r="BG177" i="5"/>
  <c r="BG176" i="5"/>
  <c r="BG175" i="5"/>
  <c r="BG174" i="5"/>
  <c r="BG173" i="5"/>
  <c r="BG172" i="5"/>
  <c r="BG171" i="5"/>
  <c r="BG170" i="5"/>
  <c r="BG169" i="5"/>
  <c r="BG168" i="5"/>
  <c r="BG166" i="5"/>
  <c r="BG165" i="5"/>
  <c r="BG164" i="5"/>
  <c r="BG163" i="5"/>
  <c r="BG162" i="5"/>
  <c r="BG161" i="5"/>
  <c r="BG160" i="5"/>
  <c r="BG159" i="5"/>
  <c r="BG158" i="5"/>
  <c r="BG157" i="5"/>
  <c r="BG156" i="5"/>
  <c r="BG155" i="5"/>
  <c r="BG154" i="5"/>
  <c r="BG153" i="5"/>
  <c r="BG152" i="5"/>
  <c r="BG151" i="5"/>
  <c r="BG150" i="5"/>
  <c r="BG149" i="5"/>
  <c r="BG148" i="5"/>
  <c r="BG146" i="5"/>
  <c r="BG145" i="5"/>
  <c r="BG144" i="5"/>
  <c r="BG143" i="5"/>
  <c r="BG142" i="5"/>
  <c r="BG141" i="5"/>
  <c r="BG140" i="5"/>
  <c r="BG139" i="5"/>
  <c r="BG138" i="5"/>
  <c r="BG137" i="5"/>
  <c r="BG136" i="5"/>
  <c r="BG135" i="5"/>
  <c r="BG133" i="5"/>
  <c r="BG132" i="5"/>
  <c r="BG131" i="5"/>
  <c r="BG130" i="5"/>
  <c r="BG129" i="5"/>
  <c r="BG128" i="5"/>
  <c r="BG126" i="5"/>
  <c r="BG125" i="5"/>
  <c r="BG124" i="5"/>
  <c r="BG123" i="5"/>
  <c r="BG122" i="5"/>
  <c r="BG121" i="5"/>
  <c r="BG120" i="5"/>
  <c r="BG119" i="5"/>
  <c r="BG118" i="5"/>
  <c r="BG117" i="5"/>
  <c r="BG116" i="5"/>
  <c r="BG115" i="5"/>
  <c r="BG114" i="5"/>
  <c r="BG113" i="5"/>
  <c r="BG112" i="5"/>
  <c r="BG111" i="5"/>
  <c r="BG109" i="5"/>
  <c r="BG108" i="5"/>
  <c r="BG107" i="5"/>
  <c r="BG105" i="5"/>
  <c r="BG104" i="5"/>
  <c r="BG103" i="5"/>
  <c r="BG102" i="5"/>
  <c r="BG101" i="5"/>
  <c r="BG100" i="5"/>
  <c r="BG99" i="5"/>
  <c r="BG98" i="5"/>
  <c r="BG97" i="5"/>
  <c r="BG96" i="5"/>
  <c r="BG95" i="5"/>
  <c r="BG94" i="5"/>
  <c r="BG93" i="5"/>
  <c r="BG92" i="5"/>
  <c r="BG91" i="5"/>
  <c r="BG90" i="5"/>
  <c r="BG89" i="5"/>
  <c r="BG88" i="5"/>
  <c r="BG87" i="5"/>
  <c r="BG86" i="5"/>
  <c r="BG85" i="5"/>
  <c r="BG84" i="5"/>
  <c r="BG83" i="5"/>
  <c r="BG82" i="5"/>
  <c r="BG81" i="5"/>
  <c r="BG80" i="5"/>
  <c r="BG79" i="5"/>
  <c r="BG78" i="5"/>
  <c r="BG77" i="5"/>
  <c r="BG76" i="5"/>
  <c r="BG74" i="5"/>
  <c r="BG73" i="5"/>
  <c r="BG72" i="5"/>
  <c r="BG71" i="5"/>
  <c r="BG70" i="5"/>
  <c r="BG68" i="5"/>
  <c r="BG66" i="5"/>
  <c r="BG65" i="5"/>
  <c r="BG64" i="5"/>
  <c r="BG63" i="5"/>
  <c r="BG62" i="5"/>
  <c r="BG61" i="5"/>
  <c r="BG60" i="5"/>
  <c r="BG59" i="5"/>
  <c r="BG58" i="5"/>
  <c r="BG57" i="5"/>
  <c r="BG56" i="5"/>
  <c r="BG55" i="5"/>
  <c r="BG54" i="5"/>
  <c r="BG53" i="5"/>
  <c r="BG52" i="5"/>
  <c r="BG51" i="5"/>
  <c r="BG50" i="5"/>
  <c r="BG49" i="5"/>
  <c r="BG48" i="5"/>
  <c r="BG47" i="5"/>
  <c r="BG46" i="5"/>
  <c r="BG45" i="5"/>
  <c r="BG44" i="5"/>
  <c r="BG43" i="5"/>
  <c r="BG42" i="5"/>
  <c r="BG41" i="5"/>
  <c r="BG40" i="5"/>
  <c r="BG39" i="5"/>
  <c r="BG36" i="5"/>
  <c r="BG35" i="5"/>
  <c r="BG34" i="5"/>
  <c r="BG33" i="5"/>
  <c r="BG32" i="5"/>
  <c r="BG31" i="5"/>
  <c r="BG30" i="5"/>
  <c r="BG29" i="5"/>
  <c r="BG28" i="5"/>
  <c r="BG27" i="5"/>
  <c r="BG26" i="5"/>
  <c r="BG25" i="5"/>
  <c r="BG24" i="5"/>
  <c r="BG23" i="5"/>
  <c r="BG22" i="5"/>
  <c r="BG21" i="5"/>
  <c r="BG20" i="5"/>
  <c r="BG19" i="5"/>
  <c r="BG17" i="5"/>
  <c r="BG16" i="5"/>
  <c r="BG15" i="5"/>
  <c r="BG14" i="5"/>
  <c r="BG13" i="5"/>
  <c r="BG12" i="5"/>
  <c r="BG10" i="5"/>
  <c r="BG9" i="5"/>
  <c r="BG8" i="5"/>
  <c r="BG5" i="5"/>
  <c r="BF6" i="5"/>
  <c r="T3" i="26"/>
  <c r="T4" i="26"/>
  <c r="T5" i="26"/>
  <c r="T6" i="26"/>
  <c r="T7" i="26"/>
  <c r="T8" i="26"/>
  <c r="T9" i="26"/>
  <c r="T10" i="26"/>
  <c r="T11" i="26"/>
  <c r="T12" i="26"/>
  <c r="T13" i="26"/>
  <c r="T14" i="26"/>
  <c r="T15" i="26"/>
  <c r="T16" i="26"/>
  <c r="T17" i="26"/>
  <c r="T18" i="26"/>
  <c r="T19" i="26"/>
  <c r="T20" i="26"/>
  <c r="T21" i="26"/>
  <c r="T22" i="26"/>
  <c r="T23" i="26"/>
  <c r="T24" i="26"/>
  <c r="T25" i="26"/>
  <c r="T26" i="26"/>
  <c r="T27" i="26"/>
  <c r="T28" i="26"/>
  <c r="T29" i="26"/>
  <c r="T30" i="26"/>
  <c r="T31" i="26"/>
  <c r="T32" i="26"/>
  <c r="T33" i="26"/>
  <c r="T34" i="26"/>
  <c r="T35" i="26"/>
  <c r="T36" i="26"/>
  <c r="T37" i="26"/>
  <c r="T38" i="26"/>
  <c r="T39" i="26"/>
  <c r="T40" i="26"/>
  <c r="T41" i="26"/>
  <c r="T42" i="26"/>
  <c r="T43" i="26"/>
  <c r="T44" i="26"/>
  <c r="T45" i="26"/>
  <c r="T46" i="26"/>
  <c r="T47" i="26"/>
  <c r="T48" i="26"/>
  <c r="T49" i="26"/>
  <c r="T50" i="26"/>
  <c r="T51" i="26"/>
  <c r="T52" i="26"/>
  <c r="T53" i="26"/>
  <c r="T54" i="26"/>
  <c r="T2" i="26"/>
  <c r="BF3" i="5" s="1"/>
  <c r="Q289" i="5"/>
  <c r="Q288" i="5"/>
  <c r="Q287" i="5"/>
  <c r="Q286" i="5"/>
  <c r="Q285" i="5"/>
  <c r="Q284" i="5"/>
  <c r="Q283" i="5"/>
  <c r="Q282" i="5"/>
  <c r="Q281" i="5"/>
  <c r="Q280" i="5"/>
  <c r="Q279" i="5"/>
  <c r="Q278" i="5"/>
  <c r="Q277" i="5"/>
  <c r="Q276" i="5"/>
  <c r="Q275" i="5"/>
  <c r="Q274" i="5"/>
  <c r="Q273" i="5"/>
  <c r="Q272" i="5"/>
  <c r="Q271" i="5"/>
  <c r="Q270" i="5"/>
  <c r="Q269" i="5"/>
  <c r="Q268" i="5"/>
  <c r="Q267" i="5"/>
  <c r="Q266" i="5"/>
  <c r="Q265" i="5"/>
  <c r="Q264" i="5"/>
  <c r="Q263" i="5"/>
  <c r="Q262" i="5"/>
  <c r="Q261" i="5"/>
  <c r="Q260" i="5"/>
  <c r="Q259" i="5"/>
  <c r="Q258" i="5"/>
  <c r="Q257" i="5"/>
  <c r="Q256" i="5"/>
  <c r="Q255" i="5"/>
  <c r="Q254" i="5"/>
  <c r="Q253" i="5"/>
  <c r="Q252" i="5"/>
  <c r="Q251" i="5"/>
  <c r="Q250" i="5"/>
  <c r="Q249" i="5"/>
  <c r="Q248" i="5"/>
  <c r="Q247" i="5"/>
  <c r="Q246" i="5"/>
  <c r="Q245" i="5"/>
  <c r="Q244" i="5"/>
  <c r="Q243" i="5"/>
  <c r="Q242" i="5"/>
  <c r="Q241" i="5"/>
  <c r="Q240" i="5"/>
  <c r="Q239" i="5"/>
  <c r="Q238" i="5"/>
  <c r="Q237" i="5"/>
  <c r="Q236" i="5"/>
  <c r="Q235" i="5"/>
  <c r="Q234" i="5"/>
  <c r="Q233" i="5"/>
  <c r="Q232" i="5"/>
  <c r="Q231" i="5"/>
  <c r="Q230" i="5"/>
  <c r="Q229" i="5"/>
  <c r="Q228" i="5"/>
  <c r="Q227" i="5"/>
  <c r="Q226" i="5"/>
  <c r="Q225" i="5"/>
  <c r="Q224" i="5"/>
  <c r="Q223" i="5"/>
  <c r="Q222" i="5"/>
  <c r="Q221" i="5"/>
  <c r="Q220" i="5"/>
  <c r="Q219" i="5"/>
  <c r="Q218" i="5"/>
  <c r="Q217" i="5"/>
  <c r="Q216" i="5"/>
  <c r="Q215" i="5"/>
  <c r="Q214" i="5"/>
  <c r="Q213" i="5"/>
  <c r="Q212" i="5"/>
  <c r="Q211" i="5"/>
  <c r="Q210" i="5"/>
  <c r="Q209" i="5"/>
  <c r="Q208" i="5"/>
  <c r="Q207" i="5"/>
  <c r="Q206" i="5"/>
  <c r="Q205" i="5"/>
  <c r="Q204" i="5"/>
  <c r="Q203" i="5"/>
  <c r="Q202" i="5"/>
  <c r="Q201" i="5"/>
  <c r="Q200" i="5"/>
  <c r="Q199" i="5"/>
  <c r="Q198" i="5"/>
  <c r="Q197" i="5"/>
  <c r="Q196" i="5"/>
  <c r="Q195" i="5"/>
  <c r="Q194" i="5"/>
  <c r="Q193" i="5"/>
  <c r="Q192" i="5"/>
  <c r="Q191" i="5"/>
  <c r="Q190" i="5"/>
  <c r="Q189" i="5"/>
  <c r="Q188" i="5"/>
  <c r="Q187" i="5"/>
  <c r="Q186" i="5"/>
  <c r="Q185" i="5"/>
  <c r="Q184" i="5"/>
  <c r="Q183" i="5"/>
  <c r="Q182" i="5"/>
  <c r="Q181" i="5"/>
  <c r="Q180" i="5"/>
  <c r="Q179" i="5"/>
  <c r="Q178" i="5"/>
  <c r="Q177" i="5"/>
  <c r="Q176" i="5"/>
  <c r="Q175" i="5"/>
  <c r="Q174" i="5"/>
  <c r="Q173" i="5"/>
  <c r="Q172" i="5"/>
  <c r="Q171" i="5"/>
  <c r="Q170" i="5"/>
  <c r="Q169" i="5"/>
  <c r="Q168" i="5"/>
  <c r="Q167" i="5"/>
  <c r="Q166" i="5"/>
  <c r="Q165" i="5"/>
  <c r="Q164" i="5"/>
  <c r="Q163" i="5"/>
  <c r="Q162" i="5"/>
  <c r="Q161" i="5"/>
  <c r="Q160" i="5"/>
  <c r="Q159" i="5"/>
  <c r="Q158" i="5"/>
  <c r="Q157" i="5"/>
  <c r="Q156" i="5"/>
  <c r="Q155" i="5"/>
  <c r="Q154" i="5"/>
  <c r="Q153" i="5"/>
  <c r="Q152" i="5"/>
  <c r="Q151" i="5"/>
  <c r="Q150" i="5"/>
  <c r="Q149" i="5"/>
  <c r="Q148" i="5"/>
  <c r="Q147" i="5"/>
  <c r="Q146" i="5"/>
  <c r="Q145" i="5"/>
  <c r="Q144" i="5"/>
  <c r="Q143" i="5"/>
  <c r="Q142" i="5"/>
  <c r="Q141" i="5"/>
  <c r="Q140" i="5"/>
  <c r="Q139" i="5"/>
  <c r="Q138" i="5"/>
  <c r="Q137" i="5"/>
  <c r="Q136" i="5"/>
  <c r="Q135" i="5"/>
  <c r="Q134" i="5"/>
  <c r="Q133" i="5"/>
  <c r="Q132" i="5"/>
  <c r="Q131" i="5"/>
  <c r="Q130" i="5"/>
  <c r="Q129" i="5"/>
  <c r="Q128" i="5"/>
  <c r="Q127" i="5"/>
  <c r="Q126" i="5"/>
  <c r="Q125" i="5"/>
  <c r="Q124" i="5"/>
  <c r="Q123" i="5"/>
  <c r="Q122" i="5"/>
  <c r="Q121" i="5"/>
  <c r="Q120" i="5"/>
  <c r="Q119" i="5"/>
  <c r="Q118" i="5"/>
  <c r="Q117" i="5"/>
  <c r="Q116" i="5"/>
  <c r="Q115" i="5"/>
  <c r="Q114" i="5"/>
  <c r="Q113" i="5"/>
  <c r="Q112" i="5"/>
  <c r="Q111" i="5"/>
  <c r="Q110" i="5"/>
  <c r="Q109" i="5"/>
  <c r="Q108" i="5"/>
  <c r="Q107" i="5"/>
  <c r="Q106" i="5"/>
  <c r="Q105" i="5"/>
  <c r="Q104" i="5"/>
  <c r="Q103" i="5"/>
  <c r="Q102" i="5"/>
  <c r="Q101" i="5"/>
  <c r="Q100" i="5"/>
  <c r="Q99" i="5"/>
  <c r="Q98" i="5"/>
  <c r="Q97" i="5"/>
  <c r="Q96" i="5"/>
  <c r="Q95" i="5"/>
  <c r="Q94" i="5"/>
  <c r="Q93" i="5"/>
  <c r="Q92" i="5"/>
  <c r="Q91" i="5"/>
  <c r="Q90" i="5"/>
  <c r="Q89" i="5"/>
  <c r="Q88" i="5"/>
  <c r="Q87" i="5"/>
  <c r="Q86" i="5"/>
  <c r="Q85" i="5"/>
  <c r="Q84" i="5"/>
  <c r="Q83" i="5"/>
  <c r="Q82" i="5"/>
  <c r="Q81" i="5"/>
  <c r="Q80" i="5"/>
  <c r="Q79" i="5"/>
  <c r="Q78" i="5"/>
  <c r="Q77" i="5"/>
  <c r="Q76" i="5"/>
  <c r="Q75" i="5"/>
  <c r="Q74" i="5"/>
  <c r="Q73" i="5"/>
  <c r="Q72" i="5"/>
  <c r="Q71" i="5"/>
  <c r="Q70" i="5"/>
  <c r="Q69" i="5"/>
  <c r="Q68" i="5"/>
  <c r="Q67" i="5"/>
  <c r="Q66" i="5"/>
  <c r="Q65" i="5"/>
  <c r="Q64" i="5"/>
  <c r="Q63" i="5"/>
  <c r="Q62" i="5"/>
  <c r="Q61" i="5"/>
  <c r="Q60" i="5"/>
  <c r="Q59" i="5"/>
  <c r="Q58" i="5"/>
  <c r="Q57" i="5"/>
  <c r="Q56" i="5"/>
  <c r="Q55" i="5"/>
  <c r="Q54" i="5"/>
  <c r="Q53" i="5"/>
  <c r="Q52" i="5"/>
  <c r="Q51" i="5"/>
  <c r="Q50" i="5"/>
  <c r="Q49" i="5"/>
  <c r="Q48" i="5"/>
  <c r="Q47" i="5"/>
  <c r="Q46" i="5"/>
  <c r="Q45" i="5"/>
  <c r="Q44" i="5"/>
  <c r="Q43" i="5"/>
  <c r="Q42" i="5"/>
  <c r="Q41" i="5"/>
  <c r="Q40" i="5"/>
  <c r="Q39" i="5"/>
  <c r="Q38" i="5"/>
  <c r="Q37" i="5"/>
  <c r="Q36" i="5"/>
  <c r="Q35" i="5"/>
  <c r="Q34" i="5"/>
  <c r="Q33" i="5"/>
  <c r="Q32" i="5"/>
  <c r="Q31" i="5"/>
  <c r="Q30" i="5"/>
  <c r="Q29" i="5"/>
  <c r="Q28" i="5"/>
  <c r="Q27" i="5"/>
  <c r="Q26" i="5"/>
  <c r="Q25" i="5"/>
  <c r="Q24" i="5"/>
  <c r="Q23" i="5"/>
  <c r="Q22" i="5"/>
  <c r="Q21" i="5"/>
  <c r="Q20" i="5"/>
  <c r="Q19" i="5"/>
  <c r="Q18" i="5"/>
  <c r="Q17" i="5"/>
  <c r="Q16" i="5"/>
  <c r="Q15" i="5"/>
  <c r="Q14" i="5"/>
  <c r="Q13" i="5"/>
  <c r="Q12" i="5"/>
  <c r="Q11" i="5"/>
  <c r="Q10" i="5"/>
  <c r="Q9" i="5"/>
  <c r="Q8" i="5"/>
  <c r="Q7" i="5"/>
  <c r="Q6" i="5"/>
  <c r="Q5" i="5"/>
  <c r="Q4" i="5"/>
  <c r="Q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Y177" i="5"/>
  <c r="Y178" i="5"/>
  <c r="Y179" i="5"/>
  <c r="Y180" i="5"/>
  <c r="Y181" i="5"/>
  <c r="Y182" i="5"/>
  <c r="Y183" i="5"/>
  <c r="Y184" i="5"/>
  <c r="Y185" i="5"/>
  <c r="Y186" i="5"/>
  <c r="Y187" i="5"/>
  <c r="Y188" i="5"/>
  <c r="Y189" i="5"/>
  <c r="Y190" i="5"/>
  <c r="Y191" i="5"/>
  <c r="Y192" i="5"/>
  <c r="Y193" i="5"/>
  <c r="Y194" i="5"/>
  <c r="Y195" i="5"/>
  <c r="Y196" i="5"/>
  <c r="Y197" i="5"/>
  <c r="Y198" i="5"/>
  <c r="Y199" i="5"/>
  <c r="Y200" i="5"/>
  <c r="Y201" i="5"/>
  <c r="Y202" i="5"/>
  <c r="Y203" i="5"/>
  <c r="Y204" i="5"/>
  <c r="Y205" i="5"/>
  <c r="Y206" i="5"/>
  <c r="Y207" i="5"/>
  <c r="Y208" i="5"/>
  <c r="Y209" i="5"/>
  <c r="Y210" i="5"/>
  <c r="Y211" i="5"/>
  <c r="Y212" i="5"/>
  <c r="Y213" i="5"/>
  <c r="Y214" i="5"/>
  <c r="Y215" i="5"/>
  <c r="Y216" i="5"/>
  <c r="Y217" i="5"/>
  <c r="Y218" i="5"/>
  <c r="Y219" i="5"/>
  <c r="Y220" i="5"/>
  <c r="Y221" i="5"/>
  <c r="Y222" i="5"/>
  <c r="Y223" i="5"/>
  <c r="Y224" i="5"/>
  <c r="Y225" i="5"/>
  <c r="Y226" i="5"/>
  <c r="Y227" i="5"/>
  <c r="Y228" i="5"/>
  <c r="Y229" i="5"/>
  <c r="Y230" i="5"/>
  <c r="Y231" i="5"/>
  <c r="Y232" i="5"/>
  <c r="Y233" i="5"/>
  <c r="Y234" i="5"/>
  <c r="Y235" i="5"/>
  <c r="Y236" i="5"/>
  <c r="Y237" i="5"/>
  <c r="Y238" i="5"/>
  <c r="Y239" i="5"/>
  <c r="Y240" i="5"/>
  <c r="Y241" i="5"/>
  <c r="Y242" i="5"/>
  <c r="Y243" i="5"/>
  <c r="Y244" i="5"/>
  <c r="Y245" i="5"/>
  <c r="Y246" i="5"/>
  <c r="Y247" i="5"/>
  <c r="Y248" i="5"/>
  <c r="Y249" i="5"/>
  <c r="Y250" i="5"/>
  <c r="Y251" i="5"/>
  <c r="Y252" i="5"/>
  <c r="Y253" i="5"/>
  <c r="Y254" i="5"/>
  <c r="Y255" i="5"/>
  <c r="Y256" i="5"/>
  <c r="Y257" i="5"/>
  <c r="Y258" i="5"/>
  <c r="Y259" i="5"/>
  <c r="Y260" i="5"/>
  <c r="Y261" i="5"/>
  <c r="Y262" i="5"/>
  <c r="Y263" i="5"/>
  <c r="Y264" i="5"/>
  <c r="Y265" i="5"/>
  <c r="Y266" i="5"/>
  <c r="Y267" i="5"/>
  <c r="Y268" i="5"/>
  <c r="Y269" i="5"/>
  <c r="Y270" i="5"/>
  <c r="Y271" i="5"/>
  <c r="Y272" i="5"/>
  <c r="Y273" i="5"/>
  <c r="Y274" i="5"/>
  <c r="Y275" i="5"/>
  <c r="Y276" i="5"/>
  <c r="Y277" i="5"/>
  <c r="Y278" i="5"/>
  <c r="Y279" i="5"/>
  <c r="Y280" i="5"/>
  <c r="Y281" i="5"/>
  <c r="Y282" i="5"/>
  <c r="Y283" i="5"/>
  <c r="Y284" i="5"/>
  <c r="Y285" i="5"/>
  <c r="Y286" i="5"/>
  <c r="Y287" i="5"/>
  <c r="Y288" i="5"/>
  <c r="Y289" i="5"/>
  <c r="BG38" i="5"/>
  <c r="AB3" i="27"/>
  <c r="AB4" i="27"/>
  <c r="AB5" i="27"/>
  <c r="AB6" i="27"/>
  <c r="AB7" i="27"/>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2" i="27"/>
  <c r="BG6" i="5" s="1"/>
  <c r="U11" i="41" l="1"/>
  <c r="U13" i="41"/>
  <c r="U12" i="41"/>
  <c r="R13" i="41"/>
  <c r="R11" i="41"/>
  <c r="R12" i="41"/>
  <c r="AD16" i="41"/>
  <c r="U16" i="41"/>
  <c r="U15" i="41"/>
  <c r="U14" i="41"/>
  <c r="U17" i="41"/>
  <c r="U18" i="41"/>
  <c r="R17" i="41"/>
  <c r="R4" i="41"/>
  <c r="U6" i="41"/>
  <c r="R5" i="41"/>
  <c r="U24" i="41"/>
  <c r="U23" i="41"/>
  <c r="R14" i="41"/>
  <c r="R22" i="41"/>
  <c r="U5" i="41"/>
  <c r="U21" i="41"/>
  <c r="R23" i="41"/>
  <c r="U7" i="41"/>
  <c r="R21" i="41"/>
  <c r="R7" i="41"/>
  <c r="U4" i="41"/>
  <c r="R10" i="41"/>
  <c r="R16" i="41"/>
  <c r="U10" i="41"/>
  <c r="R3" i="41"/>
  <c r="U3" i="41"/>
  <c r="R9" i="41"/>
  <c r="U20" i="41"/>
  <c r="R20" i="41"/>
  <c r="R6" i="41"/>
  <c r="U9" i="41"/>
  <c r="R19" i="41"/>
  <c r="U22" i="41"/>
  <c r="R24" i="41"/>
  <c r="R8" i="41"/>
  <c r="U8" i="41"/>
  <c r="BF150" i="5"/>
  <c r="BF53" i="5"/>
  <c r="AF19" i="31"/>
  <c r="AF6" i="31"/>
  <c r="BF27" i="5"/>
  <c r="BF262" i="5"/>
  <c r="BF182" i="5"/>
  <c r="BF246" i="5"/>
  <c r="BF166" i="5"/>
  <c r="BF86" i="5"/>
  <c r="BF22" i="5"/>
  <c r="BF261" i="5"/>
  <c r="BF117" i="5"/>
  <c r="AF15" i="31"/>
  <c r="BF283" i="5"/>
  <c r="BF251" i="5"/>
  <c r="BF219" i="5"/>
  <c r="BF171" i="5"/>
  <c r="BF139" i="5"/>
  <c r="BF107" i="5"/>
  <c r="BF75" i="5"/>
  <c r="BF43" i="5"/>
  <c r="BF11" i="5"/>
  <c r="BF266" i="5"/>
  <c r="BF234" i="5"/>
  <c r="BF202" i="5"/>
  <c r="BF170" i="5"/>
  <c r="BF138" i="5"/>
  <c r="BF106" i="5"/>
  <c r="BF74" i="5"/>
  <c r="BF26" i="5"/>
  <c r="AF12" i="31"/>
  <c r="BF265" i="5"/>
  <c r="BF233" i="5"/>
  <c r="BF201" i="5"/>
  <c r="BF169" i="5"/>
  <c r="BF137" i="5"/>
  <c r="BF105" i="5"/>
  <c r="BF89" i="5"/>
  <c r="BF57" i="5"/>
  <c r="BF41" i="5"/>
  <c r="BF9" i="5"/>
  <c r="BF279" i="5"/>
  <c r="BF263" i="5"/>
  <c r="BF247" i="5"/>
  <c r="BF231" i="5"/>
  <c r="BF215" i="5"/>
  <c r="BF199" i="5"/>
  <c r="BF183" i="5"/>
  <c r="BF167" i="5"/>
  <c r="BF151" i="5"/>
  <c r="BF135" i="5"/>
  <c r="BF119" i="5"/>
  <c r="BF103" i="5"/>
  <c r="BF87" i="5"/>
  <c r="BF71" i="5"/>
  <c r="BF55" i="5"/>
  <c r="BF39" i="5"/>
  <c r="BF23" i="5"/>
  <c r="BF7" i="5"/>
  <c r="AF17" i="31"/>
  <c r="BF70" i="5"/>
  <c r="BF227" i="5"/>
  <c r="BF147" i="5"/>
  <c r="BF115" i="5"/>
  <c r="BF51" i="5"/>
  <c r="BF274" i="5"/>
  <c r="BF258" i="5"/>
  <c r="BF242" i="5"/>
  <c r="BF226" i="5"/>
  <c r="BF210" i="5"/>
  <c r="BF194" i="5"/>
  <c r="BF178" i="5"/>
  <c r="BF162" i="5"/>
  <c r="BF146" i="5"/>
  <c r="BF130" i="5"/>
  <c r="BF114" i="5"/>
  <c r="BF98" i="5"/>
  <c r="BF82" i="5"/>
  <c r="BF66" i="5"/>
  <c r="BF50" i="5"/>
  <c r="BF34" i="5"/>
  <c r="BF18" i="5"/>
  <c r="BF289" i="5"/>
  <c r="BF273" i="5"/>
  <c r="BF257" i="5"/>
  <c r="BF241" i="5"/>
  <c r="BF225" i="5"/>
  <c r="BF209" i="5"/>
  <c r="BF193" i="5"/>
  <c r="BF177" i="5"/>
  <c r="BF161" i="5"/>
  <c r="BF145" i="5"/>
  <c r="BF129" i="5"/>
  <c r="BF113" i="5"/>
  <c r="BF97" i="5"/>
  <c r="BF81" i="5"/>
  <c r="BF65" i="5"/>
  <c r="BF49" i="5"/>
  <c r="BF33" i="5"/>
  <c r="BF17" i="5"/>
  <c r="AF11" i="31"/>
  <c r="BF214" i="5"/>
  <c r="BF118" i="5"/>
  <c r="BF54" i="5"/>
  <c r="AF4" i="31"/>
  <c r="BF229" i="5"/>
  <c r="BF165" i="5"/>
  <c r="BF85" i="5"/>
  <c r="BF5" i="5"/>
  <c r="BF244" i="5"/>
  <c r="BF196" i="5"/>
  <c r="BF148" i="5"/>
  <c r="BF116" i="5"/>
  <c r="BF68" i="5"/>
  <c r="BF4" i="5"/>
  <c r="BF259" i="5"/>
  <c r="BF195" i="5"/>
  <c r="BF131" i="5"/>
  <c r="BF83" i="5"/>
  <c r="BF35" i="5"/>
  <c r="BF272" i="5"/>
  <c r="BF224" i="5"/>
  <c r="BF176" i="5"/>
  <c r="BF144" i="5"/>
  <c r="BF96" i="5"/>
  <c r="BF32" i="5"/>
  <c r="BF271" i="5"/>
  <c r="BF223" i="5"/>
  <c r="BF175" i="5"/>
  <c r="BF143" i="5"/>
  <c r="BF95" i="5"/>
  <c r="BF63" i="5"/>
  <c r="BF15" i="5"/>
  <c r="BF286" i="5"/>
  <c r="BF270" i="5"/>
  <c r="BF254" i="5"/>
  <c r="BF238" i="5"/>
  <c r="BF222" i="5"/>
  <c r="BF206" i="5"/>
  <c r="BF190" i="5"/>
  <c r="BF174" i="5"/>
  <c r="BF158" i="5"/>
  <c r="BF142" i="5"/>
  <c r="BF126" i="5"/>
  <c r="BF110" i="5"/>
  <c r="BF94" i="5"/>
  <c r="BF78" i="5"/>
  <c r="BF62" i="5"/>
  <c r="BF46" i="5"/>
  <c r="BF30" i="5"/>
  <c r="BF14" i="5"/>
  <c r="AF16" i="31"/>
  <c r="BF278" i="5"/>
  <c r="BF198" i="5"/>
  <c r="BF134" i="5"/>
  <c r="BF102" i="5"/>
  <c r="BF38" i="5"/>
  <c r="BF277" i="5"/>
  <c r="BF197" i="5"/>
  <c r="BF133" i="5"/>
  <c r="BF69" i="5"/>
  <c r="BF37" i="5"/>
  <c r="BF276" i="5"/>
  <c r="BF228" i="5"/>
  <c r="BF180" i="5"/>
  <c r="BF132" i="5"/>
  <c r="BF84" i="5"/>
  <c r="BF36" i="5"/>
  <c r="BF275" i="5"/>
  <c r="BF211" i="5"/>
  <c r="BF163" i="5"/>
  <c r="BF99" i="5"/>
  <c r="BF19" i="5"/>
  <c r="BF256" i="5"/>
  <c r="BF208" i="5"/>
  <c r="BF160" i="5"/>
  <c r="BF112" i="5"/>
  <c r="BF64" i="5"/>
  <c r="BF16" i="5"/>
  <c r="BF287" i="5"/>
  <c r="BF239" i="5"/>
  <c r="BF191" i="5"/>
  <c r="BF127" i="5"/>
  <c r="BF79" i="5"/>
  <c r="BF31" i="5"/>
  <c r="BF285" i="5"/>
  <c r="BF269" i="5"/>
  <c r="BF253" i="5"/>
  <c r="BF237" i="5"/>
  <c r="BF221" i="5"/>
  <c r="BF205" i="5"/>
  <c r="BF189" i="5"/>
  <c r="BF173" i="5"/>
  <c r="BF157" i="5"/>
  <c r="BF141" i="5"/>
  <c r="BF125" i="5"/>
  <c r="BF109" i="5"/>
  <c r="BF93" i="5"/>
  <c r="BF77" i="5"/>
  <c r="BF61" i="5"/>
  <c r="BF45" i="5"/>
  <c r="BF29" i="5"/>
  <c r="BF13" i="5"/>
  <c r="AF3" i="31"/>
  <c r="BF245" i="5"/>
  <c r="BF181" i="5"/>
  <c r="BF101" i="5"/>
  <c r="BF21" i="5"/>
  <c r="BF260" i="5"/>
  <c r="BF212" i="5"/>
  <c r="BF164" i="5"/>
  <c r="BF100" i="5"/>
  <c r="BF52" i="5"/>
  <c r="BF20" i="5"/>
  <c r="BF243" i="5"/>
  <c r="BF179" i="5"/>
  <c r="BF67" i="5"/>
  <c r="AF13" i="31"/>
  <c r="BF288" i="5"/>
  <c r="BF240" i="5"/>
  <c r="BF192" i="5"/>
  <c r="BF128" i="5"/>
  <c r="BF80" i="5"/>
  <c r="BF48" i="5"/>
  <c r="AF18" i="31"/>
  <c r="BF255" i="5"/>
  <c r="BF207" i="5"/>
  <c r="BF159" i="5"/>
  <c r="BF111" i="5"/>
  <c r="BF47" i="5"/>
  <c r="AF5" i="31"/>
  <c r="BF284" i="5"/>
  <c r="BF268" i="5"/>
  <c r="BF252" i="5"/>
  <c r="BF236" i="5"/>
  <c r="BF220" i="5"/>
  <c r="BF204" i="5"/>
  <c r="BF188" i="5"/>
  <c r="BF172" i="5"/>
  <c r="BF156" i="5"/>
  <c r="BF140" i="5"/>
  <c r="BF124" i="5"/>
  <c r="BF108" i="5"/>
  <c r="BF92" i="5"/>
  <c r="BF76" i="5"/>
  <c r="BF60" i="5"/>
  <c r="BF44" i="5"/>
  <c r="BF28" i="5"/>
  <c r="BF12" i="5"/>
  <c r="AF14" i="31"/>
  <c r="BF230" i="5"/>
  <c r="BF213" i="5"/>
  <c r="BF149" i="5"/>
  <c r="BF267" i="5"/>
  <c r="BF235" i="5"/>
  <c r="BF203" i="5"/>
  <c r="BF187" i="5"/>
  <c r="BF155" i="5"/>
  <c r="BF123" i="5"/>
  <c r="BF91" i="5"/>
  <c r="BF59" i="5"/>
  <c r="BF282" i="5"/>
  <c r="BF250" i="5"/>
  <c r="BF218" i="5"/>
  <c r="BF186" i="5"/>
  <c r="BF154" i="5"/>
  <c r="BF122" i="5"/>
  <c r="BF90" i="5"/>
  <c r="BF58" i="5"/>
  <c r="BF42" i="5"/>
  <c r="BF10" i="5"/>
  <c r="BF281" i="5"/>
  <c r="BF249" i="5"/>
  <c r="BF217" i="5"/>
  <c r="BF185" i="5"/>
  <c r="BF153" i="5"/>
  <c r="BF121" i="5"/>
  <c r="BF73" i="5"/>
  <c r="BF25" i="5"/>
  <c r="BF280" i="5"/>
  <c r="BF264" i="5"/>
  <c r="BF248" i="5"/>
  <c r="BF232" i="5"/>
  <c r="BF216" i="5"/>
  <c r="BF200" i="5"/>
  <c r="BF184" i="5"/>
  <c r="BF168" i="5"/>
  <c r="BF152" i="5"/>
  <c r="BF136" i="5"/>
  <c r="BF120" i="5"/>
  <c r="BF104" i="5"/>
  <c r="BF88" i="5"/>
  <c r="BF72" i="5"/>
  <c r="BF56" i="5"/>
  <c r="BF40" i="5"/>
  <c r="BF24" i="5"/>
  <c r="BF8" i="5"/>
  <c r="U4" i="31"/>
  <c r="U3" i="31"/>
  <c r="U15" i="31"/>
  <c r="U8" i="31"/>
  <c r="U9" i="31"/>
  <c r="U10" i="31"/>
  <c r="U7" i="31"/>
  <c r="U16" i="31"/>
  <c r="U17" i="31"/>
  <c r="U18" i="31"/>
  <c r="U19" i="31"/>
  <c r="U11" i="31"/>
  <c r="U12" i="31"/>
  <c r="U20" i="31"/>
  <c r="U13" i="31"/>
  <c r="U21" i="31"/>
  <c r="U6" i="31"/>
  <c r="U14" i="31"/>
  <c r="U22" i="31"/>
  <c r="AD3" i="31"/>
  <c r="R9" i="31"/>
  <c r="R8" i="31"/>
  <c r="R10" i="31"/>
  <c r="AD7" i="5"/>
  <c r="AD15" i="5"/>
  <c r="AD23" i="5"/>
  <c r="AD31" i="5"/>
  <c r="AD39" i="5"/>
  <c r="AD47" i="5"/>
  <c r="AD55" i="5"/>
  <c r="AD63" i="5"/>
  <c r="AD71" i="5"/>
  <c r="AD79" i="5"/>
  <c r="AD87" i="5"/>
  <c r="AD95" i="5"/>
  <c r="AD103" i="5"/>
  <c r="AD111" i="5"/>
  <c r="AD119" i="5"/>
  <c r="AD127" i="5"/>
  <c r="AD135" i="5"/>
  <c r="AD143" i="5"/>
  <c r="AD151" i="5"/>
  <c r="AD159" i="5"/>
  <c r="AD167" i="5"/>
  <c r="AD175" i="5"/>
  <c r="AD183" i="5"/>
  <c r="AD191" i="5"/>
  <c r="AD199" i="5"/>
  <c r="AD207" i="5"/>
  <c r="AD215" i="5"/>
  <c r="AD223" i="5"/>
  <c r="AD231" i="5"/>
  <c r="AD239" i="5"/>
  <c r="AD247" i="5"/>
  <c r="AD255" i="5"/>
  <c r="AD263" i="5"/>
  <c r="AD271" i="5"/>
  <c r="AD279" i="5"/>
  <c r="AD287" i="5"/>
  <c r="AD289" i="5"/>
  <c r="AD26" i="5"/>
  <c r="AD42" i="5"/>
  <c r="AD66" i="5"/>
  <c r="AD90" i="5"/>
  <c r="AD106" i="5"/>
  <c r="AD130" i="5"/>
  <c r="AD154" i="5"/>
  <c r="AD170" i="5"/>
  <c r="AD194" i="5"/>
  <c r="AD218" i="5"/>
  <c r="AD234" i="5"/>
  <c r="AD258" i="5"/>
  <c r="AD282" i="5"/>
  <c r="AD236" i="5"/>
  <c r="AD276" i="5"/>
  <c r="AD21" i="5"/>
  <c r="AD45" i="5"/>
  <c r="AD77" i="5"/>
  <c r="AD109" i="5"/>
  <c r="AD141" i="5"/>
  <c r="AD173" i="5"/>
  <c r="AD205" i="5"/>
  <c r="AD237" i="5"/>
  <c r="AD269" i="5"/>
  <c r="AD30" i="5"/>
  <c r="AD54" i="5"/>
  <c r="AD94" i="5"/>
  <c r="AD118" i="5"/>
  <c r="AD150" i="5"/>
  <c r="AD174" i="5"/>
  <c r="AD206" i="5"/>
  <c r="AD246" i="5"/>
  <c r="AD278" i="5"/>
  <c r="AD8" i="5"/>
  <c r="AD16" i="5"/>
  <c r="AD24" i="5"/>
  <c r="AD32" i="5"/>
  <c r="AD40" i="5"/>
  <c r="AD48" i="5"/>
  <c r="AD56" i="5"/>
  <c r="AD64" i="5"/>
  <c r="AD72" i="5"/>
  <c r="AD80" i="5"/>
  <c r="AD88" i="5"/>
  <c r="AD96" i="5"/>
  <c r="AD104" i="5"/>
  <c r="AD112" i="5"/>
  <c r="AD120" i="5"/>
  <c r="AD128" i="5"/>
  <c r="AD136" i="5"/>
  <c r="AD144" i="5"/>
  <c r="AD152" i="5"/>
  <c r="AD160" i="5"/>
  <c r="AD168" i="5"/>
  <c r="AD176" i="5"/>
  <c r="AD184" i="5"/>
  <c r="AD192" i="5"/>
  <c r="AD200" i="5"/>
  <c r="AD208" i="5"/>
  <c r="AD216" i="5"/>
  <c r="AD224" i="5"/>
  <c r="AD232" i="5"/>
  <c r="AD240" i="5"/>
  <c r="AD248" i="5"/>
  <c r="AD256" i="5"/>
  <c r="AD264" i="5"/>
  <c r="AD272" i="5"/>
  <c r="AD280" i="5"/>
  <c r="AD288" i="5"/>
  <c r="AD153" i="5"/>
  <c r="AD177" i="5"/>
  <c r="AD193" i="5"/>
  <c r="AD209" i="5"/>
  <c r="AD225" i="5"/>
  <c r="AD233" i="5"/>
  <c r="AD249" i="5"/>
  <c r="AD265" i="5"/>
  <c r="AD281" i="5"/>
  <c r="AD18" i="5"/>
  <c r="AD50" i="5"/>
  <c r="AD74" i="5"/>
  <c r="AD98" i="5"/>
  <c r="AD122" i="5"/>
  <c r="AD138" i="5"/>
  <c r="AD162" i="5"/>
  <c r="AD186" i="5"/>
  <c r="AD202" i="5"/>
  <c r="AD226" i="5"/>
  <c r="AD250" i="5"/>
  <c r="AD274" i="5"/>
  <c r="AD3" i="5"/>
  <c r="AD268" i="5"/>
  <c r="AD29" i="5"/>
  <c r="AD53" i="5"/>
  <c r="AD85" i="5"/>
  <c r="AD117" i="5"/>
  <c r="AD149" i="5"/>
  <c r="AD189" i="5"/>
  <c r="AD221" i="5"/>
  <c r="AD245" i="5"/>
  <c r="AD277" i="5"/>
  <c r="AD38" i="5"/>
  <c r="AD62" i="5"/>
  <c r="AD86" i="5"/>
  <c r="AD110" i="5"/>
  <c r="AD142" i="5"/>
  <c r="AD182" i="5"/>
  <c r="AD222" i="5"/>
  <c r="AD262" i="5"/>
  <c r="AD286" i="5"/>
  <c r="AD9" i="5"/>
  <c r="AD17" i="5"/>
  <c r="AD25" i="5"/>
  <c r="AD33" i="5"/>
  <c r="AD41" i="5"/>
  <c r="AD49" i="5"/>
  <c r="AD57" i="5"/>
  <c r="AD65" i="5"/>
  <c r="AD73" i="5"/>
  <c r="AD81" i="5"/>
  <c r="AD89" i="5"/>
  <c r="AD97" i="5"/>
  <c r="AD105" i="5"/>
  <c r="AD113" i="5"/>
  <c r="AD121" i="5"/>
  <c r="AD129" i="5"/>
  <c r="AD137" i="5"/>
  <c r="AD145" i="5"/>
  <c r="AD161" i="5"/>
  <c r="AD169" i="5"/>
  <c r="AD185" i="5"/>
  <c r="AD201" i="5"/>
  <c r="AD217" i="5"/>
  <c r="AD241" i="5"/>
  <c r="AD257" i="5"/>
  <c r="AD273" i="5"/>
  <c r="AD34" i="5"/>
  <c r="AD58" i="5"/>
  <c r="AD82" i="5"/>
  <c r="AD114" i="5"/>
  <c r="AD146" i="5"/>
  <c r="AD178" i="5"/>
  <c r="AD210" i="5"/>
  <c r="AD242" i="5"/>
  <c r="AD266" i="5"/>
  <c r="AD252" i="5"/>
  <c r="AD284" i="5"/>
  <c r="AD37" i="5"/>
  <c r="AD69" i="5"/>
  <c r="AD101" i="5"/>
  <c r="AD133" i="5"/>
  <c r="AD165" i="5"/>
  <c r="AD213" i="5"/>
  <c r="AD253" i="5"/>
  <c r="AD22" i="5"/>
  <c r="AD78" i="5"/>
  <c r="AD126" i="5"/>
  <c r="AD166" i="5"/>
  <c r="AD198" i="5"/>
  <c r="AD254" i="5"/>
  <c r="AD10" i="5"/>
  <c r="AD11" i="5"/>
  <c r="AD19" i="5"/>
  <c r="AD27" i="5"/>
  <c r="AD35" i="5"/>
  <c r="AD43" i="5"/>
  <c r="AD51" i="5"/>
  <c r="AD59" i="5"/>
  <c r="AD67" i="5"/>
  <c r="AD75" i="5"/>
  <c r="AD83" i="5"/>
  <c r="AD91" i="5"/>
  <c r="AD99" i="5"/>
  <c r="AD107" i="5"/>
  <c r="AD115" i="5"/>
  <c r="AD123" i="5"/>
  <c r="AD131" i="5"/>
  <c r="AD139" i="5"/>
  <c r="AD147" i="5"/>
  <c r="AD155" i="5"/>
  <c r="AD163" i="5"/>
  <c r="AD171" i="5"/>
  <c r="AD179" i="5"/>
  <c r="AD187" i="5"/>
  <c r="AD195" i="5"/>
  <c r="AD203" i="5"/>
  <c r="AD211" i="5"/>
  <c r="AD219" i="5"/>
  <c r="AD227" i="5"/>
  <c r="AD235" i="5"/>
  <c r="AD243" i="5"/>
  <c r="AD251" i="5"/>
  <c r="AD259" i="5"/>
  <c r="AD267" i="5"/>
  <c r="AD275" i="5"/>
  <c r="AD283" i="5"/>
  <c r="AD12" i="5"/>
  <c r="AD20" i="5"/>
  <c r="AD28" i="5"/>
  <c r="AD36" i="5"/>
  <c r="AD44" i="5"/>
  <c r="AD52" i="5"/>
  <c r="AD60" i="5"/>
  <c r="AD68" i="5"/>
  <c r="AD76" i="5"/>
  <c r="AD84" i="5"/>
  <c r="AD92" i="5"/>
  <c r="AD100" i="5"/>
  <c r="AD108" i="5"/>
  <c r="AD116" i="5"/>
  <c r="AD124" i="5"/>
  <c r="AD132" i="5"/>
  <c r="AD140" i="5"/>
  <c r="AD148" i="5"/>
  <c r="AD156" i="5"/>
  <c r="AD164" i="5"/>
  <c r="AD172" i="5"/>
  <c r="AD180" i="5"/>
  <c r="AD188" i="5"/>
  <c r="AD196" i="5"/>
  <c r="AD204" i="5"/>
  <c r="AD212" i="5"/>
  <c r="AD220" i="5"/>
  <c r="AD228" i="5"/>
  <c r="AD244" i="5"/>
  <c r="AD260" i="5"/>
  <c r="AD13" i="5"/>
  <c r="AD61" i="5"/>
  <c r="AD93" i="5"/>
  <c r="AD125" i="5"/>
  <c r="AD157" i="5"/>
  <c r="AD181" i="5"/>
  <c r="AD197" i="5"/>
  <c r="AD229" i="5"/>
  <c r="AD261" i="5"/>
  <c r="AD285" i="5"/>
  <c r="AD46" i="5"/>
  <c r="AD70" i="5"/>
  <c r="AD102" i="5"/>
  <c r="AD134" i="5"/>
  <c r="AD158" i="5"/>
  <c r="AD190" i="5"/>
  <c r="AD214" i="5"/>
  <c r="AD238" i="5"/>
  <c r="AD270" i="5"/>
  <c r="AD4" i="5"/>
  <c r="AD5" i="5"/>
  <c r="AD6" i="5"/>
  <c r="AD14" i="5"/>
  <c r="AD230" i="5"/>
  <c r="R17" i="31"/>
  <c r="R13" i="31"/>
  <c r="R14" i="31"/>
  <c r="R12" i="31"/>
  <c r="R3" i="31"/>
  <c r="R15" i="31"/>
  <c r="R21" i="31"/>
  <c r="R6" i="31"/>
  <c r="R18" i="31"/>
  <c r="R4" i="31"/>
  <c r="R16" i="31"/>
  <c r="R20" i="31"/>
  <c r="R7" i="31"/>
  <c r="R11" i="31"/>
  <c r="R19" i="31"/>
  <c r="R22" i="31"/>
  <c r="R5" i="31"/>
  <c r="AZ4" i="5"/>
  <c r="AZ35" i="5"/>
  <c r="AZ243" i="5"/>
  <c r="AZ187" i="5"/>
  <c r="AZ155" i="5"/>
  <c r="AZ107" i="5"/>
  <c r="AZ91" i="5"/>
  <c r="AZ67" i="5"/>
  <c r="AZ11" i="5"/>
  <c r="AZ282" i="5"/>
  <c r="AZ274" i="5"/>
  <c r="AZ266" i="5"/>
  <c r="AZ258" i="5"/>
  <c r="AZ250" i="5"/>
  <c r="AZ242" i="5"/>
  <c r="AZ234" i="5"/>
  <c r="AZ226" i="5"/>
  <c r="AZ218" i="5"/>
  <c r="AZ210" i="5"/>
  <c r="AZ202" i="5"/>
  <c r="AZ194" i="5"/>
  <c r="AZ186" i="5"/>
  <c r="AZ178" i="5"/>
  <c r="AZ170" i="5"/>
  <c r="AZ162" i="5"/>
  <c r="AZ154" i="5"/>
  <c r="AZ146" i="5"/>
  <c r="AZ138" i="5"/>
  <c r="AZ130" i="5"/>
  <c r="AZ122" i="5"/>
  <c r="AZ114" i="5"/>
  <c r="AZ106" i="5"/>
  <c r="AZ98" i="5"/>
  <c r="AZ90" i="5"/>
  <c r="AZ82" i="5"/>
  <c r="AZ74" i="5"/>
  <c r="AZ66" i="5"/>
  <c r="AZ58" i="5"/>
  <c r="AZ42" i="5"/>
  <c r="AZ34" i="5"/>
  <c r="AZ26" i="5"/>
  <c r="AZ18" i="5"/>
  <c r="AZ10" i="5"/>
  <c r="AZ235" i="5"/>
  <c r="AZ195" i="5"/>
  <c r="AZ147" i="5"/>
  <c r="AZ99" i="5"/>
  <c r="AZ83" i="5"/>
  <c r="AZ75" i="5"/>
  <c r="AZ19" i="5"/>
  <c r="AZ289" i="5"/>
  <c r="AZ281" i="5"/>
  <c r="AZ273" i="5"/>
  <c r="AZ265" i="5"/>
  <c r="AZ257" i="5"/>
  <c r="AZ249" i="5"/>
  <c r="AZ241" i="5"/>
  <c r="AZ233" i="5"/>
  <c r="AZ225" i="5"/>
  <c r="AZ217" i="5"/>
  <c r="AZ209" i="5"/>
  <c r="AZ201" i="5"/>
  <c r="AZ193" i="5"/>
  <c r="AZ185" i="5"/>
  <c r="AZ177" i="5"/>
  <c r="AZ169" i="5"/>
  <c r="AZ161" i="5"/>
  <c r="AZ153" i="5"/>
  <c r="AZ145" i="5"/>
  <c r="AZ137" i="5"/>
  <c r="AZ129" i="5"/>
  <c r="AZ121" i="5"/>
  <c r="AZ113" i="5"/>
  <c r="AZ105" i="5"/>
  <c r="AZ97" i="5"/>
  <c r="AZ89" i="5"/>
  <c r="AZ81" i="5"/>
  <c r="AZ73" i="5"/>
  <c r="AZ65" i="5"/>
  <c r="AZ57" i="5"/>
  <c r="AZ49" i="5"/>
  <c r="AZ41" i="5"/>
  <c r="AZ33" i="5"/>
  <c r="AZ25" i="5"/>
  <c r="AZ17" i="5"/>
  <c r="AZ9" i="5"/>
  <c r="AZ275" i="5"/>
  <c r="AZ227" i="5"/>
  <c r="AZ171" i="5"/>
  <c r="AZ123" i="5"/>
  <c r="AZ27" i="5"/>
  <c r="AZ288" i="5"/>
  <c r="AZ280" i="5"/>
  <c r="AZ272" i="5"/>
  <c r="AZ264" i="5"/>
  <c r="AZ256" i="5"/>
  <c r="AZ248" i="5"/>
  <c r="AZ240" i="5"/>
  <c r="AZ232" i="5"/>
  <c r="AZ224" i="5"/>
  <c r="AZ216" i="5"/>
  <c r="AZ208" i="5"/>
  <c r="AZ200" i="5"/>
  <c r="AZ192" i="5"/>
  <c r="AZ184" i="5"/>
  <c r="AZ176" i="5"/>
  <c r="AZ168" i="5"/>
  <c r="AZ160" i="5"/>
  <c r="AZ152" i="5"/>
  <c r="AZ144" i="5"/>
  <c r="AZ136" i="5"/>
  <c r="AZ128" i="5"/>
  <c r="AZ120" i="5"/>
  <c r="AZ112" i="5"/>
  <c r="AZ104" i="5"/>
  <c r="AZ96" i="5"/>
  <c r="AZ88" i="5"/>
  <c r="AZ80" i="5"/>
  <c r="AZ72" i="5"/>
  <c r="AZ64" i="5"/>
  <c r="AZ56" i="5"/>
  <c r="AZ48" i="5"/>
  <c r="AZ40" i="5"/>
  <c r="AZ32" i="5"/>
  <c r="AZ24" i="5"/>
  <c r="AZ16" i="5"/>
  <c r="AZ8" i="5"/>
  <c r="AZ267" i="5"/>
  <c r="AZ211" i="5"/>
  <c r="AZ139" i="5"/>
  <c r="AZ51" i="5"/>
  <c r="AZ3" i="5"/>
  <c r="AZ287" i="5"/>
  <c r="AZ279" i="5"/>
  <c r="AZ271" i="5"/>
  <c r="AZ263" i="5"/>
  <c r="AZ255" i="5"/>
  <c r="AZ247" i="5"/>
  <c r="AZ239" i="5"/>
  <c r="AZ231" i="5"/>
  <c r="AZ223" i="5"/>
  <c r="AZ215" i="5"/>
  <c r="AZ207" i="5"/>
  <c r="AZ199" i="5"/>
  <c r="AZ191" i="5"/>
  <c r="AZ183" i="5"/>
  <c r="AZ175" i="5"/>
  <c r="AZ167" i="5"/>
  <c r="AZ159" i="5"/>
  <c r="AZ151" i="5"/>
  <c r="AZ143" i="5"/>
  <c r="AZ135" i="5"/>
  <c r="AZ127" i="5"/>
  <c r="AZ119" i="5"/>
  <c r="AZ111" i="5"/>
  <c r="AZ103" i="5"/>
  <c r="AZ95" i="5"/>
  <c r="AZ87" i="5"/>
  <c r="AZ79" i="5"/>
  <c r="AZ71" i="5"/>
  <c r="AZ63" i="5"/>
  <c r="AZ55" i="5"/>
  <c r="AZ47" i="5"/>
  <c r="AZ39" i="5"/>
  <c r="AZ31" i="5"/>
  <c r="AZ23" i="5"/>
  <c r="AZ15" i="5"/>
  <c r="AZ7" i="5"/>
  <c r="AZ259" i="5"/>
  <c r="AZ179" i="5"/>
  <c r="AZ59" i="5"/>
  <c r="AZ286" i="5"/>
  <c r="AZ278" i="5"/>
  <c r="AZ270" i="5"/>
  <c r="AZ262" i="5"/>
  <c r="AZ254" i="5"/>
  <c r="AZ246" i="5"/>
  <c r="AZ238" i="5"/>
  <c r="AZ230" i="5"/>
  <c r="AZ222" i="5"/>
  <c r="AZ214" i="5"/>
  <c r="AZ206" i="5"/>
  <c r="AZ198" i="5"/>
  <c r="AZ190" i="5"/>
  <c r="AZ182" i="5"/>
  <c r="AZ174" i="5"/>
  <c r="AZ166" i="5"/>
  <c r="AZ158" i="5"/>
  <c r="AZ150" i="5"/>
  <c r="AZ142" i="5"/>
  <c r="AZ134" i="5"/>
  <c r="AZ126" i="5"/>
  <c r="AZ118" i="5"/>
  <c r="AZ110" i="5"/>
  <c r="AZ102" i="5"/>
  <c r="AZ94" i="5"/>
  <c r="AZ86" i="5"/>
  <c r="AZ78" i="5"/>
  <c r="AZ70" i="5"/>
  <c r="AZ62" i="5"/>
  <c r="AZ54" i="5"/>
  <c r="AZ46" i="5"/>
  <c r="AZ38" i="5"/>
  <c r="AZ30" i="5"/>
  <c r="AZ22" i="5"/>
  <c r="AZ14" i="5"/>
  <c r="AZ6" i="5"/>
  <c r="AZ251" i="5"/>
  <c r="AZ203" i="5"/>
  <c r="AZ131" i="5"/>
  <c r="AZ43" i="5"/>
  <c r="AZ285" i="5"/>
  <c r="AZ277" i="5"/>
  <c r="AZ269" i="5"/>
  <c r="AZ261" i="5"/>
  <c r="AZ253" i="5"/>
  <c r="AZ245" i="5"/>
  <c r="AZ237" i="5"/>
  <c r="AZ229" i="5"/>
  <c r="AZ221" i="5"/>
  <c r="AZ213" i="5"/>
  <c r="AZ205" i="5"/>
  <c r="AZ197" i="5"/>
  <c r="AZ189" i="5"/>
  <c r="AZ181" i="5"/>
  <c r="AZ173" i="5"/>
  <c r="AZ165" i="5"/>
  <c r="AZ157" i="5"/>
  <c r="AZ149" i="5"/>
  <c r="AZ141" i="5"/>
  <c r="AZ133" i="5"/>
  <c r="AZ125" i="5"/>
  <c r="AZ117" i="5"/>
  <c r="AZ109" i="5"/>
  <c r="AZ101" i="5"/>
  <c r="AZ93" i="5"/>
  <c r="AZ85" i="5"/>
  <c r="AZ77" i="5"/>
  <c r="AZ69" i="5"/>
  <c r="AZ61" i="5"/>
  <c r="AZ53" i="5"/>
  <c r="AZ45" i="5"/>
  <c r="AZ37" i="5"/>
  <c r="AZ29" i="5"/>
  <c r="AZ21" i="5"/>
  <c r="AZ13" i="5"/>
  <c r="AZ5" i="5"/>
  <c r="AZ283" i="5"/>
  <c r="AZ219" i="5"/>
  <c r="AZ163" i="5"/>
  <c r="AZ115" i="5"/>
  <c r="AZ284" i="5"/>
  <c r="AZ276" i="5"/>
  <c r="AZ268" i="5"/>
  <c r="AZ260" i="5"/>
  <c r="AZ252" i="5"/>
  <c r="AZ244" i="5"/>
  <c r="AZ236" i="5"/>
  <c r="AZ228" i="5"/>
  <c r="AZ220" i="5"/>
  <c r="AZ212" i="5"/>
  <c r="AZ204" i="5"/>
  <c r="AZ196" i="5"/>
  <c r="AZ188" i="5"/>
  <c r="AZ180" i="5"/>
  <c r="AZ172" i="5"/>
  <c r="AZ164" i="5"/>
  <c r="AZ156" i="5"/>
  <c r="AZ148" i="5"/>
  <c r="AZ140" i="5"/>
  <c r="AZ132" i="5"/>
  <c r="AZ124" i="5"/>
  <c r="AZ116" i="5"/>
  <c r="AZ108" i="5"/>
  <c r="AZ100" i="5"/>
  <c r="AZ92" i="5"/>
  <c r="AZ84" i="5"/>
  <c r="AZ76" i="5"/>
  <c r="AZ68" i="5"/>
  <c r="AZ60" i="5"/>
  <c r="AZ52" i="5"/>
  <c r="AZ44" i="5"/>
  <c r="AZ36" i="5"/>
  <c r="AZ28" i="5"/>
  <c r="AZ20" i="5"/>
  <c r="AZ12" i="5"/>
  <c r="R246" i="5"/>
  <c r="S236" i="5"/>
  <c r="S244" i="5"/>
  <c r="S252" i="5"/>
  <c r="S260" i="5"/>
  <c r="S268" i="5"/>
  <c r="S276" i="5"/>
  <c r="S284" i="5"/>
  <c r="S229" i="5"/>
  <c r="S237" i="5"/>
  <c r="S245" i="5"/>
  <c r="S253" i="5"/>
  <c r="S261" i="5"/>
  <c r="S269" i="5"/>
  <c r="S277" i="5"/>
  <c r="S285" i="5"/>
  <c r="S262" i="5"/>
  <c r="S270" i="5"/>
  <c r="S278" i="5"/>
  <c r="S286" i="5"/>
  <c r="S15" i="5"/>
  <c r="S23" i="5"/>
  <c r="S31" i="5"/>
  <c r="S39" i="5"/>
  <c r="S47" i="5"/>
  <c r="S55" i="5"/>
  <c r="S63" i="5"/>
  <c r="S71" i="5"/>
  <c r="S79" i="5"/>
  <c r="S87" i="5"/>
  <c r="S95" i="5"/>
  <c r="S103" i="5"/>
  <c r="S111" i="5"/>
  <c r="S119" i="5"/>
  <c r="S127" i="5"/>
  <c r="S135" i="5"/>
  <c r="S143" i="5"/>
  <c r="S74" i="5"/>
  <c r="S106" i="5"/>
  <c r="S130" i="5"/>
  <c r="S154" i="5"/>
  <c r="S178" i="5"/>
  <c r="S202" i="5"/>
  <c r="S226" i="5"/>
  <c r="S250" i="5"/>
  <c r="S274" i="5"/>
  <c r="S50" i="5"/>
  <c r="S82" i="5"/>
  <c r="S98" i="5"/>
  <c r="S122" i="5"/>
  <c r="S146" i="5"/>
  <c r="S170" i="5"/>
  <c r="S194" i="5"/>
  <c r="S218" i="5"/>
  <c r="S242" i="5"/>
  <c r="S266" i="5"/>
  <c r="S18" i="5"/>
  <c r="S26" i="5"/>
  <c r="S34" i="5"/>
  <c r="S42" i="5"/>
  <c r="S58" i="5"/>
  <c r="S66" i="5"/>
  <c r="S90" i="5"/>
  <c r="S114" i="5"/>
  <c r="S138" i="5"/>
  <c r="S162" i="5"/>
  <c r="S186" i="5"/>
  <c r="S210" i="5"/>
  <c r="S234" i="5"/>
  <c r="S258" i="5"/>
  <c r="S282" i="5"/>
  <c r="S207" i="5"/>
  <c r="S263" i="5"/>
  <c r="S199" i="5"/>
  <c r="S271" i="5"/>
  <c r="S255" i="5"/>
  <c r="S191" i="5"/>
  <c r="S247" i="5"/>
  <c r="S183" i="5"/>
  <c r="S3" i="5"/>
  <c r="S239" i="5"/>
  <c r="S175" i="5"/>
  <c r="S231" i="5"/>
  <c r="S167" i="5"/>
  <c r="S287" i="5"/>
  <c r="S223" i="5"/>
  <c r="S159" i="5"/>
  <c r="S4" i="5"/>
  <c r="S279" i="5"/>
  <c r="S215" i="5"/>
  <c r="S151" i="5"/>
  <c r="S283" i="5"/>
  <c r="S275" i="5"/>
  <c r="S267" i="5"/>
  <c r="S259" i="5"/>
  <c r="S251" i="5"/>
  <c r="S243" i="5"/>
  <c r="S235" i="5"/>
  <c r="S227" i="5"/>
  <c r="S219" i="5"/>
  <c r="S211" i="5"/>
  <c r="S203" i="5"/>
  <c r="S195" i="5"/>
  <c r="S187" i="5"/>
  <c r="S179" i="5"/>
  <c r="S171" i="5"/>
  <c r="S163" i="5"/>
  <c r="S155" i="5"/>
  <c r="S147" i="5"/>
  <c r="S139" i="5"/>
  <c r="S131" i="5"/>
  <c r="S123" i="5"/>
  <c r="S115" i="5"/>
  <c r="S107" i="5"/>
  <c r="S99" i="5"/>
  <c r="S91" i="5"/>
  <c r="S83" i="5"/>
  <c r="S75" i="5"/>
  <c r="S67" i="5"/>
  <c r="S59" i="5"/>
  <c r="S51" i="5"/>
  <c r="S43" i="5"/>
  <c r="S35" i="5"/>
  <c r="S27" i="5"/>
  <c r="S19" i="5"/>
  <c r="S11" i="5"/>
  <c r="S10" i="5"/>
  <c r="S289" i="5"/>
  <c r="S281" i="5"/>
  <c r="S273" i="5"/>
  <c r="S265" i="5"/>
  <c r="S257" i="5"/>
  <c r="S249" i="5"/>
  <c r="S241" i="5"/>
  <c r="S233" i="5"/>
  <c r="S225" i="5"/>
  <c r="S217" i="5"/>
  <c r="S209" i="5"/>
  <c r="S201" i="5"/>
  <c r="S193" i="5"/>
  <c r="S185" i="5"/>
  <c r="S177" i="5"/>
  <c r="S169" i="5"/>
  <c r="S161" i="5"/>
  <c r="S153" i="5"/>
  <c r="S145" i="5"/>
  <c r="S137" i="5"/>
  <c r="S129" i="5"/>
  <c r="S121" i="5"/>
  <c r="S113" i="5"/>
  <c r="S105" i="5"/>
  <c r="S97" i="5"/>
  <c r="S89" i="5"/>
  <c r="S81" i="5"/>
  <c r="S73" i="5"/>
  <c r="S65" i="5"/>
  <c r="S57" i="5"/>
  <c r="S49" i="5"/>
  <c r="S41" i="5"/>
  <c r="S33" i="5"/>
  <c r="S25" i="5"/>
  <c r="S17" i="5"/>
  <c r="S9" i="5"/>
  <c r="R86" i="5"/>
  <c r="S288" i="5"/>
  <c r="S280" i="5"/>
  <c r="S272" i="5"/>
  <c r="S264" i="5"/>
  <c r="S256" i="5"/>
  <c r="S248" i="5"/>
  <c r="S240" i="5"/>
  <c r="S232" i="5"/>
  <c r="S224" i="5"/>
  <c r="S216" i="5"/>
  <c r="S208" i="5"/>
  <c r="S200" i="5"/>
  <c r="S192" i="5"/>
  <c r="S184" i="5"/>
  <c r="S176" i="5"/>
  <c r="S168" i="5"/>
  <c r="S160" i="5"/>
  <c r="S152" i="5"/>
  <c r="S144" i="5"/>
  <c r="S136" i="5"/>
  <c r="S128" i="5"/>
  <c r="S120" i="5"/>
  <c r="S112" i="5"/>
  <c r="S104" i="5"/>
  <c r="S96" i="5"/>
  <c r="S88" i="5"/>
  <c r="S80" i="5"/>
  <c r="S72" i="5"/>
  <c r="S64" i="5"/>
  <c r="S56" i="5"/>
  <c r="S48" i="5"/>
  <c r="S40" i="5"/>
  <c r="S32" i="5"/>
  <c r="S24" i="5"/>
  <c r="S16" i="5"/>
  <c r="S8" i="5"/>
  <c r="S7" i="5"/>
  <c r="S254" i="5"/>
  <c r="S246" i="5"/>
  <c r="S238" i="5"/>
  <c r="S230" i="5"/>
  <c r="S222" i="5"/>
  <c r="S214" i="5"/>
  <c r="S206" i="5"/>
  <c r="S198" i="5"/>
  <c r="S190" i="5"/>
  <c r="S182" i="5"/>
  <c r="S174" i="5"/>
  <c r="S166" i="5"/>
  <c r="S158" i="5"/>
  <c r="S150" i="5"/>
  <c r="S142" i="5"/>
  <c r="S134" i="5"/>
  <c r="S126" i="5"/>
  <c r="S118" i="5"/>
  <c r="S110" i="5"/>
  <c r="S102" i="5"/>
  <c r="S94" i="5"/>
  <c r="S86" i="5"/>
  <c r="S78" i="5"/>
  <c r="S70" i="5"/>
  <c r="S62" i="5"/>
  <c r="S54" i="5"/>
  <c r="S46" i="5"/>
  <c r="S38" i="5"/>
  <c r="S30" i="5"/>
  <c r="S22" i="5"/>
  <c r="S14" i="5"/>
  <c r="S6" i="5"/>
  <c r="S221" i="5"/>
  <c r="S213" i="5"/>
  <c r="S205" i="5"/>
  <c r="S197" i="5"/>
  <c r="S189" i="5"/>
  <c r="S181" i="5"/>
  <c r="S173" i="5"/>
  <c r="S165" i="5"/>
  <c r="S157" i="5"/>
  <c r="S149" i="5"/>
  <c r="S141" i="5"/>
  <c r="S133" i="5"/>
  <c r="S125" i="5"/>
  <c r="S117" i="5"/>
  <c r="S109" i="5"/>
  <c r="S101" i="5"/>
  <c r="S93" i="5"/>
  <c r="S85" i="5"/>
  <c r="S77" i="5"/>
  <c r="S69" i="5"/>
  <c r="S61" i="5"/>
  <c r="S53" i="5"/>
  <c r="S45" i="5"/>
  <c r="S37" i="5"/>
  <c r="S29" i="5"/>
  <c r="S21" i="5"/>
  <c r="S13" i="5"/>
  <c r="S5" i="5"/>
  <c r="S228" i="5"/>
  <c r="S220" i="5"/>
  <c r="S212" i="5"/>
  <c r="S204" i="5"/>
  <c r="S196" i="5"/>
  <c r="S188" i="5"/>
  <c r="S180" i="5"/>
  <c r="S172" i="5"/>
  <c r="S164" i="5"/>
  <c r="S156" i="5"/>
  <c r="S148" i="5"/>
  <c r="S140" i="5"/>
  <c r="S132" i="5"/>
  <c r="S124" i="5"/>
  <c r="S116" i="5"/>
  <c r="S108" i="5"/>
  <c r="S100" i="5"/>
  <c r="S92" i="5"/>
  <c r="S84" i="5"/>
  <c r="S76" i="5"/>
  <c r="S68" i="5"/>
  <c r="S60" i="5"/>
  <c r="S52" i="5"/>
  <c r="S44" i="5"/>
  <c r="S36" i="5"/>
  <c r="S28" i="5"/>
  <c r="S20" i="5"/>
  <c r="S12" i="5"/>
  <c r="R160" i="5"/>
  <c r="R74" i="5"/>
  <c r="R150" i="5"/>
  <c r="R139" i="5"/>
  <c r="R214" i="5"/>
  <c r="R128" i="5"/>
  <c r="R235" i="5"/>
  <c r="R224" i="5"/>
  <c r="R43" i="5"/>
  <c r="R286" i="5"/>
  <c r="R203" i="5"/>
  <c r="R118" i="5"/>
  <c r="R32" i="5"/>
  <c r="R278" i="5"/>
  <c r="R192" i="5"/>
  <c r="R96" i="5"/>
  <c r="R60" i="5"/>
  <c r="R276" i="5"/>
  <c r="R107" i="5"/>
  <c r="R267" i="5"/>
  <c r="R182" i="5"/>
  <c r="R44" i="5"/>
  <c r="R256" i="5"/>
  <c r="R171" i="5"/>
  <c r="R255" i="5"/>
  <c r="R223" i="5"/>
  <c r="R180" i="5"/>
  <c r="R159" i="5"/>
  <c r="R138" i="5"/>
  <c r="R116" i="5"/>
  <c r="R95" i="5"/>
  <c r="R72" i="5"/>
  <c r="R40" i="5"/>
  <c r="R283" i="5"/>
  <c r="R274" i="5"/>
  <c r="R264" i="5"/>
  <c r="R254" i="5"/>
  <c r="R243" i="5"/>
  <c r="R232" i="5"/>
  <c r="R222" i="5"/>
  <c r="R211" i="5"/>
  <c r="R200" i="5"/>
  <c r="R190" i="5"/>
  <c r="R179" i="5"/>
  <c r="R168" i="5"/>
  <c r="R158" i="5"/>
  <c r="R147" i="5"/>
  <c r="R136" i="5"/>
  <c r="R126" i="5"/>
  <c r="R115" i="5"/>
  <c r="R104" i="5"/>
  <c r="R94" i="5"/>
  <c r="R83" i="5"/>
  <c r="R71" i="5"/>
  <c r="R58" i="5"/>
  <c r="R36" i="5"/>
  <c r="R16" i="5"/>
  <c r="R266" i="5"/>
  <c r="R234" i="5"/>
  <c r="R191" i="5"/>
  <c r="R170" i="5"/>
  <c r="R148" i="5"/>
  <c r="R127" i="5"/>
  <c r="R106" i="5"/>
  <c r="R84" i="5"/>
  <c r="R59" i="5"/>
  <c r="R51" i="5"/>
  <c r="R282" i="5"/>
  <c r="R273" i="5"/>
  <c r="R263" i="5"/>
  <c r="R252" i="5"/>
  <c r="R242" i="5"/>
  <c r="R231" i="5"/>
  <c r="R220" i="5"/>
  <c r="R210" i="5"/>
  <c r="R199" i="5"/>
  <c r="R188" i="5"/>
  <c r="R178" i="5"/>
  <c r="R167" i="5"/>
  <c r="R156" i="5"/>
  <c r="R146" i="5"/>
  <c r="R135" i="5"/>
  <c r="R124" i="5"/>
  <c r="R114" i="5"/>
  <c r="R103" i="5"/>
  <c r="R92" i="5"/>
  <c r="R82" i="5"/>
  <c r="R68" i="5"/>
  <c r="R55" i="5"/>
  <c r="R34" i="5"/>
  <c r="R19" i="5"/>
  <c r="R284" i="5"/>
  <c r="R212" i="5"/>
  <c r="R251" i="5"/>
  <c r="R219" i="5"/>
  <c r="R187" i="5"/>
  <c r="R155" i="5"/>
  <c r="R123" i="5"/>
  <c r="R91" i="5"/>
  <c r="R52" i="5"/>
  <c r="R289" i="5"/>
  <c r="R280" i="5"/>
  <c r="R271" i="5"/>
  <c r="R260" i="5"/>
  <c r="R250" i="5"/>
  <c r="R239" i="5"/>
  <c r="R228" i="5"/>
  <c r="R218" i="5"/>
  <c r="R207" i="5"/>
  <c r="R196" i="5"/>
  <c r="R186" i="5"/>
  <c r="R175" i="5"/>
  <c r="R164" i="5"/>
  <c r="R154" i="5"/>
  <c r="R143" i="5"/>
  <c r="R132" i="5"/>
  <c r="R122" i="5"/>
  <c r="R111" i="5"/>
  <c r="R100" i="5"/>
  <c r="R90" i="5"/>
  <c r="R79" i="5"/>
  <c r="R66" i="5"/>
  <c r="R50" i="5"/>
  <c r="R18" i="5"/>
  <c r="R3" i="5"/>
  <c r="R244" i="5"/>
  <c r="R272" i="5"/>
  <c r="R262" i="5"/>
  <c r="R230" i="5"/>
  <c r="R198" i="5"/>
  <c r="R166" i="5"/>
  <c r="R134" i="5"/>
  <c r="R102" i="5"/>
  <c r="R67" i="5"/>
  <c r="R10" i="5"/>
  <c r="R288" i="5"/>
  <c r="R279" i="5"/>
  <c r="R270" i="5"/>
  <c r="R259" i="5"/>
  <c r="R248" i="5"/>
  <c r="R238" i="5"/>
  <c r="R227" i="5"/>
  <c r="R216" i="5"/>
  <c r="R206" i="5"/>
  <c r="R195" i="5"/>
  <c r="R184" i="5"/>
  <c r="R174" i="5"/>
  <c r="R163" i="5"/>
  <c r="R152" i="5"/>
  <c r="R142" i="5"/>
  <c r="R131" i="5"/>
  <c r="R120" i="5"/>
  <c r="R110" i="5"/>
  <c r="R99" i="5"/>
  <c r="R88" i="5"/>
  <c r="R76" i="5"/>
  <c r="R64" i="5"/>
  <c r="R48" i="5"/>
  <c r="R12" i="5"/>
  <c r="R275" i="5"/>
  <c r="R202" i="5"/>
  <c r="R281" i="5"/>
  <c r="R240" i="5"/>
  <c r="R208" i="5"/>
  <c r="R176" i="5"/>
  <c r="R144" i="5"/>
  <c r="R112" i="5"/>
  <c r="R80" i="5"/>
  <c r="R28" i="5"/>
  <c r="R287" i="5"/>
  <c r="R268" i="5"/>
  <c r="R258" i="5"/>
  <c r="R247" i="5"/>
  <c r="R236" i="5"/>
  <c r="R226" i="5"/>
  <c r="R215" i="5"/>
  <c r="R204" i="5"/>
  <c r="R194" i="5"/>
  <c r="R183" i="5"/>
  <c r="R172" i="5"/>
  <c r="R162" i="5"/>
  <c r="R151" i="5"/>
  <c r="R140" i="5"/>
  <c r="R130" i="5"/>
  <c r="R119" i="5"/>
  <c r="R108" i="5"/>
  <c r="R98" i="5"/>
  <c r="R87" i="5"/>
  <c r="R75" i="5"/>
  <c r="R63" i="5"/>
  <c r="R27" i="5"/>
  <c r="R11" i="5"/>
  <c r="R56" i="5"/>
  <c r="R42" i="5"/>
  <c r="R26" i="5"/>
  <c r="R24" i="5"/>
  <c r="R8" i="5"/>
  <c r="R20" i="5"/>
  <c r="R4" i="5"/>
  <c r="R35" i="5"/>
  <c r="R5" i="5"/>
  <c r="R265" i="5"/>
  <c r="R257" i="5"/>
  <c r="R249" i="5"/>
  <c r="R241" i="5"/>
  <c r="R233" i="5"/>
  <c r="R225" i="5"/>
  <c r="R217" i="5"/>
  <c r="R209" i="5"/>
  <c r="R201" i="5"/>
  <c r="R193" i="5"/>
  <c r="R185" i="5"/>
  <c r="R177" i="5"/>
  <c r="R169" i="5"/>
  <c r="R161" i="5"/>
  <c r="R153" i="5"/>
  <c r="R145" i="5"/>
  <c r="R137" i="5"/>
  <c r="R129" i="5"/>
  <c r="R121" i="5"/>
  <c r="R113" i="5"/>
  <c r="R105" i="5"/>
  <c r="R97" i="5"/>
  <c r="R89" i="5"/>
  <c r="R81" i="5"/>
  <c r="R73" i="5"/>
  <c r="R65" i="5"/>
  <c r="R57" i="5"/>
  <c r="R49" i="5"/>
  <c r="R41" i="5"/>
  <c r="R33" i="5"/>
  <c r="R25" i="5"/>
  <c r="R17" i="5"/>
  <c r="R9" i="5"/>
  <c r="R47" i="5"/>
  <c r="R39" i="5"/>
  <c r="R31" i="5"/>
  <c r="R23" i="5"/>
  <c r="R15" i="5"/>
  <c r="R7" i="5"/>
  <c r="R78" i="5"/>
  <c r="R62" i="5"/>
  <c r="R54" i="5"/>
  <c r="R38" i="5"/>
  <c r="R30" i="5"/>
  <c r="R22" i="5"/>
  <c r="R14" i="5"/>
  <c r="R6" i="5"/>
  <c r="R70" i="5"/>
  <c r="R46" i="5"/>
  <c r="R285" i="5"/>
  <c r="R277" i="5"/>
  <c r="R269" i="5"/>
  <c r="R261" i="5"/>
  <c r="R253" i="5"/>
  <c r="R245" i="5"/>
  <c r="R237" i="5"/>
  <c r="R229" i="5"/>
  <c r="R221" i="5"/>
  <c r="R213" i="5"/>
  <c r="R205" i="5"/>
  <c r="R197" i="5"/>
  <c r="R189" i="5"/>
  <c r="R181" i="5"/>
  <c r="R173" i="5"/>
  <c r="R165" i="5"/>
  <c r="R157" i="5"/>
  <c r="R149" i="5"/>
  <c r="R141" i="5"/>
  <c r="R133" i="5"/>
  <c r="R125" i="5"/>
  <c r="R117" i="5"/>
  <c r="R109" i="5"/>
  <c r="R101" i="5"/>
  <c r="R93" i="5"/>
  <c r="R85" i="5"/>
  <c r="R77" i="5"/>
  <c r="R69" i="5"/>
  <c r="R61" i="5"/>
  <c r="R53" i="5"/>
  <c r="R45" i="5"/>
  <c r="R37" i="5"/>
  <c r="R29" i="5"/>
  <c r="R21" i="5"/>
  <c r="R13" i="5"/>
  <c r="BG134" i="5"/>
  <c r="BG69" i="5"/>
  <c r="BG37" i="5"/>
  <c r="BG147" i="5"/>
  <c r="BG75" i="5"/>
  <c r="BG67" i="5"/>
  <c r="BG11" i="5"/>
  <c r="BG18" i="5"/>
  <c r="BG110" i="5"/>
  <c r="BG3" i="5"/>
  <c r="BG249" i="5"/>
  <c r="BG209" i="5"/>
  <c r="BG106" i="5"/>
  <c r="BG4" i="5"/>
  <c r="BG167" i="5"/>
  <c r="BG127" i="5"/>
  <c r="BG7" i="5"/>
  <c r="U21" i="13"/>
  <c r="U9" i="13"/>
  <c r="U22" i="13"/>
  <c r="U10" i="13"/>
  <c r="U11" i="13"/>
  <c r="U12" i="13"/>
  <c r="U23" i="13"/>
  <c r="U24" i="13"/>
  <c r="U25" i="13"/>
  <c r="U13" i="13"/>
  <c r="U26" i="13"/>
  <c r="U27" i="13"/>
  <c r="U14" i="13"/>
  <c r="U15" i="13"/>
  <c r="U20" i="13"/>
  <c r="AL3" i="21"/>
  <c r="AL4" i="21"/>
  <c r="AL5" i="21"/>
  <c r="AL6" i="21"/>
  <c r="AL7" i="21"/>
  <c r="AL8" i="21"/>
  <c r="AL9" i="21"/>
  <c r="AL10" i="21"/>
  <c r="AL11" i="21"/>
  <c r="AL12" i="21"/>
  <c r="AL13" i="21"/>
  <c r="AL14" i="21"/>
  <c r="AL15" i="21"/>
  <c r="AL16" i="21"/>
  <c r="AL17" i="21"/>
  <c r="AL18" i="21"/>
  <c r="AL19" i="21"/>
  <c r="AL20" i="21"/>
  <c r="AL21" i="21"/>
  <c r="AL22" i="21"/>
  <c r="AL23" i="21"/>
  <c r="AL24" i="21"/>
  <c r="AL25" i="21"/>
  <c r="AL26" i="21"/>
  <c r="AL27" i="21"/>
  <c r="AL28" i="21"/>
  <c r="AL29" i="21"/>
  <c r="AL30" i="21"/>
  <c r="AL31" i="21"/>
  <c r="AL32" i="21"/>
  <c r="AL33" i="21"/>
  <c r="AL34" i="21"/>
  <c r="AL35" i="21"/>
  <c r="AL36" i="21"/>
  <c r="AL37" i="21"/>
  <c r="AL38" i="21"/>
  <c r="AL39" i="21"/>
  <c r="AL40" i="21"/>
  <c r="AL41" i="21"/>
  <c r="AL42" i="21"/>
  <c r="AL43" i="21"/>
  <c r="AL44" i="21"/>
  <c r="AL45" i="21"/>
  <c r="AL46" i="21"/>
  <c r="AL47" i="21"/>
  <c r="AL48" i="21"/>
  <c r="AL49" i="21"/>
  <c r="AL50" i="21"/>
  <c r="AL51" i="21"/>
  <c r="AL52" i="21"/>
  <c r="AL53" i="21"/>
  <c r="AL54" i="21"/>
  <c r="AL55" i="21"/>
  <c r="AL56" i="21"/>
  <c r="AL57" i="21"/>
  <c r="AL58" i="21"/>
  <c r="AL59" i="21"/>
  <c r="AL60" i="21"/>
  <c r="AL61" i="21"/>
  <c r="AL62" i="21"/>
  <c r="AL63" i="21"/>
  <c r="AL64" i="21"/>
  <c r="AL65" i="21"/>
  <c r="AL66" i="21"/>
  <c r="AL67" i="21"/>
  <c r="AL68" i="21"/>
  <c r="AL69" i="21"/>
  <c r="AL70" i="21"/>
  <c r="AL71" i="21"/>
  <c r="AL72" i="21"/>
  <c r="AL73" i="21"/>
  <c r="AL74" i="21"/>
  <c r="AL75" i="21"/>
  <c r="AL76" i="21"/>
  <c r="AL77" i="21"/>
  <c r="AL78" i="21"/>
  <c r="AL79" i="21"/>
  <c r="AL80" i="21"/>
  <c r="AL81" i="21"/>
  <c r="AL82" i="21"/>
  <c r="AL83" i="21"/>
  <c r="AL84" i="21"/>
  <c r="AL85" i="21"/>
  <c r="AL86" i="21"/>
  <c r="AL87" i="21"/>
  <c r="AL88" i="21"/>
  <c r="AL89" i="21"/>
  <c r="AL90" i="21"/>
  <c r="AL91" i="21"/>
  <c r="AL92" i="21"/>
  <c r="AL93" i="21"/>
  <c r="AL94" i="21"/>
  <c r="AL95" i="21"/>
  <c r="AL96" i="21"/>
  <c r="AL97" i="21"/>
  <c r="AL98" i="21"/>
  <c r="AL99" i="21"/>
  <c r="AL100" i="21"/>
  <c r="AL101" i="21"/>
  <c r="AL102" i="21"/>
  <c r="AL103" i="21"/>
  <c r="AL104" i="21"/>
  <c r="AL105" i="21"/>
  <c r="AL106" i="21"/>
  <c r="AL107" i="21"/>
  <c r="AL108" i="21"/>
  <c r="AL109" i="21"/>
  <c r="AL110" i="21"/>
  <c r="AL111" i="21"/>
  <c r="AL112" i="21"/>
  <c r="AL113" i="21"/>
  <c r="AL114" i="21"/>
  <c r="AL115" i="21"/>
  <c r="AL116" i="21"/>
  <c r="AL117" i="21"/>
  <c r="AL118" i="21"/>
  <c r="AL119" i="21"/>
  <c r="AL120" i="21"/>
  <c r="AL121" i="21"/>
  <c r="AL122" i="21"/>
  <c r="AL123" i="21"/>
  <c r="AL124" i="21"/>
  <c r="AL125" i="21"/>
  <c r="AL126" i="21"/>
  <c r="AL127" i="21"/>
  <c r="AL128" i="21"/>
  <c r="AL129" i="21"/>
  <c r="AL130" i="21"/>
  <c r="AL131" i="21"/>
  <c r="AL132" i="21"/>
  <c r="AL133" i="21"/>
  <c r="AL134" i="21"/>
  <c r="AL135" i="21"/>
  <c r="AL136" i="21"/>
  <c r="AL137" i="21"/>
  <c r="AL138" i="21"/>
  <c r="AL139" i="21"/>
  <c r="AL140" i="21"/>
  <c r="AL141" i="21"/>
  <c r="AL142" i="21"/>
  <c r="AL143" i="21"/>
  <c r="AL144" i="21"/>
  <c r="AL145" i="21"/>
  <c r="AL146" i="21"/>
  <c r="AL147" i="21"/>
  <c r="AL148" i="21"/>
  <c r="AL149" i="21"/>
  <c r="AL150" i="21"/>
  <c r="AL151" i="21"/>
  <c r="AL152" i="21"/>
  <c r="AL153" i="21"/>
  <c r="AL154" i="21"/>
  <c r="AL155" i="21"/>
  <c r="AL156" i="21"/>
  <c r="AL157" i="21"/>
  <c r="AL158" i="21"/>
  <c r="AL159" i="21"/>
  <c r="AL160" i="21"/>
  <c r="AL161" i="21"/>
  <c r="AL162" i="21"/>
  <c r="AL163" i="21"/>
  <c r="AL164" i="21"/>
  <c r="AL165" i="21"/>
  <c r="AL166" i="21"/>
  <c r="AL167" i="21"/>
  <c r="AL168" i="21"/>
  <c r="AL169" i="21"/>
  <c r="AL170" i="21"/>
  <c r="AL171" i="21"/>
  <c r="AL172" i="21"/>
  <c r="AL173" i="21"/>
  <c r="AL174" i="21"/>
  <c r="AL175" i="21"/>
  <c r="AL176" i="21"/>
  <c r="AL177" i="21"/>
  <c r="AL178" i="21"/>
  <c r="AL179" i="21"/>
  <c r="AL180" i="21"/>
  <c r="AL181" i="21"/>
  <c r="AL182" i="21"/>
  <c r="AL183" i="21"/>
  <c r="AL184" i="21"/>
  <c r="AL185" i="21"/>
  <c r="AL186" i="21"/>
  <c r="AL187" i="21"/>
  <c r="AL188" i="21"/>
  <c r="AL189" i="21"/>
  <c r="AL190" i="21"/>
  <c r="AL191" i="21"/>
  <c r="AL192" i="21"/>
  <c r="AL193" i="21"/>
  <c r="AL194" i="21"/>
  <c r="AL195" i="21"/>
  <c r="AL196" i="21"/>
  <c r="AL197" i="21"/>
  <c r="AL198" i="21"/>
  <c r="AL199" i="21"/>
  <c r="AL200" i="21"/>
  <c r="AL201" i="21"/>
  <c r="AL202" i="21"/>
  <c r="AL203" i="21"/>
  <c r="AL204" i="21"/>
  <c r="AL205" i="21"/>
  <c r="AL206" i="21"/>
  <c r="AL207" i="21"/>
  <c r="AL208" i="21"/>
  <c r="AL209" i="21"/>
  <c r="AL210" i="21"/>
  <c r="AL211" i="21"/>
  <c r="AL212" i="21"/>
  <c r="AL213" i="21"/>
  <c r="AL214" i="21"/>
  <c r="AL215" i="21"/>
  <c r="AL216" i="21"/>
  <c r="AL217" i="21"/>
  <c r="AL218" i="21"/>
  <c r="AL219" i="21"/>
  <c r="AL220" i="21"/>
  <c r="AL221" i="21"/>
  <c r="AL222" i="21"/>
  <c r="AL223" i="21"/>
  <c r="AL224" i="21"/>
  <c r="AL225" i="21"/>
  <c r="AL226" i="21"/>
  <c r="AL227" i="21"/>
  <c r="AL228" i="21"/>
  <c r="AL229" i="21"/>
  <c r="AL230" i="21"/>
  <c r="AL231" i="21"/>
  <c r="AL232" i="21"/>
  <c r="AL233" i="21"/>
  <c r="AL234" i="21"/>
  <c r="AL235" i="21"/>
  <c r="AL236" i="21"/>
  <c r="AL237" i="21"/>
  <c r="AL238" i="21"/>
  <c r="AL239" i="21"/>
  <c r="AL240" i="21"/>
  <c r="AL241" i="21"/>
  <c r="AL242" i="21"/>
  <c r="AL243" i="21"/>
  <c r="AL244" i="21"/>
  <c r="AL245" i="21"/>
  <c r="AL246" i="21"/>
  <c r="AL247" i="21"/>
  <c r="AL248" i="21"/>
  <c r="AL249" i="21"/>
  <c r="AL250" i="21"/>
  <c r="AL251" i="21"/>
  <c r="AL252" i="21"/>
  <c r="AL253" i="21"/>
  <c r="AL254" i="21"/>
  <c r="AL255" i="21"/>
  <c r="AL256" i="21"/>
  <c r="AL257" i="21"/>
  <c r="AL258" i="21"/>
  <c r="AL259" i="21"/>
  <c r="AL260" i="21"/>
  <c r="AL261" i="21"/>
  <c r="AL262" i="21"/>
  <c r="AL263" i="21"/>
  <c r="AL264" i="21"/>
  <c r="AL265" i="21"/>
  <c r="AL266" i="21"/>
  <c r="AL267" i="21"/>
  <c r="AL268" i="21"/>
  <c r="AL269" i="21"/>
  <c r="AL270" i="21"/>
  <c r="AL271" i="21"/>
  <c r="AL272" i="21"/>
  <c r="AL273" i="21"/>
  <c r="AL274" i="21"/>
  <c r="AL275" i="21"/>
  <c r="AL276" i="21"/>
  <c r="AL277" i="21"/>
  <c r="AL278" i="21"/>
  <c r="AL279" i="21"/>
  <c r="AL280" i="21"/>
  <c r="AL281" i="21"/>
  <c r="AL282" i="21"/>
  <c r="AL283" i="21"/>
  <c r="AL284" i="21"/>
  <c r="AL285" i="21"/>
  <c r="AL286" i="21"/>
  <c r="AL287" i="21"/>
  <c r="AL288" i="21"/>
  <c r="AL2" i="21"/>
  <c r="T11" i="41" l="1"/>
  <c r="T12" i="41"/>
  <c r="T13" i="41"/>
  <c r="T18" i="41"/>
  <c r="T15" i="41"/>
  <c r="T14" i="41"/>
  <c r="T5" i="41"/>
  <c r="T22" i="41"/>
  <c r="T20" i="41"/>
  <c r="T7" i="41"/>
  <c r="T21" i="41"/>
  <c r="T19" i="41"/>
  <c r="T9" i="41"/>
  <c r="T8" i="41"/>
  <c r="T10" i="41"/>
  <c r="T24" i="41"/>
  <c r="T6" i="41"/>
  <c r="T17" i="41"/>
  <c r="T4" i="41"/>
  <c r="T16" i="41"/>
  <c r="T3" i="41"/>
  <c r="T23" i="41"/>
  <c r="T4" i="31"/>
  <c r="T12" i="31"/>
  <c r="T20" i="31"/>
  <c r="T5" i="31"/>
  <c r="T13" i="31"/>
  <c r="T21" i="31"/>
  <c r="T6" i="31"/>
  <c r="T14" i="31"/>
  <c r="T22" i="31"/>
  <c r="T7" i="31"/>
  <c r="T15" i="31"/>
  <c r="T3" i="31"/>
  <c r="T8" i="31"/>
  <c r="T16" i="31"/>
  <c r="T18" i="31"/>
  <c r="T19" i="31"/>
  <c r="T9" i="31"/>
  <c r="T17" i="31"/>
  <c r="T10" i="31"/>
  <c r="T11" i="31"/>
  <c r="AT45" i="5"/>
  <c r="AU45" i="5" s="1"/>
  <c r="AT53" i="5"/>
  <c r="AU53" i="5" s="1"/>
  <c r="AT61" i="5"/>
  <c r="AU61" i="5" s="1"/>
  <c r="AT69" i="5"/>
  <c r="AU69" i="5" s="1"/>
  <c r="AT77" i="5"/>
  <c r="AU77" i="5" s="1"/>
  <c r="AT46" i="5"/>
  <c r="AU46" i="5" s="1"/>
  <c r="AT54" i="5"/>
  <c r="AU54" i="5" s="1"/>
  <c r="AT62" i="5"/>
  <c r="AU62" i="5" s="1"/>
  <c r="AT70" i="5"/>
  <c r="AU70" i="5" s="1"/>
  <c r="AT78" i="5"/>
  <c r="AU78" i="5" s="1"/>
  <c r="AT47" i="5"/>
  <c r="AU47" i="5" s="1"/>
  <c r="AT55" i="5"/>
  <c r="AU55" i="5" s="1"/>
  <c r="AT63" i="5"/>
  <c r="AU63" i="5" s="1"/>
  <c r="AT71" i="5"/>
  <c r="AU71" i="5" s="1"/>
  <c r="AT79" i="5"/>
  <c r="AU79" i="5" s="1"/>
  <c r="AT48" i="5"/>
  <c r="AU48" i="5" s="1"/>
  <c r="AT56" i="5"/>
  <c r="AU56" i="5" s="1"/>
  <c r="AT64" i="5"/>
  <c r="AU64" i="5" s="1"/>
  <c r="AT72" i="5"/>
  <c r="AU72" i="5" s="1"/>
  <c r="AT80" i="5"/>
  <c r="AU80" i="5" s="1"/>
  <c r="AT49" i="5"/>
  <c r="AU49" i="5" s="1"/>
  <c r="AT57" i="5"/>
  <c r="AU57" i="5" s="1"/>
  <c r="AT65" i="5"/>
  <c r="AU65" i="5" s="1"/>
  <c r="AT73" i="5"/>
  <c r="AU73" i="5" s="1"/>
  <c r="AT81" i="5"/>
  <c r="AU81" i="5" s="1"/>
  <c r="AT50" i="5"/>
  <c r="AU50" i="5" s="1"/>
  <c r="AT58" i="5"/>
  <c r="AU58" i="5" s="1"/>
  <c r="AT66" i="5"/>
  <c r="AU66" i="5" s="1"/>
  <c r="AT74" i="5"/>
  <c r="AU74" i="5" s="1"/>
  <c r="AT82" i="5"/>
  <c r="AU82" i="5" s="1"/>
  <c r="AT51" i="5"/>
  <c r="AU51" i="5" s="1"/>
  <c r="AT59" i="5"/>
  <c r="AU59" i="5" s="1"/>
  <c r="AT67" i="5"/>
  <c r="AU67" i="5" s="1"/>
  <c r="AT75" i="5"/>
  <c r="AU75" i="5" s="1"/>
  <c r="AT83" i="5"/>
  <c r="AU83" i="5" s="1"/>
  <c r="AT44" i="5"/>
  <c r="AU44" i="5" s="1"/>
  <c r="AT52" i="5"/>
  <c r="AU52" i="5" s="1"/>
  <c r="AT60" i="5"/>
  <c r="AU60" i="5" s="1"/>
  <c r="AT68" i="5"/>
  <c r="AU68" i="5" s="1"/>
  <c r="AT76" i="5"/>
  <c r="AU76" i="5" s="1"/>
  <c r="AT84" i="5"/>
  <c r="AU84" i="5" s="1"/>
  <c r="AT133" i="5"/>
  <c r="AU133" i="5" s="1"/>
  <c r="AT141" i="5"/>
  <c r="AU141" i="5" s="1"/>
  <c r="AT149" i="5"/>
  <c r="AU149" i="5" s="1"/>
  <c r="AT157" i="5"/>
  <c r="AU157" i="5" s="1"/>
  <c r="AT165" i="5"/>
  <c r="AU165" i="5" s="1"/>
  <c r="AT126" i="5"/>
  <c r="AU126" i="5" s="1"/>
  <c r="AT134" i="5"/>
  <c r="AU134" i="5" s="1"/>
  <c r="AT142" i="5"/>
  <c r="AU142" i="5" s="1"/>
  <c r="AT150" i="5"/>
  <c r="AU150" i="5" s="1"/>
  <c r="AT158" i="5"/>
  <c r="AU158" i="5" s="1"/>
  <c r="AT166" i="5"/>
  <c r="AU166" i="5" s="1"/>
  <c r="AT127" i="5"/>
  <c r="AU127" i="5" s="1"/>
  <c r="AT135" i="5"/>
  <c r="AU135" i="5" s="1"/>
  <c r="AT143" i="5"/>
  <c r="AU143" i="5" s="1"/>
  <c r="AT151" i="5"/>
  <c r="AU151" i="5" s="1"/>
  <c r="AT159" i="5"/>
  <c r="AU159" i="5" s="1"/>
  <c r="AT128" i="5"/>
  <c r="AU128" i="5" s="1"/>
  <c r="AT136" i="5"/>
  <c r="AU136" i="5" s="1"/>
  <c r="AT144" i="5"/>
  <c r="AU144" i="5" s="1"/>
  <c r="AT152" i="5"/>
  <c r="AU152" i="5" s="1"/>
  <c r="AT160" i="5"/>
  <c r="AU160" i="5" s="1"/>
  <c r="AT129" i="5"/>
  <c r="AU129" i="5" s="1"/>
  <c r="AT137" i="5"/>
  <c r="AU137" i="5" s="1"/>
  <c r="AT145" i="5"/>
  <c r="AU145" i="5" s="1"/>
  <c r="AT153" i="5"/>
  <c r="AU153" i="5" s="1"/>
  <c r="AT161" i="5"/>
  <c r="AU161" i="5" s="1"/>
  <c r="AT130" i="5"/>
  <c r="AU130" i="5" s="1"/>
  <c r="AT138" i="5"/>
  <c r="AU138" i="5" s="1"/>
  <c r="AT146" i="5"/>
  <c r="AU146" i="5" s="1"/>
  <c r="AT154" i="5"/>
  <c r="AU154" i="5" s="1"/>
  <c r="AT162" i="5"/>
  <c r="AU162" i="5" s="1"/>
  <c r="AT131" i="5"/>
  <c r="AU131" i="5" s="1"/>
  <c r="AT139" i="5"/>
  <c r="AU139" i="5" s="1"/>
  <c r="AT147" i="5"/>
  <c r="AU147" i="5" s="1"/>
  <c r="AT155" i="5"/>
  <c r="AU155" i="5" s="1"/>
  <c r="AT163" i="5"/>
  <c r="AU163" i="5" s="1"/>
  <c r="AT132" i="5"/>
  <c r="AU132" i="5" s="1"/>
  <c r="AT140" i="5"/>
  <c r="AU140" i="5" s="1"/>
  <c r="AT148" i="5"/>
  <c r="AU148" i="5" s="1"/>
  <c r="AT156" i="5"/>
  <c r="AU156" i="5" s="1"/>
  <c r="AT164" i="5"/>
  <c r="AU164" i="5" s="1"/>
  <c r="AT213" i="5"/>
  <c r="AU213" i="5" s="1"/>
  <c r="AT221" i="5"/>
  <c r="AU221" i="5" s="1"/>
  <c r="AT229" i="5"/>
  <c r="AU229" i="5" s="1"/>
  <c r="AT237" i="5"/>
  <c r="AU237" i="5" s="1"/>
  <c r="AT245" i="5"/>
  <c r="AU245" i="5" s="1"/>
  <c r="AT214" i="5"/>
  <c r="AU214" i="5" s="1"/>
  <c r="AT222" i="5"/>
  <c r="AU222" i="5" s="1"/>
  <c r="AT230" i="5"/>
  <c r="AU230" i="5" s="1"/>
  <c r="AT238" i="5"/>
  <c r="AU238" i="5" s="1"/>
  <c r="AT246" i="5"/>
  <c r="AU246" i="5" s="1"/>
  <c r="AT215" i="5"/>
  <c r="AU215" i="5" s="1"/>
  <c r="AT223" i="5"/>
  <c r="AU223" i="5" s="1"/>
  <c r="AT231" i="5"/>
  <c r="AU231" i="5" s="1"/>
  <c r="AT239" i="5"/>
  <c r="AU239" i="5" s="1"/>
  <c r="AT247" i="5"/>
  <c r="AU247" i="5" s="1"/>
  <c r="AT208" i="5"/>
  <c r="AU208" i="5" s="1"/>
  <c r="AT216" i="5"/>
  <c r="AU216" i="5" s="1"/>
  <c r="AT224" i="5"/>
  <c r="AU224" i="5" s="1"/>
  <c r="AT232" i="5"/>
  <c r="AU232" i="5" s="1"/>
  <c r="AT240" i="5"/>
  <c r="AU240" i="5" s="1"/>
  <c r="AT248" i="5"/>
  <c r="AU248" i="5" s="1"/>
  <c r="AT209" i="5"/>
  <c r="AU209" i="5" s="1"/>
  <c r="AT217" i="5"/>
  <c r="AU217" i="5" s="1"/>
  <c r="AT225" i="5"/>
  <c r="AU225" i="5" s="1"/>
  <c r="AT233" i="5"/>
  <c r="AU233" i="5" s="1"/>
  <c r="AT241" i="5"/>
  <c r="AU241" i="5" s="1"/>
  <c r="AT210" i="5"/>
  <c r="AU210" i="5" s="1"/>
  <c r="AT218" i="5"/>
  <c r="AU218" i="5" s="1"/>
  <c r="AT226" i="5"/>
  <c r="AU226" i="5" s="1"/>
  <c r="AT234" i="5"/>
  <c r="AU234" i="5" s="1"/>
  <c r="AT242" i="5"/>
  <c r="AU242" i="5" s="1"/>
  <c r="AT211" i="5"/>
  <c r="AU211" i="5" s="1"/>
  <c r="AT219" i="5"/>
  <c r="AU219" i="5" s="1"/>
  <c r="AT227" i="5"/>
  <c r="AU227" i="5" s="1"/>
  <c r="AT235" i="5"/>
  <c r="AU235" i="5" s="1"/>
  <c r="AT243" i="5"/>
  <c r="AU243" i="5" s="1"/>
  <c r="AT212" i="5"/>
  <c r="AU212" i="5" s="1"/>
  <c r="AT220" i="5"/>
  <c r="AU220" i="5" s="1"/>
  <c r="AT228" i="5"/>
  <c r="AU228" i="5" s="1"/>
  <c r="AT236" i="5"/>
  <c r="AU236" i="5" s="1"/>
  <c r="AT244" i="5"/>
  <c r="AU244" i="5" s="1"/>
  <c r="AT85" i="5"/>
  <c r="AU85" i="5" s="1"/>
  <c r="AT93" i="5"/>
  <c r="AU93" i="5" s="1"/>
  <c r="AT101" i="5"/>
  <c r="AU101" i="5" s="1"/>
  <c r="AT109" i="5"/>
  <c r="AU109" i="5" s="1"/>
  <c r="AT117" i="5"/>
  <c r="AU117" i="5" s="1"/>
  <c r="AT125" i="5"/>
  <c r="AU125" i="5" s="1"/>
  <c r="AT86" i="5"/>
  <c r="AU86" i="5" s="1"/>
  <c r="AT94" i="5"/>
  <c r="AU94" i="5" s="1"/>
  <c r="AT102" i="5"/>
  <c r="AU102" i="5" s="1"/>
  <c r="AT110" i="5"/>
  <c r="AU110" i="5" s="1"/>
  <c r="AT118" i="5"/>
  <c r="AU118" i="5" s="1"/>
  <c r="AT87" i="5"/>
  <c r="AU87" i="5" s="1"/>
  <c r="AT95" i="5"/>
  <c r="AU95" i="5" s="1"/>
  <c r="AT103" i="5"/>
  <c r="AU103" i="5" s="1"/>
  <c r="AT111" i="5"/>
  <c r="AU111" i="5" s="1"/>
  <c r="AT119" i="5"/>
  <c r="AU119" i="5" s="1"/>
  <c r="AT88" i="5"/>
  <c r="AU88" i="5" s="1"/>
  <c r="AT96" i="5"/>
  <c r="AU96" i="5" s="1"/>
  <c r="AT104" i="5"/>
  <c r="AU104" i="5" s="1"/>
  <c r="AT112" i="5"/>
  <c r="AU112" i="5" s="1"/>
  <c r="AT120" i="5"/>
  <c r="AU120" i="5" s="1"/>
  <c r="AT89" i="5"/>
  <c r="AU89" i="5" s="1"/>
  <c r="AT97" i="5"/>
  <c r="AU97" i="5" s="1"/>
  <c r="AT105" i="5"/>
  <c r="AU105" i="5" s="1"/>
  <c r="AT113" i="5"/>
  <c r="AU113" i="5" s="1"/>
  <c r="AT121" i="5"/>
  <c r="AU121" i="5" s="1"/>
  <c r="AT90" i="5"/>
  <c r="AU90" i="5" s="1"/>
  <c r="AT98" i="5"/>
  <c r="AU98" i="5" s="1"/>
  <c r="AT106" i="5"/>
  <c r="AU106" i="5" s="1"/>
  <c r="AT114" i="5"/>
  <c r="AU114" i="5" s="1"/>
  <c r="AT122" i="5"/>
  <c r="AU122" i="5" s="1"/>
  <c r="AT91" i="5"/>
  <c r="AU91" i="5" s="1"/>
  <c r="AT99" i="5"/>
  <c r="AU99" i="5" s="1"/>
  <c r="AT107" i="5"/>
  <c r="AU107" i="5" s="1"/>
  <c r="AT115" i="5"/>
  <c r="AU115" i="5" s="1"/>
  <c r="AT123" i="5"/>
  <c r="AU123" i="5" s="1"/>
  <c r="AT92" i="5"/>
  <c r="AU92" i="5" s="1"/>
  <c r="AT100" i="5"/>
  <c r="AU100" i="5" s="1"/>
  <c r="AT108" i="5"/>
  <c r="AU108" i="5" s="1"/>
  <c r="AT116" i="5"/>
  <c r="AU116" i="5" s="1"/>
  <c r="AT124" i="5"/>
  <c r="AU124" i="5" s="1"/>
  <c r="AT173" i="5"/>
  <c r="AU173" i="5" s="1"/>
  <c r="AT181" i="5"/>
  <c r="AU181" i="5" s="1"/>
  <c r="AT189" i="5"/>
  <c r="AU189" i="5" s="1"/>
  <c r="AT197" i="5"/>
  <c r="AU197" i="5" s="1"/>
  <c r="AT205" i="5"/>
  <c r="AU205" i="5" s="1"/>
  <c r="AT174" i="5"/>
  <c r="AU174" i="5" s="1"/>
  <c r="AT182" i="5"/>
  <c r="AU182" i="5" s="1"/>
  <c r="AT190" i="5"/>
  <c r="AU190" i="5" s="1"/>
  <c r="AT198" i="5"/>
  <c r="AU198" i="5" s="1"/>
  <c r="AT206" i="5"/>
  <c r="AU206" i="5" s="1"/>
  <c r="AT167" i="5"/>
  <c r="AU167" i="5" s="1"/>
  <c r="AT175" i="5"/>
  <c r="AU175" i="5" s="1"/>
  <c r="AT183" i="5"/>
  <c r="AU183" i="5" s="1"/>
  <c r="AT191" i="5"/>
  <c r="AU191" i="5" s="1"/>
  <c r="AT199" i="5"/>
  <c r="AU199" i="5" s="1"/>
  <c r="AT207" i="5"/>
  <c r="AU207" i="5" s="1"/>
  <c r="AT168" i="5"/>
  <c r="AU168" i="5" s="1"/>
  <c r="AT176" i="5"/>
  <c r="AU176" i="5" s="1"/>
  <c r="AT184" i="5"/>
  <c r="AU184" i="5" s="1"/>
  <c r="AT192" i="5"/>
  <c r="AU192" i="5" s="1"/>
  <c r="AT200" i="5"/>
  <c r="AU200" i="5" s="1"/>
  <c r="AT169" i="5"/>
  <c r="AU169" i="5" s="1"/>
  <c r="AT177" i="5"/>
  <c r="AU177" i="5" s="1"/>
  <c r="AT185" i="5"/>
  <c r="AU185" i="5" s="1"/>
  <c r="AT193" i="5"/>
  <c r="AU193" i="5" s="1"/>
  <c r="AT201" i="5"/>
  <c r="AU201" i="5" s="1"/>
  <c r="AT170" i="5"/>
  <c r="AU170" i="5" s="1"/>
  <c r="AT178" i="5"/>
  <c r="AU178" i="5" s="1"/>
  <c r="AT186" i="5"/>
  <c r="AU186" i="5" s="1"/>
  <c r="AT194" i="5"/>
  <c r="AU194" i="5" s="1"/>
  <c r="AT202" i="5"/>
  <c r="AU202" i="5" s="1"/>
  <c r="AT171" i="5"/>
  <c r="AU171" i="5" s="1"/>
  <c r="AT179" i="5"/>
  <c r="AU179" i="5" s="1"/>
  <c r="AT187" i="5"/>
  <c r="AU187" i="5" s="1"/>
  <c r="AT195" i="5"/>
  <c r="AU195" i="5" s="1"/>
  <c r="AT203" i="5"/>
  <c r="AU203" i="5" s="1"/>
  <c r="AT172" i="5"/>
  <c r="AU172" i="5" s="1"/>
  <c r="AT180" i="5"/>
  <c r="AU180" i="5" s="1"/>
  <c r="AT188" i="5"/>
  <c r="AU188" i="5" s="1"/>
  <c r="AT196" i="5"/>
  <c r="AU196" i="5" s="1"/>
  <c r="AT204" i="5"/>
  <c r="AU204" i="5" s="1"/>
  <c r="AT5" i="5"/>
  <c r="AU5" i="5" s="1"/>
  <c r="AT13" i="5"/>
  <c r="AU13" i="5" s="1"/>
  <c r="AT21" i="5"/>
  <c r="AU21" i="5" s="1"/>
  <c r="AT29" i="5"/>
  <c r="AU29" i="5" s="1"/>
  <c r="AT37" i="5"/>
  <c r="AU37" i="5" s="1"/>
  <c r="AT6" i="5"/>
  <c r="AU6" i="5" s="1"/>
  <c r="AT14" i="5"/>
  <c r="AU14" i="5" s="1"/>
  <c r="AT22" i="5"/>
  <c r="AU22" i="5" s="1"/>
  <c r="AT30" i="5"/>
  <c r="AU30" i="5" s="1"/>
  <c r="AT38" i="5"/>
  <c r="AU38" i="5" s="1"/>
  <c r="AT7" i="5"/>
  <c r="AU7" i="5" s="1"/>
  <c r="AT15" i="5"/>
  <c r="AU15" i="5" s="1"/>
  <c r="AT23" i="5"/>
  <c r="AU23" i="5" s="1"/>
  <c r="AT31" i="5"/>
  <c r="AU31" i="5" s="1"/>
  <c r="AT39" i="5"/>
  <c r="AU39" i="5" s="1"/>
  <c r="AT8" i="5"/>
  <c r="AU8" i="5" s="1"/>
  <c r="AT16" i="5"/>
  <c r="AU16" i="5" s="1"/>
  <c r="AT24" i="5"/>
  <c r="AU24" i="5" s="1"/>
  <c r="AT32" i="5"/>
  <c r="AU32" i="5" s="1"/>
  <c r="AT40" i="5"/>
  <c r="AU40" i="5" s="1"/>
  <c r="AT9" i="5"/>
  <c r="AU9" i="5" s="1"/>
  <c r="AT17" i="5"/>
  <c r="AU17" i="5" s="1"/>
  <c r="AT25" i="5"/>
  <c r="AU25" i="5" s="1"/>
  <c r="AT33" i="5"/>
  <c r="AU33" i="5" s="1"/>
  <c r="AT41" i="5"/>
  <c r="AU41" i="5" s="1"/>
  <c r="AT10" i="5"/>
  <c r="AU10" i="5" s="1"/>
  <c r="AT18" i="5"/>
  <c r="AU18" i="5" s="1"/>
  <c r="AT26" i="5"/>
  <c r="AU26" i="5" s="1"/>
  <c r="AT34" i="5"/>
  <c r="AU34" i="5" s="1"/>
  <c r="AT42" i="5"/>
  <c r="AU42" i="5" s="1"/>
  <c r="AT3" i="5"/>
  <c r="AT11" i="5"/>
  <c r="AU11" i="5" s="1"/>
  <c r="AT19" i="5"/>
  <c r="AU19" i="5" s="1"/>
  <c r="AT27" i="5"/>
  <c r="AU27" i="5" s="1"/>
  <c r="AT35" i="5"/>
  <c r="AU35" i="5" s="1"/>
  <c r="AT43" i="5"/>
  <c r="AU43" i="5" s="1"/>
  <c r="AT4" i="5"/>
  <c r="AU4" i="5" s="1"/>
  <c r="AT12" i="5"/>
  <c r="AU12" i="5" s="1"/>
  <c r="AT20" i="5"/>
  <c r="AU20" i="5" s="1"/>
  <c r="AT28" i="5"/>
  <c r="AU28" i="5" s="1"/>
  <c r="AT36" i="5"/>
  <c r="AU36" i="5" s="1"/>
  <c r="AT253" i="5"/>
  <c r="AU253" i="5" s="1"/>
  <c r="AT261" i="5"/>
  <c r="AU261" i="5" s="1"/>
  <c r="AT269" i="5"/>
  <c r="AU269" i="5" s="1"/>
  <c r="AT277" i="5"/>
  <c r="AU277" i="5" s="1"/>
  <c r="AT285" i="5"/>
  <c r="AU285" i="5" s="1"/>
  <c r="AT254" i="5"/>
  <c r="AU254" i="5" s="1"/>
  <c r="AT262" i="5"/>
  <c r="AU262" i="5" s="1"/>
  <c r="AT270" i="5"/>
  <c r="AU270" i="5" s="1"/>
  <c r="AT278" i="5"/>
  <c r="AU278" i="5" s="1"/>
  <c r="AT286" i="5"/>
  <c r="AU286" i="5" s="1"/>
  <c r="AT255" i="5"/>
  <c r="AU255" i="5" s="1"/>
  <c r="AT263" i="5"/>
  <c r="AU263" i="5" s="1"/>
  <c r="AT271" i="5"/>
  <c r="AU271" i="5" s="1"/>
  <c r="AT279" i="5"/>
  <c r="AU279" i="5" s="1"/>
  <c r="AT287" i="5"/>
  <c r="AU287" i="5" s="1"/>
  <c r="AT256" i="5"/>
  <c r="AU256" i="5" s="1"/>
  <c r="AT264" i="5"/>
  <c r="AU264" i="5" s="1"/>
  <c r="AT272" i="5"/>
  <c r="AU272" i="5" s="1"/>
  <c r="AT280" i="5"/>
  <c r="AU280" i="5" s="1"/>
  <c r="AT288" i="5"/>
  <c r="AU288" i="5" s="1"/>
  <c r="AT249" i="5"/>
  <c r="AU249" i="5" s="1"/>
  <c r="AT257" i="5"/>
  <c r="AU257" i="5" s="1"/>
  <c r="AT265" i="5"/>
  <c r="AU265" i="5" s="1"/>
  <c r="AT273" i="5"/>
  <c r="AU273" i="5" s="1"/>
  <c r="AT281" i="5"/>
  <c r="AU281" i="5" s="1"/>
  <c r="AT289" i="5"/>
  <c r="AU289" i="5" s="1"/>
  <c r="AT250" i="5"/>
  <c r="AU250" i="5" s="1"/>
  <c r="AT258" i="5"/>
  <c r="AU258" i="5" s="1"/>
  <c r="AT266" i="5"/>
  <c r="AU266" i="5" s="1"/>
  <c r="AT274" i="5"/>
  <c r="AU274" i="5" s="1"/>
  <c r="AT282" i="5"/>
  <c r="AU282" i="5" s="1"/>
  <c r="AT251" i="5"/>
  <c r="AU251" i="5" s="1"/>
  <c r="AT259" i="5"/>
  <c r="AU259" i="5" s="1"/>
  <c r="AT267" i="5"/>
  <c r="AU267" i="5" s="1"/>
  <c r="AT275" i="5"/>
  <c r="AU275" i="5" s="1"/>
  <c r="AT283" i="5"/>
  <c r="AU283" i="5" s="1"/>
  <c r="AT252" i="5"/>
  <c r="AU252" i="5" s="1"/>
  <c r="AT260" i="5"/>
  <c r="AU260" i="5" s="1"/>
  <c r="AT268" i="5"/>
  <c r="AU268" i="5" s="1"/>
  <c r="AT276" i="5"/>
  <c r="AU276" i="5" s="1"/>
  <c r="AT284" i="5"/>
  <c r="AU284" i="5" s="1"/>
  <c r="AS19" i="5"/>
  <c r="AS15" i="5"/>
  <c r="AS6" i="5"/>
  <c r="AS47" i="5"/>
  <c r="AS55" i="5"/>
  <c r="AS63" i="5"/>
  <c r="AS71" i="5"/>
  <c r="AS79" i="5"/>
  <c r="AS48" i="5"/>
  <c r="AS56" i="5"/>
  <c r="AS64" i="5"/>
  <c r="AS72" i="5"/>
  <c r="AS80" i="5"/>
  <c r="AS49" i="5"/>
  <c r="AS57" i="5"/>
  <c r="AS65" i="5"/>
  <c r="AS73" i="5"/>
  <c r="AS81" i="5"/>
  <c r="AS50" i="5"/>
  <c r="AS66" i="5"/>
  <c r="AS82" i="5"/>
  <c r="AS58" i="5"/>
  <c r="AS74" i="5"/>
  <c r="AS44" i="5"/>
  <c r="AS52" i="5"/>
  <c r="AS60" i="5"/>
  <c r="AS68" i="5"/>
  <c r="AS76" i="5"/>
  <c r="AS84" i="5"/>
  <c r="AS59" i="5"/>
  <c r="AS78" i="5"/>
  <c r="AS61" i="5"/>
  <c r="AS83" i="5"/>
  <c r="AS62" i="5"/>
  <c r="AS45" i="5"/>
  <c r="AS67" i="5"/>
  <c r="AS46" i="5"/>
  <c r="AS69" i="5"/>
  <c r="AS51" i="5"/>
  <c r="AS70" i="5"/>
  <c r="AS53" i="5"/>
  <c r="AS75" i="5"/>
  <c r="AS54" i="5"/>
  <c r="AS77" i="5"/>
  <c r="AS40" i="5"/>
  <c r="AS7" i="5"/>
  <c r="AS35" i="5"/>
  <c r="AS11" i="5"/>
  <c r="AS37" i="5"/>
  <c r="AS43" i="5"/>
  <c r="AS20" i="5"/>
  <c r="AS34" i="5"/>
  <c r="AS25" i="5"/>
  <c r="AS21" i="5"/>
  <c r="AS38" i="5"/>
  <c r="AS23" i="5"/>
  <c r="AS8" i="5"/>
  <c r="AS42" i="5"/>
  <c r="AS39" i="5"/>
  <c r="AS24" i="5"/>
  <c r="AS9" i="5"/>
  <c r="AS36" i="5"/>
  <c r="AS41" i="5"/>
  <c r="AS32" i="5"/>
  <c r="AS5" i="5"/>
  <c r="AS28" i="5"/>
  <c r="AS33" i="5"/>
  <c r="AS87" i="5"/>
  <c r="AS121" i="5"/>
  <c r="AS90" i="5"/>
  <c r="AS101" i="5"/>
  <c r="AS91" i="5"/>
  <c r="AS99" i="5"/>
  <c r="AS95" i="5"/>
  <c r="AS98" i="5"/>
  <c r="AS106" i="5"/>
  <c r="AS117" i="5"/>
  <c r="AS108" i="5"/>
  <c r="AS115" i="5"/>
  <c r="AS103" i="5"/>
  <c r="AS88" i="5"/>
  <c r="AS114" i="5"/>
  <c r="AS122" i="5"/>
  <c r="AS85" i="5"/>
  <c r="AS124" i="5"/>
  <c r="AS111" i="5"/>
  <c r="AS96" i="5"/>
  <c r="AS102" i="5"/>
  <c r="AS93" i="5"/>
  <c r="AS119" i="5"/>
  <c r="AS104" i="5"/>
  <c r="AS89" i="5"/>
  <c r="AS118" i="5"/>
  <c r="AS109" i="5"/>
  <c r="AS112" i="5"/>
  <c r="AS97" i="5"/>
  <c r="AS92" i="5"/>
  <c r="AS86" i="5"/>
  <c r="AS125" i="5"/>
  <c r="AS120" i="5"/>
  <c r="AS105" i="5"/>
  <c r="AS100" i="5"/>
  <c r="AS107" i="5"/>
  <c r="AS94" i="5"/>
  <c r="AS113" i="5"/>
  <c r="AS116" i="5"/>
  <c r="AS123" i="5"/>
  <c r="AS110" i="5"/>
  <c r="AS12" i="5"/>
  <c r="AS26" i="5"/>
  <c r="AS17" i="5"/>
  <c r="AS30" i="5"/>
  <c r="AS29" i="5"/>
  <c r="AS4" i="5"/>
  <c r="AS18" i="5"/>
  <c r="AS22" i="5"/>
  <c r="AS10" i="5"/>
  <c r="AS14" i="5"/>
  <c r="AS16" i="5"/>
  <c r="AS31" i="5"/>
  <c r="AS127" i="5"/>
  <c r="AS135" i="5"/>
  <c r="AS143" i="5"/>
  <c r="AS151" i="5"/>
  <c r="AS159" i="5"/>
  <c r="AS128" i="5"/>
  <c r="AS136" i="5"/>
  <c r="AS144" i="5"/>
  <c r="AS152" i="5"/>
  <c r="AS160" i="5"/>
  <c r="AS129" i="5"/>
  <c r="AS137" i="5"/>
  <c r="AS145" i="5"/>
  <c r="AS153" i="5"/>
  <c r="AS161" i="5"/>
  <c r="AS131" i="5"/>
  <c r="AS142" i="5"/>
  <c r="AS156" i="5"/>
  <c r="AS132" i="5"/>
  <c r="AS146" i="5"/>
  <c r="AS157" i="5"/>
  <c r="AS133" i="5"/>
  <c r="AS147" i="5"/>
  <c r="AS158" i="5"/>
  <c r="AS134" i="5"/>
  <c r="AS148" i="5"/>
  <c r="AS162" i="5"/>
  <c r="AS138" i="5"/>
  <c r="AS149" i="5"/>
  <c r="AS163" i="5"/>
  <c r="AS139" i="5"/>
  <c r="AS150" i="5"/>
  <c r="AS164" i="5"/>
  <c r="AS126" i="5"/>
  <c r="AS140" i="5"/>
  <c r="AS154" i="5"/>
  <c r="AS165" i="5"/>
  <c r="AS130" i="5"/>
  <c r="AS141" i="5"/>
  <c r="AS155" i="5"/>
  <c r="AS166" i="5"/>
  <c r="AS27" i="5"/>
  <c r="AS3" i="5"/>
  <c r="AS167" i="5"/>
  <c r="AS175" i="5"/>
  <c r="AS183" i="5"/>
  <c r="AS191" i="5"/>
  <c r="AS199" i="5"/>
  <c r="AS207" i="5"/>
  <c r="AS168" i="5"/>
  <c r="AS169" i="5"/>
  <c r="AS177" i="5"/>
  <c r="AS185" i="5"/>
  <c r="AS193" i="5"/>
  <c r="AS201" i="5"/>
  <c r="AS170" i="5"/>
  <c r="AS180" i="5"/>
  <c r="AS190" i="5"/>
  <c r="AS202" i="5"/>
  <c r="AS171" i="5"/>
  <c r="AS181" i="5"/>
  <c r="AS192" i="5"/>
  <c r="AS203" i="5"/>
  <c r="AS172" i="5"/>
  <c r="AS182" i="5"/>
  <c r="AS194" i="5"/>
  <c r="AS204" i="5"/>
  <c r="AS173" i="5"/>
  <c r="AS184" i="5"/>
  <c r="AS195" i="5"/>
  <c r="AS205" i="5"/>
  <c r="AS174" i="5"/>
  <c r="AS186" i="5"/>
  <c r="AS196" i="5"/>
  <c r="AS206" i="5"/>
  <c r="AS176" i="5"/>
  <c r="AS187" i="5"/>
  <c r="AS197" i="5"/>
  <c r="AS178" i="5"/>
  <c r="AS188" i="5"/>
  <c r="AS198" i="5"/>
  <c r="AS179" i="5"/>
  <c r="AS189" i="5"/>
  <c r="AS200" i="5"/>
  <c r="AS215" i="5"/>
  <c r="AS223" i="5"/>
  <c r="AS231" i="5"/>
  <c r="AS239" i="5"/>
  <c r="AS247" i="5"/>
  <c r="AS209" i="5"/>
  <c r="AS217" i="5"/>
  <c r="AS225" i="5"/>
  <c r="AS233" i="5"/>
  <c r="AS241" i="5"/>
  <c r="AS212" i="5"/>
  <c r="AS222" i="5"/>
  <c r="AS234" i="5"/>
  <c r="AS244" i="5"/>
  <c r="AS213" i="5"/>
  <c r="AS224" i="5"/>
  <c r="AS235" i="5"/>
  <c r="AS245" i="5"/>
  <c r="AS214" i="5"/>
  <c r="AS226" i="5"/>
  <c r="AS236" i="5"/>
  <c r="AS246" i="5"/>
  <c r="AS216" i="5"/>
  <c r="AS227" i="5"/>
  <c r="AS237" i="5"/>
  <c r="AS248" i="5"/>
  <c r="AS218" i="5"/>
  <c r="AS228" i="5"/>
  <c r="AS238" i="5"/>
  <c r="AS208" i="5"/>
  <c r="AS219" i="5"/>
  <c r="AS229" i="5"/>
  <c r="AS240" i="5"/>
  <c r="AS210" i="5"/>
  <c r="AS220" i="5"/>
  <c r="AS230" i="5"/>
  <c r="AS242" i="5"/>
  <c r="AS211" i="5"/>
  <c r="AS221" i="5"/>
  <c r="AS232" i="5"/>
  <c r="AS243" i="5"/>
  <c r="AS13" i="5"/>
  <c r="AS249" i="5"/>
  <c r="AS257" i="5"/>
  <c r="AS265" i="5"/>
  <c r="AS273" i="5"/>
  <c r="AS281" i="5"/>
  <c r="AS289" i="5"/>
  <c r="AS254" i="5"/>
  <c r="AS263" i="5"/>
  <c r="AS272" i="5"/>
  <c r="AS282" i="5"/>
  <c r="AS255" i="5"/>
  <c r="AS264" i="5"/>
  <c r="AS274" i="5"/>
  <c r="AS283" i="5"/>
  <c r="AS256" i="5"/>
  <c r="AS266" i="5"/>
  <c r="AS275" i="5"/>
  <c r="AS284" i="5"/>
  <c r="AS258" i="5"/>
  <c r="AS267" i="5"/>
  <c r="AS276" i="5"/>
  <c r="AS285" i="5"/>
  <c r="AS250" i="5"/>
  <c r="AS259" i="5"/>
  <c r="AS268" i="5"/>
  <c r="AS277" i="5"/>
  <c r="AS286" i="5"/>
  <c r="AS251" i="5"/>
  <c r="AS260" i="5"/>
  <c r="AS269" i="5"/>
  <c r="AS278" i="5"/>
  <c r="AS287" i="5"/>
  <c r="AS252" i="5"/>
  <c r="AS261" i="5"/>
  <c r="AS270" i="5"/>
  <c r="AS279" i="5"/>
  <c r="AS288" i="5"/>
  <c r="AS253" i="5"/>
  <c r="AS262" i="5"/>
  <c r="AS271" i="5"/>
  <c r="AS280" i="5"/>
  <c r="AI3" i="20"/>
  <c r="AI4" i="20"/>
  <c r="AI5" i="20"/>
  <c r="AI6" i="20"/>
  <c r="AI7" i="20"/>
  <c r="AI8" i="20"/>
  <c r="AI9" i="20"/>
  <c r="AI10" i="20"/>
  <c r="AI11" i="20"/>
  <c r="AI12" i="20"/>
  <c r="AI13" i="20"/>
  <c r="AI14" i="20"/>
  <c r="AI15" i="20"/>
  <c r="AI16" i="20"/>
  <c r="AI17" i="20"/>
  <c r="AI18" i="20"/>
  <c r="AI19" i="20"/>
  <c r="AI20" i="20"/>
  <c r="AI21" i="20"/>
  <c r="AI22" i="20"/>
  <c r="AI23" i="20"/>
  <c r="AI24" i="20"/>
  <c r="AI25" i="20"/>
  <c r="AI26" i="20"/>
  <c r="AI27" i="20"/>
  <c r="AI28" i="20"/>
  <c r="AI29" i="20"/>
  <c r="AI30" i="20"/>
  <c r="AI31" i="20"/>
  <c r="AI32" i="20"/>
  <c r="AI33" i="20"/>
  <c r="AI34" i="20"/>
  <c r="AI2" i="20"/>
  <c r="AE3" i="5" l="1"/>
  <c r="AE4" i="5"/>
  <c r="AE12" i="5"/>
  <c r="AE20" i="5"/>
  <c r="AE28" i="5"/>
  <c r="AE36" i="5"/>
  <c r="AE44" i="5"/>
  <c r="AE52" i="5"/>
  <c r="AE60" i="5"/>
  <c r="AE68" i="5"/>
  <c r="AE76" i="5"/>
  <c r="AE84" i="5"/>
  <c r="AE92" i="5"/>
  <c r="AE100" i="5"/>
  <c r="AE108" i="5"/>
  <c r="AE116" i="5"/>
  <c r="AE124" i="5"/>
  <c r="AE132" i="5"/>
  <c r="AE140" i="5"/>
  <c r="AE148" i="5"/>
  <c r="AE156" i="5"/>
  <c r="AE164" i="5"/>
  <c r="AE172" i="5"/>
  <c r="AE180" i="5"/>
  <c r="AE188" i="5"/>
  <c r="AE196" i="5"/>
  <c r="AE204" i="5"/>
  <c r="AE212" i="5"/>
  <c r="AE220" i="5"/>
  <c r="AE228" i="5"/>
  <c r="AE236" i="5"/>
  <c r="AE244" i="5"/>
  <c r="AE252" i="5"/>
  <c r="AE260" i="5"/>
  <c r="AE268" i="5"/>
  <c r="AE276" i="5"/>
  <c r="AE284" i="5"/>
  <c r="AE5" i="5"/>
  <c r="AE13" i="5"/>
  <c r="AE21" i="5"/>
  <c r="AE29" i="5"/>
  <c r="AE37" i="5"/>
  <c r="AE45" i="5"/>
  <c r="AE53" i="5"/>
  <c r="AE61" i="5"/>
  <c r="AE69" i="5"/>
  <c r="AE77" i="5"/>
  <c r="AE85" i="5"/>
  <c r="AE93" i="5"/>
  <c r="AE101" i="5"/>
  <c r="AE109" i="5"/>
  <c r="AE117" i="5"/>
  <c r="AE125" i="5"/>
  <c r="AE133" i="5"/>
  <c r="AE141" i="5"/>
  <c r="AE149" i="5"/>
  <c r="AE157" i="5"/>
  <c r="AE165" i="5"/>
  <c r="AE173" i="5"/>
  <c r="AE181" i="5"/>
  <c r="AE189" i="5"/>
  <c r="AE197" i="5"/>
  <c r="AE205" i="5"/>
  <c r="AE213" i="5"/>
  <c r="AE221" i="5"/>
  <c r="AE229" i="5"/>
  <c r="AE237" i="5"/>
  <c r="AE245" i="5"/>
  <c r="AE253" i="5"/>
  <c r="AE261" i="5"/>
  <c r="AE269" i="5"/>
  <c r="AE277" i="5"/>
  <c r="AE285" i="5"/>
  <c r="AE6" i="5"/>
  <c r="AE14" i="5"/>
  <c r="AE22" i="5"/>
  <c r="AE30" i="5"/>
  <c r="AE38" i="5"/>
  <c r="AE46" i="5"/>
  <c r="AE54" i="5"/>
  <c r="AE62" i="5"/>
  <c r="AE70" i="5"/>
  <c r="AE78" i="5"/>
  <c r="AE86" i="5"/>
  <c r="AE94" i="5"/>
  <c r="AE102" i="5"/>
  <c r="AE110" i="5"/>
  <c r="AE118" i="5"/>
  <c r="AE126" i="5"/>
  <c r="AE134" i="5"/>
  <c r="AE142" i="5"/>
  <c r="AE150" i="5"/>
  <c r="AE158" i="5"/>
  <c r="AE166" i="5"/>
  <c r="AE174" i="5"/>
  <c r="AE182" i="5"/>
  <c r="AE190" i="5"/>
  <c r="AE198" i="5"/>
  <c r="AE206" i="5"/>
  <c r="AE214" i="5"/>
  <c r="AE222" i="5"/>
  <c r="AE230" i="5"/>
  <c r="AE238" i="5"/>
  <c r="AE246" i="5"/>
  <c r="AE254" i="5"/>
  <c r="AE262" i="5"/>
  <c r="AE270" i="5"/>
  <c r="AE278" i="5"/>
  <c r="AE286" i="5"/>
  <c r="AE7" i="5"/>
  <c r="AE15" i="5"/>
  <c r="AE23" i="5"/>
  <c r="AE31" i="5"/>
  <c r="AE39" i="5"/>
  <c r="AE47" i="5"/>
  <c r="AE55" i="5"/>
  <c r="AE63" i="5"/>
  <c r="AE71" i="5"/>
  <c r="AE79" i="5"/>
  <c r="AE87" i="5"/>
  <c r="AE95" i="5"/>
  <c r="AE103" i="5"/>
  <c r="AE111" i="5"/>
  <c r="AE119" i="5"/>
  <c r="AE127" i="5"/>
  <c r="AE135" i="5"/>
  <c r="AE143" i="5"/>
  <c r="AE151" i="5"/>
  <c r="AE159" i="5"/>
  <c r="AE167" i="5"/>
  <c r="AE175" i="5"/>
  <c r="AE183" i="5"/>
  <c r="AE191" i="5"/>
  <c r="AE199" i="5"/>
  <c r="AE207" i="5"/>
  <c r="AE215" i="5"/>
  <c r="AE223" i="5"/>
  <c r="AE231" i="5"/>
  <c r="AE239" i="5"/>
  <c r="AE247" i="5"/>
  <c r="AE255" i="5"/>
  <c r="AE263" i="5"/>
  <c r="AE271" i="5"/>
  <c r="AE279" i="5"/>
  <c r="AE287" i="5"/>
  <c r="AE8" i="5"/>
  <c r="AE16" i="5"/>
  <c r="AE24" i="5"/>
  <c r="AE32" i="5"/>
  <c r="AE40" i="5"/>
  <c r="AE48" i="5"/>
  <c r="AE56" i="5"/>
  <c r="AE64" i="5"/>
  <c r="AE72" i="5"/>
  <c r="AE80" i="5"/>
  <c r="AE88" i="5"/>
  <c r="AE96" i="5"/>
  <c r="AE104" i="5"/>
  <c r="AE112" i="5"/>
  <c r="AE120" i="5"/>
  <c r="AE128" i="5"/>
  <c r="AE136" i="5"/>
  <c r="AE144" i="5"/>
  <c r="AE152" i="5"/>
  <c r="AE160" i="5"/>
  <c r="AE168" i="5"/>
  <c r="AE176" i="5"/>
  <c r="AE184" i="5"/>
  <c r="AE192" i="5"/>
  <c r="AE200" i="5"/>
  <c r="AE208" i="5"/>
  <c r="AE216" i="5"/>
  <c r="AE224" i="5"/>
  <c r="AE232" i="5"/>
  <c r="AE240" i="5"/>
  <c r="AE248" i="5"/>
  <c r="AE256" i="5"/>
  <c r="AE264" i="5"/>
  <c r="AE272" i="5"/>
  <c r="AE280" i="5"/>
  <c r="AE288" i="5"/>
  <c r="AE10" i="5"/>
  <c r="AE34" i="5"/>
  <c r="AE50" i="5"/>
  <c r="AE66" i="5"/>
  <c r="AE82" i="5"/>
  <c r="AE98" i="5"/>
  <c r="AE114" i="5"/>
  <c r="AE130" i="5"/>
  <c r="AE138" i="5"/>
  <c r="AE154" i="5"/>
  <c r="AE170" i="5"/>
  <c r="AE186" i="5"/>
  <c r="AE202" i="5"/>
  <c r="AE218" i="5"/>
  <c r="AE234" i="5"/>
  <c r="AE250" i="5"/>
  <c r="AE266" i="5"/>
  <c r="AE282" i="5"/>
  <c r="AE19" i="5"/>
  <c r="AE35" i="5"/>
  <c r="AE51" i="5"/>
  <c r="AE67" i="5"/>
  <c r="AE83" i="5"/>
  <c r="AE91" i="5"/>
  <c r="AE107" i="5"/>
  <c r="AE123" i="5"/>
  <c r="AE139" i="5"/>
  <c r="AE155" i="5"/>
  <c r="AE171" i="5"/>
  <c r="AE187" i="5"/>
  <c r="AE203" i="5"/>
  <c r="AE219" i="5"/>
  <c r="AE235" i="5"/>
  <c r="AE251" i="5"/>
  <c r="AE267" i="5"/>
  <c r="AE275" i="5"/>
  <c r="AE9" i="5"/>
  <c r="AE17" i="5"/>
  <c r="AE25" i="5"/>
  <c r="AE33" i="5"/>
  <c r="AE41" i="5"/>
  <c r="AE49" i="5"/>
  <c r="AE57" i="5"/>
  <c r="AE65" i="5"/>
  <c r="AE73" i="5"/>
  <c r="AE81" i="5"/>
  <c r="AE89" i="5"/>
  <c r="AE97" i="5"/>
  <c r="AE105" i="5"/>
  <c r="AE113" i="5"/>
  <c r="AE121" i="5"/>
  <c r="AE129" i="5"/>
  <c r="AE137" i="5"/>
  <c r="AE145" i="5"/>
  <c r="AE153" i="5"/>
  <c r="AE161" i="5"/>
  <c r="AE169" i="5"/>
  <c r="AE177" i="5"/>
  <c r="AE185" i="5"/>
  <c r="AE193" i="5"/>
  <c r="AE201" i="5"/>
  <c r="AE209" i="5"/>
  <c r="AE217" i="5"/>
  <c r="AE225" i="5"/>
  <c r="AE233" i="5"/>
  <c r="AE241" i="5"/>
  <c r="AE249" i="5"/>
  <c r="AE257" i="5"/>
  <c r="AE265" i="5"/>
  <c r="AE273" i="5"/>
  <c r="AE281" i="5"/>
  <c r="AE289" i="5"/>
  <c r="AE18" i="5"/>
  <c r="AE26" i="5"/>
  <c r="AE42" i="5"/>
  <c r="AE58" i="5"/>
  <c r="AE74" i="5"/>
  <c r="AE90" i="5"/>
  <c r="AE106" i="5"/>
  <c r="AE122" i="5"/>
  <c r="AE146" i="5"/>
  <c r="AE162" i="5"/>
  <c r="AE178" i="5"/>
  <c r="AE194" i="5"/>
  <c r="AE210" i="5"/>
  <c r="AE226" i="5"/>
  <c r="AE242" i="5"/>
  <c r="AE258" i="5"/>
  <c r="AE274" i="5"/>
  <c r="AE11" i="5"/>
  <c r="AE27" i="5"/>
  <c r="AE43" i="5"/>
  <c r="AE59" i="5"/>
  <c r="AE75" i="5"/>
  <c r="AE99" i="5"/>
  <c r="AE115" i="5"/>
  <c r="AE131" i="5"/>
  <c r="AE147" i="5"/>
  <c r="AE163" i="5"/>
  <c r="AE179" i="5"/>
  <c r="AE195" i="5"/>
  <c r="AE211" i="5"/>
  <c r="AE227" i="5"/>
  <c r="AE243" i="5"/>
  <c r="AE259" i="5"/>
  <c r="AE283" i="5"/>
  <c r="AU3" i="5"/>
  <c r="AI2" i="18"/>
  <c r="AI3" i="18"/>
  <c r="AI4" i="18"/>
  <c r="AI5" i="18"/>
  <c r="AI6" i="18"/>
  <c r="AI7" i="18"/>
  <c r="AI8" i="18"/>
  <c r="AI9" i="18"/>
  <c r="AI10" i="18"/>
  <c r="AI11" i="18"/>
  <c r="AI12" i="18"/>
  <c r="AI13" i="18"/>
  <c r="AI14" i="18"/>
  <c r="AI15" i="18"/>
  <c r="AI16" i="18"/>
  <c r="AI17" i="18"/>
  <c r="AI18" i="18"/>
  <c r="AI19" i="18"/>
  <c r="AI20" i="18"/>
  <c r="AI21" i="18"/>
  <c r="AI22" i="18"/>
  <c r="AI23" i="18"/>
  <c r="AI24" i="18"/>
  <c r="AI25" i="18"/>
  <c r="AI26" i="18"/>
  <c r="AI27" i="18"/>
  <c r="AI28" i="18"/>
  <c r="AI29" i="18"/>
  <c r="AI30" i="18"/>
  <c r="AI31" i="18"/>
  <c r="AI32" i="18"/>
  <c r="AI33" i="18"/>
  <c r="AI34" i="18"/>
  <c r="AI35" i="18"/>
  <c r="AI36" i="18"/>
  <c r="AI37" i="18"/>
  <c r="AI38" i="18"/>
  <c r="AI39" i="18"/>
  <c r="AI40" i="18"/>
  <c r="AI1" i="18"/>
  <c r="N4" i="5" l="1"/>
  <c r="O4" i="5"/>
  <c r="P4" i="5"/>
  <c r="AK4" i="5"/>
  <c r="AL4" i="5"/>
  <c r="N5" i="5"/>
  <c r="O5" i="5"/>
  <c r="P5" i="5"/>
  <c r="AK5" i="5"/>
  <c r="AL5" i="5"/>
  <c r="N6" i="5"/>
  <c r="O6" i="5"/>
  <c r="P6" i="5"/>
  <c r="AK6" i="5"/>
  <c r="AL6" i="5"/>
  <c r="N7" i="5"/>
  <c r="O7" i="5"/>
  <c r="P7" i="5"/>
  <c r="AK7" i="5"/>
  <c r="AL7" i="5"/>
  <c r="N8" i="5"/>
  <c r="O8" i="5"/>
  <c r="P8" i="5"/>
  <c r="AK8" i="5"/>
  <c r="AL8" i="5"/>
  <c r="N9" i="5"/>
  <c r="O9" i="5"/>
  <c r="P9" i="5"/>
  <c r="AK9" i="5"/>
  <c r="AL9" i="5"/>
  <c r="N10" i="5"/>
  <c r="O10" i="5"/>
  <c r="P10" i="5"/>
  <c r="AK10" i="5"/>
  <c r="AL10" i="5"/>
  <c r="N11" i="5"/>
  <c r="O11" i="5"/>
  <c r="P11" i="5"/>
  <c r="AK11" i="5"/>
  <c r="AL11" i="5"/>
  <c r="N12" i="5"/>
  <c r="O12" i="5"/>
  <c r="P12" i="5"/>
  <c r="AK12" i="5"/>
  <c r="AL12" i="5"/>
  <c r="N13" i="5"/>
  <c r="O13" i="5"/>
  <c r="P13" i="5"/>
  <c r="AK13" i="5"/>
  <c r="AL13" i="5"/>
  <c r="N14" i="5"/>
  <c r="O14" i="5"/>
  <c r="P14" i="5"/>
  <c r="AK14" i="5"/>
  <c r="AL14" i="5"/>
  <c r="N15" i="5"/>
  <c r="O15" i="5"/>
  <c r="P15" i="5"/>
  <c r="AK15" i="5"/>
  <c r="AL15" i="5"/>
  <c r="N16" i="5"/>
  <c r="O16" i="5"/>
  <c r="P16" i="5"/>
  <c r="AK16" i="5"/>
  <c r="AL16" i="5"/>
  <c r="N17" i="5"/>
  <c r="O17" i="5"/>
  <c r="P17" i="5"/>
  <c r="AK17" i="5"/>
  <c r="AL17" i="5"/>
  <c r="N18" i="5"/>
  <c r="O18" i="5"/>
  <c r="P18" i="5"/>
  <c r="AK18" i="5"/>
  <c r="AL18" i="5"/>
  <c r="N19" i="5"/>
  <c r="O19" i="5"/>
  <c r="P19" i="5"/>
  <c r="AK19" i="5"/>
  <c r="AL19" i="5"/>
  <c r="N20" i="5"/>
  <c r="O20" i="5"/>
  <c r="P20" i="5"/>
  <c r="AK20" i="5"/>
  <c r="AL20" i="5"/>
  <c r="N21" i="5"/>
  <c r="O21" i="5"/>
  <c r="P21" i="5"/>
  <c r="AK21" i="5"/>
  <c r="AL21" i="5"/>
  <c r="N22" i="5"/>
  <c r="O22" i="5"/>
  <c r="P22" i="5"/>
  <c r="AK22" i="5"/>
  <c r="AL22" i="5"/>
  <c r="N23" i="5"/>
  <c r="O23" i="5"/>
  <c r="P23" i="5"/>
  <c r="AK23" i="5"/>
  <c r="AL23" i="5"/>
  <c r="N24" i="5"/>
  <c r="O24" i="5"/>
  <c r="P24" i="5"/>
  <c r="AK24" i="5"/>
  <c r="AL24" i="5"/>
  <c r="N25" i="5"/>
  <c r="O25" i="5"/>
  <c r="P25" i="5"/>
  <c r="AK25" i="5"/>
  <c r="AL25" i="5"/>
  <c r="N26" i="5"/>
  <c r="O26" i="5"/>
  <c r="P26" i="5"/>
  <c r="AK26" i="5"/>
  <c r="AL26" i="5"/>
  <c r="N27" i="5"/>
  <c r="O27" i="5"/>
  <c r="P27" i="5"/>
  <c r="AK27" i="5"/>
  <c r="AL27" i="5"/>
  <c r="N28" i="5"/>
  <c r="O28" i="5"/>
  <c r="P28" i="5"/>
  <c r="AK28" i="5"/>
  <c r="AL28" i="5"/>
  <c r="N29" i="5"/>
  <c r="O29" i="5"/>
  <c r="P29" i="5"/>
  <c r="AK29" i="5"/>
  <c r="AL29" i="5"/>
  <c r="N30" i="5"/>
  <c r="O30" i="5"/>
  <c r="P30" i="5"/>
  <c r="AK30" i="5"/>
  <c r="AL30" i="5"/>
  <c r="N31" i="5"/>
  <c r="O31" i="5"/>
  <c r="P31" i="5"/>
  <c r="AK31" i="5"/>
  <c r="AL31" i="5"/>
  <c r="N32" i="5"/>
  <c r="O32" i="5"/>
  <c r="P32" i="5"/>
  <c r="AK32" i="5"/>
  <c r="AL32" i="5"/>
  <c r="N33" i="5"/>
  <c r="O33" i="5"/>
  <c r="P33" i="5"/>
  <c r="AK33" i="5"/>
  <c r="AL33" i="5"/>
  <c r="N34" i="5"/>
  <c r="O34" i="5"/>
  <c r="P34" i="5"/>
  <c r="AK34" i="5"/>
  <c r="AL34" i="5"/>
  <c r="N35" i="5"/>
  <c r="O35" i="5"/>
  <c r="P35" i="5"/>
  <c r="AK35" i="5"/>
  <c r="AL35" i="5"/>
  <c r="N36" i="5"/>
  <c r="O36" i="5"/>
  <c r="P36" i="5"/>
  <c r="AK36" i="5"/>
  <c r="AL36" i="5"/>
  <c r="N37" i="5"/>
  <c r="O37" i="5"/>
  <c r="P37" i="5"/>
  <c r="AK37" i="5"/>
  <c r="AL37" i="5"/>
  <c r="N38" i="5"/>
  <c r="O38" i="5"/>
  <c r="P38" i="5"/>
  <c r="AK38" i="5"/>
  <c r="AL38" i="5"/>
  <c r="N39" i="5"/>
  <c r="O39" i="5"/>
  <c r="P39" i="5"/>
  <c r="AK39" i="5"/>
  <c r="AL39" i="5"/>
  <c r="N40" i="5"/>
  <c r="O40" i="5"/>
  <c r="P40" i="5"/>
  <c r="AK40" i="5"/>
  <c r="AL40" i="5"/>
  <c r="N41" i="5"/>
  <c r="O41" i="5"/>
  <c r="P41" i="5"/>
  <c r="AK41" i="5"/>
  <c r="AL41" i="5"/>
  <c r="N42" i="5"/>
  <c r="O42" i="5"/>
  <c r="P42" i="5"/>
  <c r="AK42" i="5"/>
  <c r="AL42" i="5"/>
  <c r="N43" i="5"/>
  <c r="O43" i="5"/>
  <c r="P43" i="5"/>
  <c r="AK43" i="5"/>
  <c r="AL43" i="5"/>
  <c r="N44" i="5"/>
  <c r="O44" i="5"/>
  <c r="P44" i="5"/>
  <c r="AK44" i="5"/>
  <c r="AL44" i="5"/>
  <c r="N45" i="5"/>
  <c r="O45" i="5"/>
  <c r="P45" i="5"/>
  <c r="AK45" i="5"/>
  <c r="AL45" i="5"/>
  <c r="N46" i="5"/>
  <c r="O46" i="5"/>
  <c r="P46" i="5"/>
  <c r="AK46" i="5"/>
  <c r="AL46" i="5"/>
  <c r="N47" i="5"/>
  <c r="O47" i="5"/>
  <c r="P47" i="5"/>
  <c r="AK47" i="5"/>
  <c r="AL47" i="5"/>
  <c r="N48" i="5"/>
  <c r="O48" i="5"/>
  <c r="P48" i="5"/>
  <c r="AK48" i="5"/>
  <c r="AL48" i="5"/>
  <c r="N49" i="5"/>
  <c r="O49" i="5"/>
  <c r="P49" i="5"/>
  <c r="AK49" i="5"/>
  <c r="AL49" i="5"/>
  <c r="N50" i="5"/>
  <c r="O50" i="5"/>
  <c r="P50" i="5"/>
  <c r="AK50" i="5"/>
  <c r="AL50" i="5"/>
  <c r="N51" i="5"/>
  <c r="O51" i="5"/>
  <c r="P51" i="5"/>
  <c r="AK51" i="5"/>
  <c r="AL51" i="5"/>
  <c r="N52" i="5"/>
  <c r="O52" i="5"/>
  <c r="P52" i="5"/>
  <c r="AK52" i="5"/>
  <c r="AL52" i="5"/>
  <c r="N53" i="5"/>
  <c r="O53" i="5"/>
  <c r="P53" i="5"/>
  <c r="AK53" i="5"/>
  <c r="AL53" i="5"/>
  <c r="N54" i="5"/>
  <c r="O54" i="5"/>
  <c r="P54" i="5"/>
  <c r="AK54" i="5"/>
  <c r="AL54" i="5"/>
  <c r="N55" i="5"/>
  <c r="O55" i="5"/>
  <c r="P55" i="5"/>
  <c r="AK55" i="5"/>
  <c r="AL55" i="5"/>
  <c r="N56" i="5"/>
  <c r="O56" i="5"/>
  <c r="P56" i="5"/>
  <c r="AK56" i="5"/>
  <c r="AL56" i="5"/>
  <c r="N57" i="5"/>
  <c r="O57" i="5"/>
  <c r="P57" i="5"/>
  <c r="AK57" i="5"/>
  <c r="AL57" i="5"/>
  <c r="N58" i="5"/>
  <c r="O58" i="5"/>
  <c r="P58" i="5"/>
  <c r="AK58" i="5"/>
  <c r="AL58" i="5"/>
  <c r="N59" i="5"/>
  <c r="O59" i="5"/>
  <c r="P59" i="5"/>
  <c r="AK59" i="5"/>
  <c r="AL59" i="5"/>
  <c r="N60" i="5"/>
  <c r="O60" i="5"/>
  <c r="P60" i="5"/>
  <c r="AK60" i="5"/>
  <c r="AL60" i="5"/>
  <c r="N61" i="5"/>
  <c r="O61" i="5"/>
  <c r="P61" i="5"/>
  <c r="AK61" i="5"/>
  <c r="AL61" i="5"/>
  <c r="N62" i="5"/>
  <c r="O62" i="5"/>
  <c r="P62" i="5"/>
  <c r="AK62" i="5"/>
  <c r="AL62" i="5"/>
  <c r="N63" i="5"/>
  <c r="O63" i="5"/>
  <c r="P63" i="5"/>
  <c r="AK63" i="5"/>
  <c r="AL63" i="5"/>
  <c r="N64" i="5"/>
  <c r="O64" i="5"/>
  <c r="P64" i="5"/>
  <c r="AK64" i="5"/>
  <c r="AL64" i="5"/>
  <c r="N65" i="5"/>
  <c r="O65" i="5"/>
  <c r="P65" i="5"/>
  <c r="AK65" i="5"/>
  <c r="AL65" i="5"/>
  <c r="N66" i="5"/>
  <c r="O66" i="5"/>
  <c r="P66" i="5"/>
  <c r="AK66" i="5"/>
  <c r="AL66" i="5"/>
  <c r="N67" i="5"/>
  <c r="O67" i="5"/>
  <c r="P67" i="5"/>
  <c r="AK67" i="5"/>
  <c r="AL67" i="5"/>
  <c r="N68" i="5"/>
  <c r="O68" i="5"/>
  <c r="P68" i="5"/>
  <c r="AK68" i="5"/>
  <c r="AL68" i="5"/>
  <c r="N69" i="5"/>
  <c r="O69" i="5"/>
  <c r="P69" i="5"/>
  <c r="AK69" i="5"/>
  <c r="AL69" i="5"/>
  <c r="N70" i="5"/>
  <c r="O70" i="5"/>
  <c r="P70" i="5"/>
  <c r="AK70" i="5"/>
  <c r="AL70" i="5"/>
  <c r="N71" i="5"/>
  <c r="O71" i="5"/>
  <c r="P71" i="5"/>
  <c r="AK71" i="5"/>
  <c r="AL71" i="5"/>
  <c r="N72" i="5"/>
  <c r="O72" i="5"/>
  <c r="P72" i="5"/>
  <c r="AK72" i="5"/>
  <c r="AL72" i="5"/>
  <c r="N73" i="5"/>
  <c r="O73" i="5"/>
  <c r="P73" i="5"/>
  <c r="AK73" i="5"/>
  <c r="AL73" i="5"/>
  <c r="N74" i="5"/>
  <c r="O74" i="5"/>
  <c r="P74" i="5"/>
  <c r="AK74" i="5"/>
  <c r="AL74" i="5"/>
  <c r="N75" i="5"/>
  <c r="O75" i="5"/>
  <c r="P75" i="5"/>
  <c r="AK75" i="5"/>
  <c r="AL75" i="5"/>
  <c r="N76" i="5"/>
  <c r="O76" i="5"/>
  <c r="P76" i="5"/>
  <c r="AK76" i="5"/>
  <c r="AL76" i="5"/>
  <c r="N77" i="5"/>
  <c r="O77" i="5"/>
  <c r="P77" i="5"/>
  <c r="AK77" i="5"/>
  <c r="AL77" i="5"/>
  <c r="N78" i="5"/>
  <c r="O78" i="5"/>
  <c r="P78" i="5"/>
  <c r="AK78" i="5"/>
  <c r="AL78" i="5"/>
  <c r="N79" i="5"/>
  <c r="O79" i="5"/>
  <c r="P79" i="5"/>
  <c r="AK79" i="5"/>
  <c r="AL79" i="5"/>
  <c r="N80" i="5"/>
  <c r="O80" i="5"/>
  <c r="P80" i="5"/>
  <c r="AK80" i="5"/>
  <c r="AL80" i="5"/>
  <c r="N81" i="5"/>
  <c r="O81" i="5"/>
  <c r="P81" i="5"/>
  <c r="AK81" i="5"/>
  <c r="AL81" i="5"/>
  <c r="N82" i="5"/>
  <c r="O82" i="5"/>
  <c r="P82" i="5"/>
  <c r="AK82" i="5"/>
  <c r="AL82" i="5"/>
  <c r="N83" i="5"/>
  <c r="O83" i="5"/>
  <c r="P83" i="5"/>
  <c r="AK83" i="5"/>
  <c r="AL83" i="5"/>
  <c r="N84" i="5"/>
  <c r="O84" i="5"/>
  <c r="P84" i="5"/>
  <c r="AK84" i="5"/>
  <c r="AL84" i="5"/>
  <c r="N85" i="5"/>
  <c r="O85" i="5"/>
  <c r="P85" i="5"/>
  <c r="AK85" i="5"/>
  <c r="AL85" i="5"/>
  <c r="N86" i="5"/>
  <c r="O86" i="5"/>
  <c r="P86" i="5"/>
  <c r="AK86" i="5"/>
  <c r="AL86" i="5"/>
  <c r="N87" i="5"/>
  <c r="O87" i="5"/>
  <c r="P87" i="5"/>
  <c r="AK87" i="5"/>
  <c r="AL87" i="5"/>
  <c r="N88" i="5"/>
  <c r="O88" i="5"/>
  <c r="P88" i="5"/>
  <c r="AK88" i="5"/>
  <c r="AL88" i="5"/>
  <c r="N89" i="5"/>
  <c r="O89" i="5"/>
  <c r="P89" i="5"/>
  <c r="AK89" i="5"/>
  <c r="AL89" i="5"/>
  <c r="N90" i="5"/>
  <c r="O90" i="5"/>
  <c r="P90" i="5"/>
  <c r="AK90" i="5"/>
  <c r="AL90" i="5"/>
  <c r="N91" i="5"/>
  <c r="O91" i="5"/>
  <c r="P91" i="5"/>
  <c r="AK91" i="5"/>
  <c r="AL91" i="5"/>
  <c r="N92" i="5"/>
  <c r="O92" i="5"/>
  <c r="P92" i="5"/>
  <c r="AK92" i="5"/>
  <c r="AL92" i="5"/>
  <c r="N93" i="5"/>
  <c r="O93" i="5"/>
  <c r="P93" i="5"/>
  <c r="AK93" i="5"/>
  <c r="AL93" i="5"/>
  <c r="N94" i="5"/>
  <c r="O94" i="5"/>
  <c r="P94" i="5"/>
  <c r="AK94" i="5"/>
  <c r="AL94" i="5"/>
  <c r="N95" i="5"/>
  <c r="O95" i="5"/>
  <c r="P95" i="5"/>
  <c r="AK95" i="5"/>
  <c r="AL95" i="5"/>
  <c r="N96" i="5"/>
  <c r="O96" i="5"/>
  <c r="P96" i="5"/>
  <c r="AK96" i="5"/>
  <c r="AL96" i="5"/>
  <c r="N97" i="5"/>
  <c r="O97" i="5"/>
  <c r="P97" i="5"/>
  <c r="AK97" i="5"/>
  <c r="AL97" i="5"/>
  <c r="N98" i="5"/>
  <c r="O98" i="5"/>
  <c r="P98" i="5"/>
  <c r="AK98" i="5"/>
  <c r="AL98" i="5"/>
  <c r="N99" i="5"/>
  <c r="O99" i="5"/>
  <c r="P99" i="5"/>
  <c r="AK99" i="5"/>
  <c r="AL99" i="5"/>
  <c r="N100" i="5"/>
  <c r="O100" i="5"/>
  <c r="P100" i="5"/>
  <c r="AK100" i="5"/>
  <c r="AL100" i="5"/>
  <c r="N101" i="5"/>
  <c r="O101" i="5"/>
  <c r="P101" i="5"/>
  <c r="AK101" i="5"/>
  <c r="AL101" i="5"/>
  <c r="N102" i="5"/>
  <c r="O102" i="5"/>
  <c r="P102" i="5"/>
  <c r="AK102" i="5"/>
  <c r="AL102" i="5"/>
  <c r="N103" i="5"/>
  <c r="O103" i="5"/>
  <c r="P103" i="5"/>
  <c r="AK103" i="5"/>
  <c r="AL103" i="5"/>
  <c r="N104" i="5"/>
  <c r="O104" i="5"/>
  <c r="P104" i="5"/>
  <c r="AK104" i="5"/>
  <c r="AL104" i="5"/>
  <c r="N105" i="5"/>
  <c r="O105" i="5"/>
  <c r="P105" i="5"/>
  <c r="AK105" i="5"/>
  <c r="AL105" i="5"/>
  <c r="N106" i="5"/>
  <c r="O106" i="5"/>
  <c r="P106" i="5"/>
  <c r="AK106" i="5"/>
  <c r="AL106" i="5"/>
  <c r="N107" i="5"/>
  <c r="O107" i="5"/>
  <c r="P107" i="5"/>
  <c r="AK107" i="5"/>
  <c r="AL107" i="5"/>
  <c r="N108" i="5"/>
  <c r="O108" i="5"/>
  <c r="P108" i="5"/>
  <c r="AK108" i="5"/>
  <c r="AL108" i="5"/>
  <c r="N109" i="5"/>
  <c r="O109" i="5"/>
  <c r="P109" i="5"/>
  <c r="AK109" i="5"/>
  <c r="AL109" i="5"/>
  <c r="N110" i="5"/>
  <c r="O110" i="5"/>
  <c r="P110" i="5"/>
  <c r="AK110" i="5"/>
  <c r="AL110" i="5"/>
  <c r="N111" i="5"/>
  <c r="O111" i="5"/>
  <c r="P111" i="5"/>
  <c r="AK111" i="5"/>
  <c r="AL111" i="5"/>
  <c r="N112" i="5"/>
  <c r="O112" i="5"/>
  <c r="P112" i="5"/>
  <c r="AK112" i="5"/>
  <c r="AL112" i="5"/>
  <c r="N113" i="5"/>
  <c r="O113" i="5"/>
  <c r="P113" i="5"/>
  <c r="AK113" i="5"/>
  <c r="AL113" i="5"/>
  <c r="N114" i="5"/>
  <c r="O114" i="5"/>
  <c r="P114" i="5"/>
  <c r="AK114" i="5"/>
  <c r="AL114" i="5"/>
  <c r="N115" i="5"/>
  <c r="O115" i="5"/>
  <c r="P115" i="5"/>
  <c r="AK115" i="5"/>
  <c r="AL115" i="5"/>
  <c r="N116" i="5"/>
  <c r="O116" i="5"/>
  <c r="P116" i="5"/>
  <c r="AK116" i="5"/>
  <c r="AL116" i="5"/>
  <c r="N117" i="5"/>
  <c r="O117" i="5"/>
  <c r="P117" i="5"/>
  <c r="AK117" i="5"/>
  <c r="AL117" i="5"/>
  <c r="N118" i="5"/>
  <c r="O118" i="5"/>
  <c r="P118" i="5"/>
  <c r="AK118" i="5"/>
  <c r="AL118" i="5"/>
  <c r="N119" i="5"/>
  <c r="O119" i="5"/>
  <c r="P119" i="5"/>
  <c r="AK119" i="5"/>
  <c r="AL119" i="5"/>
  <c r="N120" i="5"/>
  <c r="O120" i="5"/>
  <c r="P120" i="5"/>
  <c r="AK120" i="5"/>
  <c r="AL120" i="5"/>
  <c r="N121" i="5"/>
  <c r="O121" i="5"/>
  <c r="P121" i="5"/>
  <c r="AK121" i="5"/>
  <c r="AL121" i="5"/>
  <c r="N122" i="5"/>
  <c r="O122" i="5"/>
  <c r="P122" i="5"/>
  <c r="AK122" i="5"/>
  <c r="AL122" i="5"/>
  <c r="N123" i="5"/>
  <c r="O123" i="5"/>
  <c r="P123" i="5"/>
  <c r="AK123" i="5"/>
  <c r="AL123" i="5"/>
  <c r="N124" i="5"/>
  <c r="O124" i="5"/>
  <c r="P124" i="5"/>
  <c r="AK124" i="5"/>
  <c r="AL124" i="5"/>
  <c r="N125" i="5"/>
  <c r="O125" i="5"/>
  <c r="P125" i="5"/>
  <c r="AK125" i="5"/>
  <c r="AL125" i="5"/>
  <c r="N126" i="5"/>
  <c r="O126" i="5"/>
  <c r="P126" i="5"/>
  <c r="AK126" i="5"/>
  <c r="AL126" i="5"/>
  <c r="N127" i="5"/>
  <c r="O127" i="5"/>
  <c r="P127" i="5"/>
  <c r="AK127" i="5"/>
  <c r="AL127" i="5"/>
  <c r="N128" i="5"/>
  <c r="O128" i="5"/>
  <c r="P128" i="5"/>
  <c r="AK128" i="5"/>
  <c r="AL128" i="5"/>
  <c r="N129" i="5"/>
  <c r="O129" i="5"/>
  <c r="P129" i="5"/>
  <c r="AK129" i="5"/>
  <c r="AL129" i="5"/>
  <c r="N130" i="5"/>
  <c r="O130" i="5"/>
  <c r="P130" i="5"/>
  <c r="AK130" i="5"/>
  <c r="AL130" i="5"/>
  <c r="N131" i="5"/>
  <c r="O131" i="5"/>
  <c r="P131" i="5"/>
  <c r="AK131" i="5"/>
  <c r="AL131" i="5"/>
  <c r="N132" i="5"/>
  <c r="O132" i="5"/>
  <c r="P132" i="5"/>
  <c r="AK132" i="5"/>
  <c r="AL132" i="5"/>
  <c r="N133" i="5"/>
  <c r="O133" i="5"/>
  <c r="P133" i="5"/>
  <c r="AK133" i="5"/>
  <c r="AL133" i="5"/>
  <c r="N134" i="5"/>
  <c r="O134" i="5"/>
  <c r="P134" i="5"/>
  <c r="AK134" i="5"/>
  <c r="AL134" i="5"/>
  <c r="N135" i="5"/>
  <c r="O135" i="5"/>
  <c r="P135" i="5"/>
  <c r="AK135" i="5"/>
  <c r="AL135" i="5"/>
  <c r="N136" i="5"/>
  <c r="O136" i="5"/>
  <c r="P136" i="5"/>
  <c r="AK136" i="5"/>
  <c r="AL136" i="5"/>
  <c r="N137" i="5"/>
  <c r="O137" i="5"/>
  <c r="P137" i="5"/>
  <c r="AK137" i="5"/>
  <c r="AL137" i="5"/>
  <c r="N138" i="5"/>
  <c r="O138" i="5"/>
  <c r="P138" i="5"/>
  <c r="AK138" i="5"/>
  <c r="AL138" i="5"/>
  <c r="N139" i="5"/>
  <c r="O139" i="5"/>
  <c r="P139" i="5"/>
  <c r="AK139" i="5"/>
  <c r="AL139" i="5"/>
  <c r="N140" i="5"/>
  <c r="O140" i="5"/>
  <c r="P140" i="5"/>
  <c r="AK140" i="5"/>
  <c r="AL140" i="5"/>
  <c r="N141" i="5"/>
  <c r="O141" i="5"/>
  <c r="P141" i="5"/>
  <c r="AK141" i="5"/>
  <c r="AL141" i="5"/>
  <c r="N142" i="5"/>
  <c r="O142" i="5"/>
  <c r="P142" i="5"/>
  <c r="AK142" i="5"/>
  <c r="AL142" i="5"/>
  <c r="N143" i="5"/>
  <c r="O143" i="5"/>
  <c r="P143" i="5"/>
  <c r="AK143" i="5"/>
  <c r="AL143" i="5"/>
  <c r="N144" i="5"/>
  <c r="O144" i="5"/>
  <c r="P144" i="5"/>
  <c r="AK144" i="5"/>
  <c r="AL144" i="5"/>
  <c r="N145" i="5"/>
  <c r="O145" i="5"/>
  <c r="P145" i="5"/>
  <c r="AK145" i="5"/>
  <c r="AL145" i="5"/>
  <c r="N146" i="5"/>
  <c r="O146" i="5"/>
  <c r="P146" i="5"/>
  <c r="AK146" i="5"/>
  <c r="AL146" i="5"/>
  <c r="N147" i="5"/>
  <c r="O147" i="5"/>
  <c r="P147" i="5"/>
  <c r="AK147" i="5"/>
  <c r="AL147" i="5"/>
  <c r="N148" i="5"/>
  <c r="O148" i="5"/>
  <c r="P148" i="5"/>
  <c r="AK148" i="5"/>
  <c r="AL148" i="5"/>
  <c r="N149" i="5"/>
  <c r="O149" i="5"/>
  <c r="P149" i="5"/>
  <c r="AK149" i="5"/>
  <c r="AL149" i="5"/>
  <c r="N150" i="5"/>
  <c r="O150" i="5"/>
  <c r="P150" i="5"/>
  <c r="AK150" i="5"/>
  <c r="AL150" i="5"/>
  <c r="N151" i="5"/>
  <c r="O151" i="5"/>
  <c r="P151" i="5"/>
  <c r="AK151" i="5"/>
  <c r="AL151" i="5"/>
  <c r="N152" i="5"/>
  <c r="O152" i="5"/>
  <c r="P152" i="5"/>
  <c r="AK152" i="5"/>
  <c r="AL152" i="5"/>
  <c r="N153" i="5"/>
  <c r="O153" i="5"/>
  <c r="P153" i="5"/>
  <c r="AK153" i="5"/>
  <c r="AL153" i="5"/>
  <c r="N154" i="5"/>
  <c r="O154" i="5"/>
  <c r="P154" i="5"/>
  <c r="AK154" i="5"/>
  <c r="AL154" i="5"/>
  <c r="N155" i="5"/>
  <c r="O155" i="5"/>
  <c r="P155" i="5"/>
  <c r="AK155" i="5"/>
  <c r="AL155" i="5"/>
  <c r="N156" i="5"/>
  <c r="O156" i="5"/>
  <c r="P156" i="5"/>
  <c r="AK156" i="5"/>
  <c r="AL156" i="5"/>
  <c r="N157" i="5"/>
  <c r="O157" i="5"/>
  <c r="P157" i="5"/>
  <c r="AK157" i="5"/>
  <c r="AL157" i="5"/>
  <c r="N158" i="5"/>
  <c r="O158" i="5"/>
  <c r="P158" i="5"/>
  <c r="AK158" i="5"/>
  <c r="AL158" i="5"/>
  <c r="N159" i="5"/>
  <c r="O159" i="5"/>
  <c r="P159" i="5"/>
  <c r="AK159" i="5"/>
  <c r="AL159" i="5"/>
  <c r="N160" i="5"/>
  <c r="O160" i="5"/>
  <c r="P160" i="5"/>
  <c r="AK160" i="5"/>
  <c r="AL160" i="5"/>
  <c r="N161" i="5"/>
  <c r="O161" i="5"/>
  <c r="P161" i="5"/>
  <c r="AK161" i="5"/>
  <c r="AL161" i="5"/>
  <c r="N162" i="5"/>
  <c r="O162" i="5"/>
  <c r="P162" i="5"/>
  <c r="AK162" i="5"/>
  <c r="AL162" i="5"/>
  <c r="N163" i="5"/>
  <c r="O163" i="5"/>
  <c r="P163" i="5"/>
  <c r="AK163" i="5"/>
  <c r="AL163" i="5"/>
  <c r="N164" i="5"/>
  <c r="O164" i="5"/>
  <c r="P164" i="5"/>
  <c r="AK164" i="5"/>
  <c r="AL164" i="5"/>
  <c r="N165" i="5"/>
  <c r="O165" i="5"/>
  <c r="P165" i="5"/>
  <c r="AK165" i="5"/>
  <c r="AL165" i="5"/>
  <c r="N166" i="5"/>
  <c r="O166" i="5"/>
  <c r="P166" i="5"/>
  <c r="AK166" i="5"/>
  <c r="AL166" i="5"/>
  <c r="N167" i="5"/>
  <c r="O167" i="5"/>
  <c r="P167" i="5"/>
  <c r="AK167" i="5"/>
  <c r="AL167" i="5"/>
  <c r="N168" i="5"/>
  <c r="O168" i="5"/>
  <c r="P168" i="5"/>
  <c r="AK168" i="5"/>
  <c r="AL168" i="5"/>
  <c r="N169" i="5"/>
  <c r="O169" i="5"/>
  <c r="P169" i="5"/>
  <c r="AK169" i="5"/>
  <c r="AL169" i="5"/>
  <c r="N170" i="5"/>
  <c r="O170" i="5"/>
  <c r="P170" i="5"/>
  <c r="AK170" i="5"/>
  <c r="AL170" i="5"/>
  <c r="N171" i="5"/>
  <c r="O171" i="5"/>
  <c r="P171" i="5"/>
  <c r="AK171" i="5"/>
  <c r="AL171" i="5"/>
  <c r="N172" i="5"/>
  <c r="O172" i="5"/>
  <c r="P172" i="5"/>
  <c r="AK172" i="5"/>
  <c r="AL172" i="5"/>
  <c r="N173" i="5"/>
  <c r="O173" i="5"/>
  <c r="P173" i="5"/>
  <c r="AK173" i="5"/>
  <c r="AL173" i="5"/>
  <c r="N174" i="5"/>
  <c r="O174" i="5"/>
  <c r="P174" i="5"/>
  <c r="AK174" i="5"/>
  <c r="AL174" i="5"/>
  <c r="N175" i="5"/>
  <c r="O175" i="5"/>
  <c r="P175" i="5"/>
  <c r="AK175" i="5"/>
  <c r="AL175" i="5"/>
  <c r="N176" i="5"/>
  <c r="O176" i="5"/>
  <c r="P176" i="5"/>
  <c r="AK176" i="5"/>
  <c r="AL176" i="5"/>
  <c r="N177" i="5"/>
  <c r="O177" i="5"/>
  <c r="P177" i="5"/>
  <c r="AK177" i="5"/>
  <c r="AL177" i="5"/>
  <c r="N178" i="5"/>
  <c r="O178" i="5"/>
  <c r="P178" i="5"/>
  <c r="AK178" i="5"/>
  <c r="AL178" i="5"/>
  <c r="N179" i="5"/>
  <c r="O179" i="5"/>
  <c r="P179" i="5"/>
  <c r="AK179" i="5"/>
  <c r="AL179" i="5"/>
  <c r="N180" i="5"/>
  <c r="O180" i="5"/>
  <c r="P180" i="5"/>
  <c r="AK180" i="5"/>
  <c r="AL180" i="5"/>
  <c r="N181" i="5"/>
  <c r="O181" i="5"/>
  <c r="P181" i="5"/>
  <c r="AK181" i="5"/>
  <c r="AL181" i="5"/>
  <c r="N182" i="5"/>
  <c r="O182" i="5"/>
  <c r="P182" i="5"/>
  <c r="AK182" i="5"/>
  <c r="AL182" i="5"/>
  <c r="N183" i="5"/>
  <c r="O183" i="5"/>
  <c r="P183" i="5"/>
  <c r="AK183" i="5"/>
  <c r="AL183" i="5"/>
  <c r="N184" i="5"/>
  <c r="O184" i="5"/>
  <c r="P184" i="5"/>
  <c r="AK184" i="5"/>
  <c r="AL184" i="5"/>
  <c r="N185" i="5"/>
  <c r="O185" i="5"/>
  <c r="P185" i="5"/>
  <c r="AK185" i="5"/>
  <c r="AL185" i="5"/>
  <c r="N186" i="5"/>
  <c r="O186" i="5"/>
  <c r="P186" i="5"/>
  <c r="AK186" i="5"/>
  <c r="AL186" i="5"/>
  <c r="N187" i="5"/>
  <c r="O187" i="5"/>
  <c r="P187" i="5"/>
  <c r="AK187" i="5"/>
  <c r="AL187" i="5"/>
  <c r="N188" i="5"/>
  <c r="O188" i="5"/>
  <c r="P188" i="5"/>
  <c r="AK188" i="5"/>
  <c r="AL188" i="5"/>
  <c r="N189" i="5"/>
  <c r="O189" i="5"/>
  <c r="P189" i="5"/>
  <c r="AK189" i="5"/>
  <c r="AL189" i="5"/>
  <c r="N190" i="5"/>
  <c r="O190" i="5"/>
  <c r="P190" i="5"/>
  <c r="AK190" i="5"/>
  <c r="AL190" i="5"/>
  <c r="N191" i="5"/>
  <c r="O191" i="5"/>
  <c r="P191" i="5"/>
  <c r="AK191" i="5"/>
  <c r="AL191" i="5"/>
  <c r="N192" i="5"/>
  <c r="O192" i="5"/>
  <c r="P192" i="5"/>
  <c r="AK192" i="5"/>
  <c r="AL192" i="5"/>
  <c r="N193" i="5"/>
  <c r="O193" i="5"/>
  <c r="P193" i="5"/>
  <c r="AK193" i="5"/>
  <c r="AL193" i="5"/>
  <c r="N194" i="5"/>
  <c r="O194" i="5"/>
  <c r="P194" i="5"/>
  <c r="AK194" i="5"/>
  <c r="AL194" i="5"/>
  <c r="N195" i="5"/>
  <c r="O195" i="5"/>
  <c r="P195" i="5"/>
  <c r="AK195" i="5"/>
  <c r="AL195" i="5"/>
  <c r="N196" i="5"/>
  <c r="O196" i="5"/>
  <c r="P196" i="5"/>
  <c r="AK196" i="5"/>
  <c r="AL196" i="5"/>
  <c r="N197" i="5"/>
  <c r="O197" i="5"/>
  <c r="P197" i="5"/>
  <c r="AK197" i="5"/>
  <c r="AL197" i="5"/>
  <c r="N198" i="5"/>
  <c r="O198" i="5"/>
  <c r="P198" i="5"/>
  <c r="AK198" i="5"/>
  <c r="AL198" i="5"/>
  <c r="N199" i="5"/>
  <c r="O199" i="5"/>
  <c r="P199" i="5"/>
  <c r="AK199" i="5"/>
  <c r="AL199" i="5"/>
  <c r="N200" i="5"/>
  <c r="O200" i="5"/>
  <c r="P200" i="5"/>
  <c r="AK200" i="5"/>
  <c r="AL200" i="5"/>
  <c r="N201" i="5"/>
  <c r="O201" i="5"/>
  <c r="P201" i="5"/>
  <c r="AK201" i="5"/>
  <c r="AL201" i="5"/>
  <c r="N202" i="5"/>
  <c r="O202" i="5"/>
  <c r="P202" i="5"/>
  <c r="AK202" i="5"/>
  <c r="AL202" i="5"/>
  <c r="N203" i="5"/>
  <c r="O203" i="5"/>
  <c r="P203" i="5"/>
  <c r="AK203" i="5"/>
  <c r="AL203" i="5"/>
  <c r="N204" i="5"/>
  <c r="O204" i="5"/>
  <c r="P204" i="5"/>
  <c r="AK204" i="5"/>
  <c r="AL204" i="5"/>
  <c r="N205" i="5"/>
  <c r="O205" i="5"/>
  <c r="P205" i="5"/>
  <c r="AK205" i="5"/>
  <c r="AL205" i="5"/>
  <c r="N206" i="5"/>
  <c r="O206" i="5"/>
  <c r="P206" i="5"/>
  <c r="AK206" i="5"/>
  <c r="AL206" i="5"/>
  <c r="N207" i="5"/>
  <c r="O207" i="5"/>
  <c r="P207" i="5"/>
  <c r="AK207" i="5"/>
  <c r="AL207" i="5"/>
  <c r="N208" i="5"/>
  <c r="O208" i="5"/>
  <c r="P208" i="5"/>
  <c r="AK208" i="5"/>
  <c r="AL208" i="5"/>
  <c r="N209" i="5"/>
  <c r="O209" i="5"/>
  <c r="P209" i="5"/>
  <c r="AK209" i="5"/>
  <c r="AL209" i="5"/>
  <c r="N210" i="5"/>
  <c r="O210" i="5"/>
  <c r="P210" i="5"/>
  <c r="AK210" i="5"/>
  <c r="AL210" i="5"/>
  <c r="N211" i="5"/>
  <c r="O211" i="5"/>
  <c r="P211" i="5"/>
  <c r="AK211" i="5"/>
  <c r="AL211" i="5"/>
  <c r="N212" i="5"/>
  <c r="O212" i="5"/>
  <c r="P212" i="5"/>
  <c r="AK212" i="5"/>
  <c r="AL212" i="5"/>
  <c r="N213" i="5"/>
  <c r="O213" i="5"/>
  <c r="P213" i="5"/>
  <c r="AK213" i="5"/>
  <c r="AL213" i="5"/>
  <c r="N214" i="5"/>
  <c r="O214" i="5"/>
  <c r="P214" i="5"/>
  <c r="AK214" i="5"/>
  <c r="AL214" i="5"/>
  <c r="N215" i="5"/>
  <c r="O215" i="5"/>
  <c r="P215" i="5"/>
  <c r="AK215" i="5"/>
  <c r="AL215" i="5"/>
  <c r="N216" i="5"/>
  <c r="O216" i="5"/>
  <c r="P216" i="5"/>
  <c r="AK216" i="5"/>
  <c r="AL216" i="5"/>
  <c r="N217" i="5"/>
  <c r="O217" i="5"/>
  <c r="P217" i="5"/>
  <c r="AK217" i="5"/>
  <c r="AL217" i="5"/>
  <c r="N218" i="5"/>
  <c r="O218" i="5"/>
  <c r="P218" i="5"/>
  <c r="AK218" i="5"/>
  <c r="AL218" i="5"/>
  <c r="N219" i="5"/>
  <c r="O219" i="5"/>
  <c r="P219" i="5"/>
  <c r="AK219" i="5"/>
  <c r="AL219" i="5"/>
  <c r="N220" i="5"/>
  <c r="O220" i="5"/>
  <c r="P220" i="5"/>
  <c r="AK220" i="5"/>
  <c r="AL220" i="5"/>
  <c r="N221" i="5"/>
  <c r="O221" i="5"/>
  <c r="P221" i="5"/>
  <c r="AK221" i="5"/>
  <c r="AL221" i="5"/>
  <c r="N222" i="5"/>
  <c r="O222" i="5"/>
  <c r="P222" i="5"/>
  <c r="AK222" i="5"/>
  <c r="AL222" i="5"/>
  <c r="N223" i="5"/>
  <c r="O223" i="5"/>
  <c r="P223" i="5"/>
  <c r="AK223" i="5"/>
  <c r="AL223" i="5"/>
  <c r="N224" i="5"/>
  <c r="O224" i="5"/>
  <c r="P224" i="5"/>
  <c r="AK224" i="5"/>
  <c r="AL224" i="5"/>
  <c r="N225" i="5"/>
  <c r="O225" i="5"/>
  <c r="P225" i="5"/>
  <c r="AK225" i="5"/>
  <c r="AL225" i="5"/>
  <c r="N226" i="5"/>
  <c r="O226" i="5"/>
  <c r="P226" i="5"/>
  <c r="AK226" i="5"/>
  <c r="AL226" i="5"/>
  <c r="N227" i="5"/>
  <c r="O227" i="5"/>
  <c r="P227" i="5"/>
  <c r="AK227" i="5"/>
  <c r="AL227" i="5"/>
  <c r="N228" i="5"/>
  <c r="O228" i="5"/>
  <c r="P228" i="5"/>
  <c r="AK228" i="5"/>
  <c r="AL228" i="5"/>
  <c r="N229" i="5"/>
  <c r="O229" i="5"/>
  <c r="P229" i="5"/>
  <c r="AK229" i="5"/>
  <c r="AL229" i="5"/>
  <c r="N230" i="5"/>
  <c r="O230" i="5"/>
  <c r="P230" i="5"/>
  <c r="AK230" i="5"/>
  <c r="AL230" i="5"/>
  <c r="N231" i="5"/>
  <c r="O231" i="5"/>
  <c r="P231" i="5"/>
  <c r="AK231" i="5"/>
  <c r="AL231" i="5"/>
  <c r="N232" i="5"/>
  <c r="O232" i="5"/>
  <c r="P232" i="5"/>
  <c r="AK232" i="5"/>
  <c r="AL232" i="5"/>
  <c r="N233" i="5"/>
  <c r="O233" i="5"/>
  <c r="P233" i="5"/>
  <c r="AK233" i="5"/>
  <c r="AL233" i="5"/>
  <c r="N234" i="5"/>
  <c r="O234" i="5"/>
  <c r="P234" i="5"/>
  <c r="AK234" i="5"/>
  <c r="AL234" i="5"/>
  <c r="N235" i="5"/>
  <c r="O235" i="5"/>
  <c r="P235" i="5"/>
  <c r="AK235" i="5"/>
  <c r="AL235" i="5"/>
  <c r="N236" i="5"/>
  <c r="O236" i="5"/>
  <c r="P236" i="5"/>
  <c r="AK236" i="5"/>
  <c r="AL236" i="5"/>
  <c r="N237" i="5"/>
  <c r="O237" i="5"/>
  <c r="P237" i="5"/>
  <c r="AK237" i="5"/>
  <c r="AL237" i="5"/>
  <c r="N238" i="5"/>
  <c r="O238" i="5"/>
  <c r="P238" i="5"/>
  <c r="AK238" i="5"/>
  <c r="AL238" i="5"/>
  <c r="N239" i="5"/>
  <c r="O239" i="5"/>
  <c r="P239" i="5"/>
  <c r="AK239" i="5"/>
  <c r="AL239" i="5"/>
  <c r="N240" i="5"/>
  <c r="O240" i="5"/>
  <c r="P240" i="5"/>
  <c r="AK240" i="5"/>
  <c r="AL240" i="5"/>
  <c r="N241" i="5"/>
  <c r="O241" i="5"/>
  <c r="P241" i="5"/>
  <c r="AK241" i="5"/>
  <c r="AL241" i="5"/>
  <c r="N242" i="5"/>
  <c r="O242" i="5"/>
  <c r="P242" i="5"/>
  <c r="AK242" i="5"/>
  <c r="AL242" i="5"/>
  <c r="N243" i="5"/>
  <c r="O243" i="5"/>
  <c r="P243" i="5"/>
  <c r="AK243" i="5"/>
  <c r="AL243" i="5"/>
  <c r="N244" i="5"/>
  <c r="O244" i="5"/>
  <c r="P244" i="5"/>
  <c r="AK244" i="5"/>
  <c r="AL244" i="5"/>
  <c r="N245" i="5"/>
  <c r="O245" i="5"/>
  <c r="P245" i="5"/>
  <c r="AK245" i="5"/>
  <c r="AL245" i="5"/>
  <c r="N246" i="5"/>
  <c r="O246" i="5"/>
  <c r="P246" i="5"/>
  <c r="AK246" i="5"/>
  <c r="AL246" i="5"/>
  <c r="N247" i="5"/>
  <c r="O247" i="5"/>
  <c r="P247" i="5"/>
  <c r="AK247" i="5"/>
  <c r="AL247" i="5"/>
  <c r="N248" i="5"/>
  <c r="O248" i="5"/>
  <c r="P248" i="5"/>
  <c r="AK248" i="5"/>
  <c r="AL248" i="5"/>
  <c r="N249" i="5"/>
  <c r="O249" i="5"/>
  <c r="P249" i="5"/>
  <c r="AK249" i="5"/>
  <c r="AL249" i="5"/>
  <c r="N250" i="5"/>
  <c r="O250" i="5"/>
  <c r="P250" i="5"/>
  <c r="AK250" i="5"/>
  <c r="AL250" i="5"/>
  <c r="N251" i="5"/>
  <c r="O251" i="5"/>
  <c r="P251" i="5"/>
  <c r="AK251" i="5"/>
  <c r="AL251" i="5"/>
  <c r="N252" i="5"/>
  <c r="O252" i="5"/>
  <c r="P252" i="5"/>
  <c r="AK252" i="5"/>
  <c r="AL252" i="5"/>
  <c r="N253" i="5"/>
  <c r="O253" i="5"/>
  <c r="P253" i="5"/>
  <c r="AK253" i="5"/>
  <c r="AL253" i="5"/>
  <c r="N254" i="5"/>
  <c r="O254" i="5"/>
  <c r="P254" i="5"/>
  <c r="AK254" i="5"/>
  <c r="AL254" i="5"/>
  <c r="N255" i="5"/>
  <c r="O255" i="5"/>
  <c r="P255" i="5"/>
  <c r="AK255" i="5"/>
  <c r="AL255" i="5"/>
  <c r="N256" i="5"/>
  <c r="O256" i="5"/>
  <c r="P256" i="5"/>
  <c r="AK256" i="5"/>
  <c r="AL256" i="5"/>
  <c r="N257" i="5"/>
  <c r="O257" i="5"/>
  <c r="P257" i="5"/>
  <c r="AK257" i="5"/>
  <c r="AL257" i="5"/>
  <c r="N258" i="5"/>
  <c r="O258" i="5"/>
  <c r="P258" i="5"/>
  <c r="AK258" i="5"/>
  <c r="AL258" i="5"/>
  <c r="N259" i="5"/>
  <c r="O259" i="5"/>
  <c r="P259" i="5"/>
  <c r="AK259" i="5"/>
  <c r="AL259" i="5"/>
  <c r="N260" i="5"/>
  <c r="O260" i="5"/>
  <c r="P260" i="5"/>
  <c r="AK260" i="5"/>
  <c r="AL260" i="5"/>
  <c r="N261" i="5"/>
  <c r="O261" i="5"/>
  <c r="P261" i="5"/>
  <c r="AK261" i="5"/>
  <c r="AL261" i="5"/>
  <c r="N262" i="5"/>
  <c r="O262" i="5"/>
  <c r="P262" i="5"/>
  <c r="AK262" i="5"/>
  <c r="AL262" i="5"/>
  <c r="N263" i="5"/>
  <c r="O263" i="5"/>
  <c r="P263" i="5"/>
  <c r="AK263" i="5"/>
  <c r="AL263" i="5"/>
  <c r="N264" i="5"/>
  <c r="O264" i="5"/>
  <c r="P264" i="5"/>
  <c r="AK264" i="5"/>
  <c r="AL264" i="5"/>
  <c r="N265" i="5"/>
  <c r="O265" i="5"/>
  <c r="P265" i="5"/>
  <c r="AK265" i="5"/>
  <c r="AL265" i="5"/>
  <c r="N266" i="5"/>
  <c r="O266" i="5"/>
  <c r="P266" i="5"/>
  <c r="AK266" i="5"/>
  <c r="AL266" i="5"/>
  <c r="N267" i="5"/>
  <c r="O267" i="5"/>
  <c r="P267" i="5"/>
  <c r="AK267" i="5"/>
  <c r="AL267" i="5"/>
  <c r="N268" i="5"/>
  <c r="O268" i="5"/>
  <c r="P268" i="5"/>
  <c r="AK268" i="5"/>
  <c r="AL268" i="5"/>
  <c r="N269" i="5"/>
  <c r="O269" i="5"/>
  <c r="P269" i="5"/>
  <c r="AK269" i="5"/>
  <c r="AL269" i="5"/>
  <c r="N270" i="5"/>
  <c r="O270" i="5"/>
  <c r="P270" i="5"/>
  <c r="AK270" i="5"/>
  <c r="AL270" i="5"/>
  <c r="N271" i="5"/>
  <c r="O271" i="5"/>
  <c r="P271" i="5"/>
  <c r="AK271" i="5"/>
  <c r="AL271" i="5"/>
  <c r="N272" i="5"/>
  <c r="O272" i="5"/>
  <c r="P272" i="5"/>
  <c r="AK272" i="5"/>
  <c r="AL272" i="5"/>
  <c r="N273" i="5"/>
  <c r="O273" i="5"/>
  <c r="P273" i="5"/>
  <c r="AK273" i="5"/>
  <c r="AL273" i="5"/>
  <c r="N274" i="5"/>
  <c r="O274" i="5"/>
  <c r="P274" i="5"/>
  <c r="AK274" i="5"/>
  <c r="AL274" i="5"/>
  <c r="N275" i="5"/>
  <c r="O275" i="5"/>
  <c r="P275" i="5"/>
  <c r="AK275" i="5"/>
  <c r="AL275" i="5"/>
  <c r="N276" i="5"/>
  <c r="O276" i="5"/>
  <c r="P276" i="5"/>
  <c r="AK276" i="5"/>
  <c r="AL276" i="5"/>
  <c r="N277" i="5"/>
  <c r="O277" i="5"/>
  <c r="P277" i="5"/>
  <c r="AK277" i="5"/>
  <c r="AL277" i="5"/>
  <c r="N278" i="5"/>
  <c r="O278" i="5"/>
  <c r="P278" i="5"/>
  <c r="AK278" i="5"/>
  <c r="AL278" i="5"/>
  <c r="N279" i="5"/>
  <c r="O279" i="5"/>
  <c r="P279" i="5"/>
  <c r="AK279" i="5"/>
  <c r="AL279" i="5"/>
  <c r="N280" i="5"/>
  <c r="O280" i="5"/>
  <c r="P280" i="5"/>
  <c r="AK280" i="5"/>
  <c r="AL280" i="5"/>
  <c r="N281" i="5"/>
  <c r="O281" i="5"/>
  <c r="P281" i="5"/>
  <c r="AK281" i="5"/>
  <c r="AL281" i="5"/>
  <c r="N282" i="5"/>
  <c r="O282" i="5"/>
  <c r="P282" i="5"/>
  <c r="AK282" i="5"/>
  <c r="AL282" i="5"/>
  <c r="N283" i="5"/>
  <c r="O283" i="5"/>
  <c r="P283" i="5"/>
  <c r="AK283" i="5"/>
  <c r="AL283" i="5"/>
  <c r="N284" i="5"/>
  <c r="O284" i="5"/>
  <c r="P284" i="5"/>
  <c r="AK284" i="5"/>
  <c r="AL284" i="5"/>
  <c r="N285" i="5"/>
  <c r="O285" i="5"/>
  <c r="P285" i="5"/>
  <c r="AK285" i="5"/>
  <c r="AL285" i="5"/>
  <c r="N286" i="5"/>
  <c r="O286" i="5"/>
  <c r="P286" i="5"/>
  <c r="AK286" i="5"/>
  <c r="AL286" i="5"/>
  <c r="N287" i="5"/>
  <c r="O287" i="5"/>
  <c r="P287" i="5"/>
  <c r="AK287" i="5"/>
  <c r="AL287" i="5"/>
  <c r="N288" i="5"/>
  <c r="O288" i="5"/>
  <c r="P288" i="5"/>
  <c r="AK288" i="5"/>
  <c r="AL288" i="5"/>
  <c r="N289" i="5"/>
  <c r="O289" i="5"/>
  <c r="P289" i="5"/>
  <c r="AK289" i="5"/>
  <c r="AL289" i="5"/>
  <c r="Y3" i="5"/>
  <c r="AL3" i="5"/>
  <c r="AK3" i="5"/>
  <c r="P3" i="5"/>
  <c r="O3" i="5"/>
  <c r="N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3" i="5"/>
  <c r="AM232" i="5" l="1"/>
  <c r="AM224" i="5"/>
  <c r="AM216" i="5"/>
  <c r="AM208" i="5"/>
  <c r="AM200" i="5"/>
  <c r="AM192" i="5"/>
  <c r="AM184" i="5"/>
  <c r="AM176" i="5"/>
  <c r="AM168" i="5"/>
  <c r="AM160" i="5"/>
  <c r="AM152" i="5"/>
  <c r="AM144" i="5"/>
  <c r="AM136" i="5"/>
  <c r="AM128" i="5"/>
  <c r="AM120" i="5"/>
  <c r="AM112" i="5"/>
  <c r="AM104" i="5"/>
  <c r="AM96" i="5"/>
  <c r="AM88" i="5"/>
  <c r="AM80" i="5"/>
  <c r="AM72" i="5"/>
  <c r="AM64" i="5"/>
  <c r="AM56" i="5"/>
  <c r="AM48" i="5"/>
  <c r="AM40" i="5"/>
  <c r="AM32" i="5"/>
  <c r="AM24" i="5"/>
  <c r="AM16" i="5"/>
  <c r="AM37" i="5"/>
  <c r="AM53" i="5"/>
  <c r="AM45" i="5"/>
  <c r="AM5" i="5"/>
  <c r="AM137" i="5"/>
  <c r="AM129" i="5"/>
  <c r="AM121" i="5"/>
  <c r="AM113" i="5"/>
  <c r="AM218" i="5"/>
  <c r="AM210" i="5"/>
  <c r="AM202" i="5"/>
  <c r="AM194" i="5"/>
  <c r="AM186" i="5"/>
  <c r="AM178" i="5"/>
  <c r="AM170" i="5"/>
  <c r="AM162" i="5"/>
  <c r="AM154" i="5"/>
  <c r="AM146" i="5"/>
  <c r="AM138" i="5"/>
  <c r="AM130" i="5"/>
  <c r="AM122" i="5"/>
  <c r="AM114" i="5"/>
  <c r="AM256" i="5"/>
  <c r="AM240" i="5"/>
  <c r="AM248" i="5"/>
  <c r="AM106" i="5"/>
  <c r="AM20" i="5"/>
  <c r="AM98" i="5"/>
  <c r="AM289" i="5"/>
  <c r="AM281" i="5"/>
  <c r="AM273" i="5"/>
  <c r="AM265" i="5"/>
  <c r="AM257" i="5"/>
  <c r="AM249" i="5"/>
  <c r="AM241" i="5"/>
  <c r="AM233" i="5"/>
  <c r="AM225" i="5"/>
  <c r="AM217" i="5"/>
  <c r="AM209" i="5"/>
  <c r="AM201" i="5"/>
  <c r="AM193" i="5"/>
  <c r="AM185" i="5"/>
  <c r="AM177" i="5"/>
  <c r="AM169" i="5"/>
  <c r="AM161" i="5"/>
  <c r="AM153" i="5"/>
  <c r="AM145" i="5"/>
  <c r="AM105" i="5"/>
  <c r="AM77" i="5"/>
  <c r="AM61" i="5"/>
  <c r="AM97" i="5"/>
  <c r="AM12" i="5"/>
  <c r="AM90" i="5"/>
  <c r="AM8" i="5"/>
  <c r="AM82" i="5"/>
  <c r="AM4" i="5"/>
  <c r="AM167" i="5"/>
  <c r="AM159" i="5"/>
  <c r="AM151" i="5"/>
  <c r="AM143" i="5"/>
  <c r="AM135" i="5"/>
  <c r="AM127" i="5"/>
  <c r="AM119" i="5"/>
  <c r="AM111" i="5"/>
  <c r="AM103" i="5"/>
  <c r="AM79" i="5"/>
  <c r="AM71" i="5"/>
  <c r="AM55" i="5"/>
  <c r="AM47" i="5"/>
  <c r="AM39" i="5"/>
  <c r="AM31" i="5"/>
  <c r="AM23" i="5"/>
  <c r="AM15" i="5"/>
  <c r="AM66" i="5"/>
  <c r="AM3" i="5"/>
  <c r="AM285" i="5"/>
  <c r="AM277" i="5"/>
  <c r="AM269" i="5"/>
  <c r="AM261" i="5"/>
  <c r="AM253" i="5"/>
  <c r="AM245" i="5"/>
  <c r="AM237" i="5"/>
  <c r="AM229" i="5"/>
  <c r="AM221" i="5"/>
  <c r="AM213" i="5"/>
  <c r="AM205" i="5"/>
  <c r="AM197" i="5"/>
  <c r="AM189" i="5"/>
  <c r="AM181" i="5"/>
  <c r="AM173" i="5"/>
  <c r="AM165" i="5"/>
  <c r="AM157" i="5"/>
  <c r="AM149" i="5"/>
  <c r="AM141" i="5"/>
  <c r="AM133" i="5"/>
  <c r="AM125" i="5"/>
  <c r="AM117" i="5"/>
  <c r="AM109" i="5"/>
  <c r="AM101" i="5"/>
  <c r="AM93" i="5"/>
  <c r="AM85" i="5"/>
  <c r="AM69" i="5"/>
  <c r="AM280" i="5"/>
  <c r="AM264" i="5"/>
  <c r="AM288" i="5"/>
  <c r="AM283" i="5"/>
  <c r="AM275" i="5"/>
  <c r="AM267" i="5"/>
  <c r="AM259" i="5"/>
  <c r="AM251" i="5"/>
  <c r="AM243" i="5"/>
  <c r="AM235" i="5"/>
  <c r="AM227" i="5"/>
  <c r="AM219" i="5"/>
  <c r="AM211" i="5"/>
  <c r="AM203" i="5"/>
  <c r="AM195" i="5"/>
  <c r="AM187" i="5"/>
  <c r="AM179" i="5"/>
  <c r="AM171" i="5"/>
  <c r="AM163" i="5"/>
  <c r="AM155" i="5"/>
  <c r="AM147" i="5"/>
  <c r="AM139" i="5"/>
  <c r="AM131" i="5"/>
  <c r="AM123" i="5"/>
  <c r="AM115" i="5"/>
  <c r="AM107" i="5"/>
  <c r="AM99" i="5"/>
  <c r="AM91" i="5"/>
  <c r="AM83" i="5"/>
  <c r="AM75" i="5"/>
  <c r="AM67" i="5"/>
  <c r="AM59" i="5"/>
  <c r="AM51" i="5"/>
  <c r="AM43" i="5"/>
  <c r="AM35" i="5"/>
  <c r="AM27" i="5"/>
  <c r="AM19" i="5"/>
  <c r="AM11" i="5"/>
  <c r="AM272" i="5"/>
  <c r="AM286" i="5"/>
  <c r="AM278" i="5"/>
  <c r="AM270" i="5"/>
  <c r="AM262" i="5"/>
  <c r="AM254" i="5"/>
  <c r="AM246" i="5"/>
  <c r="AM238" i="5"/>
  <c r="AM230" i="5"/>
  <c r="AM222" i="5"/>
  <c r="AM214" i="5"/>
  <c r="AM206" i="5"/>
  <c r="AM198" i="5"/>
  <c r="AM190" i="5"/>
  <c r="AM182" i="5"/>
  <c r="AM174" i="5"/>
  <c r="AM166" i="5"/>
  <c r="AM158" i="5"/>
  <c r="AM150" i="5"/>
  <c r="AM142" i="5"/>
  <c r="AM134" i="5"/>
  <c r="AM126" i="5"/>
  <c r="AM118" i="5"/>
  <c r="AM110" i="5"/>
  <c r="AM102" i="5"/>
  <c r="AM94" i="5"/>
  <c r="AM86" i="5"/>
  <c r="AM78" i="5"/>
  <c r="AM70" i="5"/>
  <c r="AM62" i="5"/>
  <c r="AM54" i="5"/>
  <c r="AM46" i="5"/>
  <c r="AM38" i="5"/>
  <c r="AM30" i="5"/>
  <c r="AM22" i="5"/>
  <c r="AM14" i="5"/>
  <c r="AM6" i="5"/>
  <c r="AM89" i="5"/>
  <c r="AM81" i="5"/>
  <c r="AM73" i="5"/>
  <c r="AM65" i="5"/>
  <c r="AM57" i="5"/>
  <c r="AM49" i="5"/>
  <c r="AM41" i="5"/>
  <c r="AM33" i="5"/>
  <c r="AM25" i="5"/>
  <c r="AM17" i="5"/>
  <c r="AM9" i="5"/>
  <c r="AM284" i="5"/>
  <c r="AM276" i="5"/>
  <c r="AM268" i="5"/>
  <c r="AM260" i="5"/>
  <c r="AM252" i="5"/>
  <c r="AM244" i="5"/>
  <c r="AM236" i="5"/>
  <c r="AM228" i="5"/>
  <c r="AM220" i="5"/>
  <c r="AM212" i="5"/>
  <c r="AM204" i="5"/>
  <c r="AM196" i="5"/>
  <c r="AM188" i="5"/>
  <c r="AM180" i="5"/>
  <c r="AM172" i="5"/>
  <c r="AM164" i="5"/>
  <c r="AM156" i="5"/>
  <c r="AM148" i="5"/>
  <c r="AM140" i="5"/>
  <c r="AM132" i="5"/>
  <c r="AM124" i="5"/>
  <c r="AM116" i="5"/>
  <c r="AM108" i="5"/>
  <c r="AM100" i="5"/>
  <c r="AM92" i="5"/>
  <c r="AM84" i="5"/>
  <c r="AM76" i="5"/>
  <c r="AM68" i="5"/>
  <c r="AM60" i="5"/>
  <c r="AM52" i="5"/>
  <c r="AM44" i="5"/>
  <c r="AM36" i="5"/>
  <c r="AM28" i="5"/>
  <c r="AM287" i="5"/>
  <c r="AM279" i="5"/>
  <c r="AM271" i="5"/>
  <c r="AM263" i="5"/>
  <c r="AM255" i="5"/>
  <c r="AM247" i="5"/>
  <c r="AM239" i="5"/>
  <c r="AM231" i="5"/>
  <c r="AM223" i="5"/>
  <c r="AM215" i="5"/>
  <c r="AM207" i="5"/>
  <c r="AM199" i="5"/>
  <c r="AM191" i="5"/>
  <c r="AM183" i="5"/>
  <c r="AM175" i="5"/>
  <c r="AM95" i="5"/>
  <c r="AM87" i="5"/>
  <c r="AM63" i="5"/>
  <c r="AM7" i="5"/>
  <c r="AM282" i="5"/>
  <c r="AM274" i="5"/>
  <c r="AM266" i="5"/>
  <c r="AM258" i="5"/>
  <c r="AM250" i="5"/>
  <c r="AM242" i="5"/>
  <c r="AM234" i="5"/>
  <c r="AM226" i="5"/>
  <c r="AM74" i="5"/>
  <c r="AM58" i="5"/>
  <c r="AM50" i="5"/>
  <c r="AM42" i="5"/>
  <c r="AM34" i="5"/>
  <c r="AM26" i="5"/>
  <c r="AM18" i="5"/>
  <c r="AM10" i="5"/>
  <c r="AM29" i="5"/>
  <c r="AM21" i="5"/>
  <c r="AM13" i="5"/>
  <c r="Z4" i="5"/>
  <c r="AG4" i="5" s="1"/>
  <c r="Z12" i="5"/>
  <c r="AG12" i="5" s="1"/>
  <c r="Z20" i="5"/>
  <c r="Z28" i="5"/>
  <c r="Z36" i="5"/>
  <c r="Z44" i="5"/>
  <c r="AG44" i="5" s="1"/>
  <c r="Z52" i="5"/>
  <c r="AG52" i="5" s="1"/>
  <c r="Z60" i="5"/>
  <c r="AG60" i="5" s="1"/>
  <c r="Z68" i="5"/>
  <c r="Z76" i="5"/>
  <c r="Z84" i="5"/>
  <c r="Z92" i="5"/>
  <c r="Z100" i="5"/>
  <c r="Z108" i="5"/>
  <c r="AG108" i="5" s="1"/>
  <c r="Z116" i="5"/>
  <c r="AG116" i="5" s="1"/>
  <c r="Z124" i="5"/>
  <c r="AG124" i="5" s="1"/>
  <c r="Z132" i="5"/>
  <c r="AG132" i="5" s="1"/>
  <c r="Z140" i="5"/>
  <c r="AG140" i="5" s="1"/>
  <c r="Z148" i="5"/>
  <c r="AG148" i="5" s="1"/>
  <c r="Z156" i="5"/>
  <c r="Z164" i="5"/>
  <c r="Z172" i="5"/>
  <c r="AG172" i="5" s="1"/>
  <c r="Z180" i="5"/>
  <c r="AG180" i="5" s="1"/>
  <c r="Z188" i="5"/>
  <c r="AG188" i="5" s="1"/>
  <c r="Z196" i="5"/>
  <c r="Z204" i="5"/>
  <c r="Z212" i="5"/>
  <c r="Z220" i="5"/>
  <c r="Z228" i="5"/>
  <c r="Z236" i="5"/>
  <c r="Z244" i="5"/>
  <c r="AG244" i="5" s="1"/>
  <c r="Z252" i="5"/>
  <c r="Z260" i="5"/>
  <c r="Z268" i="5"/>
  <c r="Z276" i="5"/>
  <c r="Z284" i="5"/>
  <c r="Z10" i="5"/>
  <c r="Z34" i="5"/>
  <c r="Z50" i="5"/>
  <c r="AG50" i="5" s="1"/>
  <c r="Z66" i="5"/>
  <c r="Z82" i="5"/>
  <c r="Z98" i="5"/>
  <c r="AG98" i="5" s="1"/>
  <c r="Z114" i="5"/>
  <c r="AG114" i="5" s="1"/>
  <c r="Z130" i="5"/>
  <c r="Z146" i="5"/>
  <c r="AG146" i="5" s="1"/>
  <c r="Z162" i="5"/>
  <c r="Z178" i="5"/>
  <c r="AG178" i="5" s="1"/>
  <c r="Z194" i="5"/>
  <c r="Z210" i="5"/>
  <c r="Z226" i="5"/>
  <c r="AG226" i="5" s="1"/>
  <c r="Z242" i="5"/>
  <c r="Z258" i="5"/>
  <c r="AG258" i="5" s="1"/>
  <c r="Z274" i="5"/>
  <c r="AG274" i="5" s="1"/>
  <c r="Z3" i="5"/>
  <c r="AG3" i="5" s="1"/>
  <c r="Z11" i="5"/>
  <c r="AG11" i="5" s="1"/>
  <c r="Z27" i="5"/>
  <c r="Z43" i="5"/>
  <c r="AG43" i="5" s="1"/>
  <c r="Z59" i="5"/>
  <c r="AG59" i="5" s="1"/>
  <c r="Z75" i="5"/>
  <c r="Z91" i="5"/>
  <c r="Z107" i="5"/>
  <c r="Z131" i="5"/>
  <c r="Z147" i="5"/>
  <c r="Z163" i="5"/>
  <c r="Z179" i="5"/>
  <c r="Z195" i="5"/>
  <c r="AG195" i="5" s="1"/>
  <c r="Z211" i="5"/>
  <c r="Z227" i="5"/>
  <c r="Z243" i="5"/>
  <c r="Z259" i="5"/>
  <c r="Z275" i="5"/>
  <c r="Z5" i="5"/>
  <c r="Z13" i="5"/>
  <c r="Z21" i="5"/>
  <c r="Z29" i="5"/>
  <c r="Z37" i="5"/>
  <c r="AG37" i="5" s="1"/>
  <c r="Z45" i="5"/>
  <c r="Z53" i="5"/>
  <c r="Z61" i="5"/>
  <c r="Z69" i="5"/>
  <c r="AG69" i="5" s="1"/>
  <c r="Z77" i="5"/>
  <c r="AG77" i="5" s="1"/>
  <c r="Z85" i="5"/>
  <c r="AG85" i="5" s="1"/>
  <c r="Z93" i="5"/>
  <c r="Z101" i="5"/>
  <c r="Z109" i="5"/>
  <c r="AG109" i="5" s="1"/>
  <c r="Z117" i="5"/>
  <c r="AG117" i="5" s="1"/>
  <c r="Z125" i="5"/>
  <c r="Z133" i="5"/>
  <c r="Z141" i="5"/>
  <c r="AG141" i="5" s="1"/>
  <c r="Z149" i="5"/>
  <c r="AG149" i="5" s="1"/>
  <c r="Z157" i="5"/>
  <c r="Z165" i="5"/>
  <c r="Z173" i="5"/>
  <c r="Z181" i="5"/>
  <c r="Z189" i="5"/>
  <c r="Z197" i="5"/>
  <c r="AG197" i="5" s="1"/>
  <c r="Z205" i="5"/>
  <c r="Z213" i="5"/>
  <c r="AG213" i="5" s="1"/>
  <c r="Z221" i="5"/>
  <c r="AG221" i="5" s="1"/>
  <c r="Z229" i="5"/>
  <c r="Z237" i="5"/>
  <c r="Z245" i="5"/>
  <c r="Z253" i="5"/>
  <c r="AG253" i="5" s="1"/>
  <c r="Z261" i="5"/>
  <c r="Z269" i="5"/>
  <c r="Z277" i="5"/>
  <c r="AG277" i="5" s="1"/>
  <c r="Z285" i="5"/>
  <c r="Z18" i="5"/>
  <c r="Z26" i="5"/>
  <c r="Z42" i="5"/>
  <c r="Z58" i="5"/>
  <c r="Z74" i="5"/>
  <c r="Z90" i="5"/>
  <c r="AG90" i="5" s="1"/>
  <c r="Z106" i="5"/>
  <c r="AG106" i="5" s="1"/>
  <c r="Z122" i="5"/>
  <c r="AG122" i="5" s="1"/>
  <c r="Z138" i="5"/>
  <c r="AG138" i="5" s="1"/>
  <c r="Z154" i="5"/>
  <c r="Z170" i="5"/>
  <c r="AG170" i="5" s="1"/>
  <c r="Z186" i="5"/>
  <c r="Z202" i="5"/>
  <c r="Z218" i="5"/>
  <c r="Z234" i="5"/>
  <c r="AG234" i="5" s="1"/>
  <c r="Z250" i="5"/>
  <c r="Z266" i="5"/>
  <c r="Z282" i="5"/>
  <c r="AG282" i="5" s="1"/>
  <c r="Z19" i="5"/>
  <c r="Z35" i="5"/>
  <c r="Z51" i="5"/>
  <c r="Z67" i="5"/>
  <c r="AG67" i="5" s="1"/>
  <c r="Z83" i="5"/>
  <c r="Z99" i="5"/>
  <c r="Z115" i="5"/>
  <c r="Z123" i="5"/>
  <c r="Z139" i="5"/>
  <c r="Z155" i="5"/>
  <c r="Z171" i="5"/>
  <c r="AG171" i="5" s="1"/>
  <c r="Z187" i="5"/>
  <c r="Z203" i="5"/>
  <c r="AG203" i="5" s="1"/>
  <c r="Z219" i="5"/>
  <c r="AG219" i="5" s="1"/>
  <c r="Z235" i="5"/>
  <c r="Z251" i="5"/>
  <c r="AG251" i="5" s="1"/>
  <c r="Z267" i="5"/>
  <c r="Z283" i="5"/>
  <c r="AG283" i="5" s="1"/>
  <c r="Z6" i="5"/>
  <c r="AG6" i="5" s="1"/>
  <c r="Z14" i="5"/>
  <c r="AG14" i="5" s="1"/>
  <c r="Z22" i="5"/>
  <c r="Z30" i="5"/>
  <c r="Z38" i="5"/>
  <c r="Z46" i="5"/>
  <c r="Z54" i="5"/>
  <c r="AG54" i="5" s="1"/>
  <c r="Z62" i="5"/>
  <c r="AG62" i="5" s="1"/>
  <c r="Z70" i="5"/>
  <c r="Z78" i="5"/>
  <c r="Z86" i="5"/>
  <c r="Z94" i="5"/>
  <c r="Z102" i="5"/>
  <c r="Z110" i="5"/>
  <c r="Z118" i="5"/>
  <c r="Z126" i="5"/>
  <c r="Z134" i="5"/>
  <c r="Z142" i="5"/>
  <c r="Z150" i="5"/>
  <c r="Z158" i="5"/>
  <c r="AG158" i="5" s="1"/>
  <c r="Z166" i="5"/>
  <c r="AG166" i="5" s="1"/>
  <c r="Z174" i="5"/>
  <c r="AG174" i="5" s="1"/>
  <c r="Z182" i="5"/>
  <c r="Z190" i="5"/>
  <c r="AG190" i="5" s="1"/>
  <c r="Z198" i="5"/>
  <c r="Z206" i="5"/>
  <c r="Z214" i="5"/>
  <c r="Z222" i="5"/>
  <c r="Z230" i="5"/>
  <c r="AG230" i="5" s="1"/>
  <c r="Z238" i="5"/>
  <c r="Z246" i="5"/>
  <c r="Z254" i="5"/>
  <c r="AG254" i="5" s="1"/>
  <c r="Z262" i="5"/>
  <c r="Z270" i="5"/>
  <c r="AG270" i="5" s="1"/>
  <c r="Z278" i="5"/>
  <c r="Z286" i="5"/>
  <c r="Z7" i="5"/>
  <c r="Z15" i="5"/>
  <c r="Z23" i="5"/>
  <c r="Z31" i="5"/>
  <c r="Z39" i="5"/>
  <c r="Z47" i="5"/>
  <c r="Z55" i="5"/>
  <c r="Z63" i="5"/>
  <c r="AG63" i="5" s="1"/>
  <c r="Z71" i="5"/>
  <c r="Z79" i="5"/>
  <c r="AG79" i="5" s="1"/>
  <c r="Z87" i="5"/>
  <c r="Z95" i="5"/>
  <c r="Z103" i="5"/>
  <c r="AG103" i="5" s="1"/>
  <c r="Z111" i="5"/>
  <c r="Z119" i="5"/>
  <c r="Z127" i="5"/>
  <c r="AG127" i="5" s="1"/>
  <c r="Z135" i="5"/>
  <c r="AG135" i="5" s="1"/>
  <c r="Z143" i="5"/>
  <c r="Z151" i="5"/>
  <c r="Z159" i="5"/>
  <c r="Z167" i="5"/>
  <c r="AG167" i="5" s="1"/>
  <c r="Z175" i="5"/>
  <c r="Z183" i="5"/>
  <c r="AG183" i="5" s="1"/>
  <c r="Z191" i="5"/>
  <c r="AG191" i="5" s="1"/>
  <c r="Z199" i="5"/>
  <c r="AG199" i="5" s="1"/>
  <c r="Z207" i="5"/>
  <c r="AG207" i="5" s="1"/>
  <c r="Z215" i="5"/>
  <c r="AG215" i="5" s="1"/>
  <c r="Z223" i="5"/>
  <c r="Z231" i="5"/>
  <c r="AG231" i="5" s="1"/>
  <c r="Z239" i="5"/>
  <c r="Z247" i="5"/>
  <c r="Z255" i="5"/>
  <c r="AG255" i="5" s="1"/>
  <c r="Z263" i="5"/>
  <c r="Z271" i="5"/>
  <c r="Z279" i="5"/>
  <c r="Z287" i="5"/>
  <c r="AG287" i="5" s="1"/>
  <c r="Z8" i="5"/>
  <c r="Z16" i="5"/>
  <c r="Z24" i="5"/>
  <c r="Z32" i="5"/>
  <c r="AG32" i="5" s="1"/>
  <c r="Z40" i="5"/>
  <c r="Z48" i="5"/>
  <c r="Z56" i="5"/>
  <c r="Z64" i="5"/>
  <c r="Z72" i="5"/>
  <c r="AG72" i="5" s="1"/>
  <c r="Z80" i="5"/>
  <c r="Z88" i="5"/>
  <c r="Z96" i="5"/>
  <c r="Z104" i="5"/>
  <c r="AG104" i="5" s="1"/>
  <c r="Z112" i="5"/>
  <c r="Z120" i="5"/>
  <c r="Z128" i="5"/>
  <c r="AG128" i="5" s="1"/>
  <c r="Z136" i="5"/>
  <c r="Z144" i="5"/>
  <c r="Z152" i="5"/>
  <c r="Z160" i="5"/>
  <c r="AG160" i="5" s="1"/>
  <c r="Z168" i="5"/>
  <c r="AG168" i="5" s="1"/>
  <c r="Z176" i="5"/>
  <c r="AG176" i="5" s="1"/>
  <c r="Z184" i="5"/>
  <c r="Z192" i="5"/>
  <c r="Z200" i="5"/>
  <c r="AG200" i="5" s="1"/>
  <c r="Z208" i="5"/>
  <c r="Z216" i="5"/>
  <c r="Z224" i="5"/>
  <c r="Z232" i="5"/>
  <c r="Z240" i="5"/>
  <c r="Z248" i="5"/>
  <c r="Z256" i="5"/>
  <c r="Z264" i="5"/>
  <c r="AG264" i="5" s="1"/>
  <c r="Z272" i="5"/>
  <c r="Z280" i="5"/>
  <c r="Z288" i="5"/>
  <c r="AG288" i="5" s="1"/>
  <c r="Z9" i="5"/>
  <c r="AG9" i="5" s="1"/>
  <c r="Z17" i="5"/>
  <c r="AG17" i="5" s="1"/>
  <c r="Z25" i="5"/>
  <c r="Z33" i="5"/>
  <c r="Z41" i="5"/>
  <c r="Z49" i="5"/>
  <c r="Z57" i="5"/>
  <c r="Z65" i="5"/>
  <c r="Z73" i="5"/>
  <c r="AG73" i="5" s="1"/>
  <c r="Z81" i="5"/>
  <c r="Z89" i="5"/>
  <c r="Z97" i="5"/>
  <c r="AG97" i="5" s="1"/>
  <c r="Z105" i="5"/>
  <c r="AG105" i="5" s="1"/>
  <c r="Z113" i="5"/>
  <c r="Z121" i="5"/>
  <c r="Z129" i="5"/>
  <c r="Z137" i="5"/>
  <c r="AG137" i="5" s="1"/>
  <c r="Z145" i="5"/>
  <c r="Z153" i="5"/>
  <c r="AG153" i="5" s="1"/>
  <c r="Z161" i="5"/>
  <c r="Z169" i="5"/>
  <c r="Z177" i="5"/>
  <c r="Z185" i="5"/>
  <c r="Z193" i="5"/>
  <c r="Z201" i="5"/>
  <c r="Z209" i="5"/>
  <c r="Z217" i="5"/>
  <c r="Z225" i="5"/>
  <c r="Z233" i="5"/>
  <c r="AG233" i="5" s="1"/>
  <c r="Z241" i="5"/>
  <c r="Z249" i="5"/>
  <c r="Z257" i="5"/>
  <c r="Z265" i="5"/>
  <c r="Z273" i="5"/>
  <c r="Z281" i="5"/>
  <c r="Z289" i="5"/>
  <c r="N235" i="2"/>
  <c r="A235" i="2"/>
  <c r="N234" i="2"/>
  <c r="A234" i="2"/>
  <c r="N233" i="2"/>
  <c r="A233" i="2"/>
  <c r="N232" i="2"/>
  <c r="A232" i="2"/>
  <c r="N231" i="2"/>
  <c r="A231" i="2"/>
  <c r="N230" i="2"/>
  <c r="A230" i="2"/>
  <c r="N229" i="2"/>
  <c r="A229" i="2"/>
  <c r="N228" i="2"/>
  <c r="A228" i="2"/>
  <c r="N227" i="2"/>
  <c r="A227" i="2"/>
  <c r="N226" i="2"/>
  <c r="A226" i="2"/>
  <c r="N225" i="2"/>
  <c r="A225" i="2"/>
  <c r="N224" i="2"/>
  <c r="A224" i="2"/>
  <c r="N223" i="2"/>
  <c r="A223" i="2"/>
  <c r="N222" i="2"/>
  <c r="A222" i="2"/>
  <c r="N221" i="2"/>
  <c r="A221" i="2"/>
  <c r="N220" i="2"/>
  <c r="A220" i="2"/>
  <c r="N219" i="2"/>
  <c r="A219" i="2"/>
  <c r="N218" i="2"/>
  <c r="A218" i="2"/>
  <c r="N217" i="2"/>
  <c r="A217" i="2"/>
  <c r="N216" i="2"/>
  <c r="A216" i="2"/>
  <c r="N215" i="2"/>
  <c r="A215" i="2"/>
  <c r="N214" i="2"/>
  <c r="A214" i="2"/>
  <c r="N213" i="2"/>
  <c r="A213" i="2"/>
  <c r="N212" i="2"/>
  <c r="A212" i="2"/>
  <c r="N211" i="2"/>
  <c r="A211" i="2"/>
  <c r="N210" i="2"/>
  <c r="A210" i="2"/>
  <c r="N209" i="2"/>
  <c r="A209" i="2"/>
  <c r="N208" i="2"/>
  <c r="A208" i="2"/>
  <c r="N207" i="2"/>
  <c r="A207" i="2"/>
  <c r="N206" i="2"/>
  <c r="A206" i="2"/>
  <c r="N205" i="2"/>
  <c r="A205" i="2"/>
  <c r="N204" i="2"/>
  <c r="A204" i="2"/>
  <c r="N203" i="2"/>
  <c r="A203" i="2"/>
  <c r="N202" i="2"/>
  <c r="A202" i="2"/>
  <c r="N201" i="2"/>
  <c r="A201" i="2"/>
  <c r="N200" i="2"/>
  <c r="A200" i="2"/>
  <c r="N199" i="2"/>
  <c r="A199" i="2"/>
  <c r="N198" i="2"/>
  <c r="A198" i="2"/>
  <c r="N197" i="2"/>
  <c r="A197" i="2"/>
  <c r="N196" i="2"/>
  <c r="A196" i="2"/>
  <c r="N195" i="2"/>
  <c r="A195" i="2"/>
  <c r="N194" i="2"/>
  <c r="A194" i="2"/>
  <c r="N193" i="2"/>
  <c r="A193" i="2"/>
  <c r="N192" i="2"/>
  <c r="A192" i="2"/>
  <c r="N191" i="2"/>
  <c r="A191" i="2"/>
  <c r="N190" i="2"/>
  <c r="A190" i="2"/>
  <c r="N189" i="2"/>
  <c r="A189" i="2"/>
  <c r="N188" i="2"/>
  <c r="A188" i="2"/>
  <c r="N187" i="2"/>
  <c r="A187" i="2"/>
  <c r="N186" i="2"/>
  <c r="A186" i="2"/>
  <c r="N185" i="2"/>
  <c r="A185" i="2"/>
  <c r="N184" i="2"/>
  <c r="A184" i="2"/>
  <c r="N183" i="2"/>
  <c r="A183" i="2"/>
  <c r="N182" i="2"/>
  <c r="A182" i="2"/>
  <c r="N181" i="2"/>
  <c r="A181" i="2"/>
  <c r="N180" i="2"/>
  <c r="A180" i="2"/>
  <c r="N179" i="2"/>
  <c r="A179" i="2"/>
  <c r="N178" i="2"/>
  <c r="A178" i="2"/>
  <c r="N177" i="2"/>
  <c r="A177" i="2"/>
  <c r="N176" i="2"/>
  <c r="A176" i="2"/>
  <c r="N175" i="2"/>
  <c r="A175" i="2"/>
  <c r="N174" i="2"/>
  <c r="A174" i="2"/>
  <c r="N173" i="2"/>
  <c r="A173" i="2"/>
  <c r="N172" i="2"/>
  <c r="A172" i="2"/>
  <c r="N171" i="2"/>
  <c r="A171" i="2"/>
  <c r="N170" i="2"/>
  <c r="A170" i="2"/>
  <c r="N169" i="2"/>
  <c r="A169" i="2"/>
  <c r="N168" i="2"/>
  <c r="A168" i="2"/>
  <c r="N167" i="2"/>
  <c r="A167" i="2"/>
  <c r="N166" i="2"/>
  <c r="A166" i="2"/>
  <c r="N165" i="2"/>
  <c r="A165" i="2"/>
  <c r="N164" i="2"/>
  <c r="A164" i="2"/>
  <c r="N163" i="2"/>
  <c r="A163" i="2"/>
  <c r="N162" i="2"/>
  <c r="A162" i="2"/>
  <c r="N161" i="2"/>
  <c r="A161" i="2"/>
  <c r="N160" i="2"/>
  <c r="A160" i="2"/>
  <c r="N159" i="2"/>
  <c r="A159" i="2"/>
  <c r="N158" i="2"/>
  <c r="A158" i="2"/>
  <c r="N157" i="2"/>
  <c r="A157" i="2"/>
  <c r="N156" i="2"/>
  <c r="A156" i="2"/>
  <c r="N155" i="2"/>
  <c r="A155" i="2"/>
  <c r="N154" i="2"/>
  <c r="A154" i="2"/>
  <c r="N153" i="2"/>
  <c r="A153" i="2"/>
  <c r="N152" i="2"/>
  <c r="A152" i="2"/>
  <c r="N151" i="2"/>
  <c r="A151" i="2"/>
  <c r="N150" i="2"/>
  <c r="A150" i="2"/>
  <c r="N149" i="2"/>
  <c r="A149" i="2"/>
  <c r="N148" i="2"/>
  <c r="A148" i="2"/>
  <c r="N147" i="2"/>
  <c r="A147" i="2"/>
  <c r="N146" i="2"/>
  <c r="A146" i="2"/>
  <c r="N145" i="2"/>
  <c r="A145" i="2"/>
  <c r="N144" i="2"/>
  <c r="A144" i="2"/>
  <c r="N143" i="2"/>
  <c r="A143" i="2"/>
  <c r="N142" i="2"/>
  <c r="A142" i="2"/>
  <c r="N141" i="2"/>
  <c r="A141" i="2"/>
  <c r="N140" i="2"/>
  <c r="A140" i="2"/>
  <c r="N139" i="2"/>
  <c r="A139" i="2"/>
  <c r="N138" i="2"/>
  <c r="A138" i="2"/>
  <c r="N137" i="2"/>
  <c r="A137" i="2"/>
  <c r="N136" i="2"/>
  <c r="A136" i="2"/>
  <c r="N135" i="2"/>
  <c r="A135" i="2"/>
  <c r="N134" i="2"/>
  <c r="A134" i="2"/>
  <c r="N133" i="2"/>
  <c r="A133" i="2"/>
  <c r="N132" i="2"/>
  <c r="A132" i="2"/>
  <c r="N131" i="2"/>
  <c r="A131" i="2"/>
  <c r="N130" i="2"/>
  <c r="A130" i="2"/>
  <c r="N129" i="2"/>
  <c r="A129" i="2"/>
  <c r="N128" i="2"/>
  <c r="A128" i="2"/>
  <c r="N127" i="2"/>
  <c r="A127" i="2"/>
  <c r="N126" i="2"/>
  <c r="A126" i="2"/>
  <c r="N125" i="2"/>
  <c r="A125" i="2"/>
  <c r="N124" i="2"/>
  <c r="A124" i="2"/>
  <c r="N123" i="2"/>
  <c r="A123" i="2"/>
  <c r="N122" i="2"/>
  <c r="A122" i="2"/>
  <c r="N121" i="2"/>
  <c r="A121" i="2"/>
  <c r="N120" i="2"/>
  <c r="A120" i="2"/>
  <c r="N119" i="2"/>
  <c r="A119" i="2"/>
  <c r="N118" i="2"/>
  <c r="A118" i="2"/>
  <c r="N117" i="2"/>
  <c r="A117" i="2"/>
  <c r="N116" i="2"/>
  <c r="A116" i="2"/>
  <c r="N115" i="2"/>
  <c r="A115" i="2"/>
  <c r="N114" i="2"/>
  <c r="A114" i="2"/>
  <c r="N113" i="2"/>
  <c r="A113" i="2"/>
  <c r="N112" i="2"/>
  <c r="A112" i="2"/>
  <c r="N111" i="2"/>
  <c r="A111" i="2"/>
  <c r="N110" i="2"/>
  <c r="A110" i="2"/>
  <c r="N109" i="2"/>
  <c r="A109" i="2"/>
  <c r="N108" i="2"/>
  <c r="A108" i="2"/>
  <c r="N107" i="2"/>
  <c r="A107" i="2"/>
  <c r="N106" i="2"/>
  <c r="A106" i="2"/>
  <c r="N105" i="2"/>
  <c r="A105" i="2"/>
  <c r="N104" i="2"/>
  <c r="A104" i="2"/>
  <c r="N103" i="2"/>
  <c r="A103" i="2"/>
  <c r="N102" i="2"/>
  <c r="A102" i="2"/>
  <c r="N101" i="2"/>
  <c r="A101" i="2"/>
  <c r="N100" i="2"/>
  <c r="A100" i="2"/>
  <c r="N99" i="2"/>
  <c r="A99" i="2"/>
  <c r="N98" i="2"/>
  <c r="A98" i="2"/>
  <c r="N97" i="2"/>
  <c r="A97" i="2"/>
  <c r="N96" i="2"/>
  <c r="A96" i="2"/>
  <c r="N95" i="2"/>
  <c r="A95" i="2"/>
  <c r="N94" i="2"/>
  <c r="A94" i="2"/>
  <c r="N93" i="2"/>
  <c r="A93" i="2"/>
  <c r="N92" i="2"/>
  <c r="A92" i="2"/>
  <c r="N91" i="2"/>
  <c r="A91" i="2"/>
  <c r="N90" i="2"/>
  <c r="A90" i="2"/>
  <c r="N89" i="2"/>
  <c r="A89" i="2"/>
  <c r="N88" i="2"/>
  <c r="A88" i="2"/>
  <c r="N87" i="2"/>
  <c r="A87" i="2"/>
  <c r="N86" i="2"/>
  <c r="A86" i="2"/>
  <c r="N85" i="2"/>
  <c r="A85" i="2"/>
  <c r="N84" i="2"/>
  <c r="A84" i="2"/>
  <c r="N83" i="2"/>
  <c r="A83" i="2"/>
  <c r="N82" i="2"/>
  <c r="A82" i="2"/>
  <c r="N81" i="2"/>
  <c r="A81" i="2"/>
  <c r="N80" i="2"/>
  <c r="A80" i="2"/>
  <c r="N79" i="2"/>
  <c r="A79" i="2"/>
  <c r="N78" i="2"/>
  <c r="A78" i="2"/>
  <c r="N77" i="2"/>
  <c r="A77" i="2"/>
  <c r="N76" i="2"/>
  <c r="A76" i="2"/>
  <c r="N75" i="2"/>
  <c r="A75" i="2"/>
  <c r="N74" i="2"/>
  <c r="A74" i="2"/>
  <c r="N73" i="2"/>
  <c r="A73" i="2"/>
  <c r="N72" i="2"/>
  <c r="A72" i="2"/>
  <c r="N71" i="2"/>
  <c r="A71" i="2"/>
  <c r="N70" i="2"/>
  <c r="A70" i="2"/>
  <c r="N69" i="2"/>
  <c r="A69" i="2"/>
  <c r="N68" i="2"/>
  <c r="A68" i="2"/>
  <c r="N67" i="2"/>
  <c r="A67" i="2"/>
  <c r="N66" i="2"/>
  <c r="A66" i="2"/>
  <c r="N65" i="2"/>
  <c r="A65" i="2"/>
  <c r="N64" i="2"/>
  <c r="A64" i="2"/>
  <c r="N63" i="2"/>
  <c r="A63" i="2"/>
  <c r="N62" i="2"/>
  <c r="A62" i="2"/>
  <c r="N61" i="2"/>
  <c r="A61" i="2"/>
  <c r="N60" i="2"/>
  <c r="A60" i="2"/>
  <c r="N59" i="2"/>
  <c r="A59" i="2"/>
  <c r="N58" i="2"/>
  <c r="A58" i="2"/>
  <c r="N57" i="2"/>
  <c r="A57" i="2"/>
  <c r="N56" i="2"/>
  <c r="A56" i="2"/>
  <c r="N55" i="2"/>
  <c r="A55" i="2"/>
  <c r="N54" i="2"/>
  <c r="A54" i="2"/>
  <c r="N53" i="2"/>
  <c r="A53" i="2"/>
  <c r="N52" i="2"/>
  <c r="A52" i="2"/>
  <c r="N51" i="2"/>
  <c r="A51" i="2"/>
  <c r="N50" i="2"/>
  <c r="A50" i="2"/>
  <c r="N49" i="2"/>
  <c r="A49" i="2"/>
  <c r="N48" i="2"/>
  <c r="A48" i="2"/>
  <c r="N47" i="2"/>
  <c r="A47" i="2"/>
  <c r="N46" i="2"/>
  <c r="A46" i="2"/>
  <c r="N45" i="2"/>
  <c r="A45" i="2"/>
  <c r="N44" i="2"/>
  <c r="A44" i="2"/>
  <c r="N43" i="2"/>
  <c r="A43" i="2"/>
  <c r="N42" i="2"/>
  <c r="A42" i="2"/>
  <c r="N41" i="2"/>
  <c r="A41" i="2"/>
  <c r="N40" i="2"/>
  <c r="A40" i="2"/>
  <c r="N39" i="2"/>
  <c r="A39" i="2"/>
  <c r="N38" i="2"/>
  <c r="A38" i="2"/>
  <c r="N37" i="2"/>
  <c r="A37" i="2"/>
  <c r="N36" i="2"/>
  <c r="A36" i="2"/>
  <c r="N35" i="2"/>
  <c r="A35" i="2"/>
  <c r="N34" i="2"/>
  <c r="A34" i="2"/>
  <c r="N33" i="2"/>
  <c r="A33" i="2"/>
  <c r="N32" i="2"/>
  <c r="A32" i="2"/>
  <c r="N31" i="2"/>
  <c r="A31" i="2"/>
  <c r="N30" i="2"/>
  <c r="A30" i="2"/>
  <c r="N29" i="2"/>
  <c r="A29" i="2"/>
  <c r="N28" i="2"/>
  <c r="A28" i="2"/>
  <c r="N27" i="2"/>
  <c r="A27" i="2"/>
  <c r="N26" i="2"/>
  <c r="A26" i="2"/>
  <c r="N25" i="2"/>
  <c r="A25" i="2"/>
  <c r="N24" i="2"/>
  <c r="A24" i="2"/>
  <c r="N23" i="2"/>
  <c r="A23" i="2"/>
  <c r="N22" i="2"/>
  <c r="A22" i="2"/>
  <c r="N21" i="2"/>
  <c r="A21" i="2"/>
  <c r="N20" i="2"/>
  <c r="A20" i="2"/>
  <c r="N19" i="2"/>
  <c r="A19" i="2"/>
  <c r="N18" i="2"/>
  <c r="A18" i="2"/>
  <c r="N17" i="2"/>
  <c r="A17" i="2"/>
  <c r="N16" i="2"/>
  <c r="A16" i="2"/>
  <c r="N15" i="2"/>
  <c r="A15" i="2"/>
  <c r="N14" i="2"/>
  <c r="A14" i="2"/>
  <c r="N13" i="2"/>
  <c r="A13" i="2"/>
  <c r="N12" i="2"/>
  <c r="A12" i="2"/>
  <c r="N11" i="2"/>
  <c r="A11" i="2"/>
  <c r="N10" i="2"/>
  <c r="A10" i="2"/>
  <c r="N9" i="2"/>
  <c r="A9" i="2"/>
  <c r="AN50" i="5" l="1"/>
  <c r="AO50" i="5" s="1"/>
  <c r="AA63" i="5"/>
  <c r="AH63" i="5" s="1"/>
  <c r="AN100" i="5"/>
  <c r="AN110" i="5"/>
  <c r="AN93" i="5"/>
  <c r="AA114" i="5"/>
  <c r="AH114" i="5" s="1"/>
  <c r="AN98" i="5"/>
  <c r="AO98" i="5" s="1"/>
  <c r="AN112" i="5"/>
  <c r="AN274" i="5"/>
  <c r="AO274" i="5" s="1"/>
  <c r="AN255" i="5"/>
  <c r="AO255" i="5" s="1"/>
  <c r="AN116" i="5"/>
  <c r="AO116" i="5" s="1"/>
  <c r="AN87" i="5"/>
  <c r="AN95" i="5"/>
  <c r="AN92" i="5"/>
  <c r="AN108" i="5"/>
  <c r="AO108" i="5" s="1"/>
  <c r="AN118" i="5"/>
  <c r="AN101" i="5"/>
  <c r="AN97" i="5"/>
  <c r="AO97" i="5" s="1"/>
  <c r="AN120" i="5"/>
  <c r="AN89" i="5"/>
  <c r="AN254" i="5"/>
  <c r="AO254" i="5" s="1"/>
  <c r="AN91" i="5"/>
  <c r="AN283" i="5"/>
  <c r="AO283" i="5" s="1"/>
  <c r="AN109" i="5"/>
  <c r="AO109" i="5" s="1"/>
  <c r="AN106" i="5"/>
  <c r="AO106" i="5" s="1"/>
  <c r="AN124" i="5"/>
  <c r="AO124" i="5" s="1"/>
  <c r="AN99" i="5"/>
  <c r="AN117" i="5"/>
  <c r="AO117" i="5" s="1"/>
  <c r="AN103" i="5"/>
  <c r="AO103" i="5" s="1"/>
  <c r="AN107" i="5"/>
  <c r="AN125" i="5"/>
  <c r="AN111" i="5"/>
  <c r="AN105" i="5"/>
  <c r="AO105" i="5" s="1"/>
  <c r="AN113" i="5"/>
  <c r="AN86" i="5"/>
  <c r="AN115" i="5"/>
  <c r="AN119" i="5"/>
  <c r="AN121" i="5"/>
  <c r="AN88" i="5"/>
  <c r="AN94" i="5"/>
  <c r="AN123" i="5"/>
  <c r="AN114" i="5"/>
  <c r="AO114" i="5" s="1"/>
  <c r="AN96" i="5"/>
  <c r="AN102" i="5"/>
  <c r="AN85" i="5"/>
  <c r="AO85" i="5" s="1"/>
  <c r="AN90" i="5"/>
  <c r="AO90" i="5" s="1"/>
  <c r="AN122" i="5"/>
  <c r="AO122" i="5" s="1"/>
  <c r="AN104" i="5"/>
  <c r="AO104" i="5" s="1"/>
  <c r="AN285" i="5"/>
  <c r="AN258" i="5"/>
  <c r="AO258" i="5" s="1"/>
  <c r="AN267" i="5"/>
  <c r="AN266" i="5"/>
  <c r="AN275" i="5"/>
  <c r="AN282" i="5"/>
  <c r="AO282" i="5" s="1"/>
  <c r="AN252" i="5"/>
  <c r="AN288" i="5"/>
  <c r="AO288" i="5" s="1"/>
  <c r="AN257" i="5"/>
  <c r="AN271" i="5"/>
  <c r="AN260" i="5"/>
  <c r="AN270" i="5"/>
  <c r="AO270" i="5" s="1"/>
  <c r="AN264" i="5"/>
  <c r="AO264" i="5" s="1"/>
  <c r="AN253" i="5"/>
  <c r="AN265" i="5"/>
  <c r="AN263" i="5"/>
  <c r="AN262" i="5"/>
  <c r="AN279" i="5"/>
  <c r="AN268" i="5"/>
  <c r="AN278" i="5"/>
  <c r="AN280" i="5"/>
  <c r="AN261" i="5"/>
  <c r="AN273" i="5"/>
  <c r="AN256" i="5"/>
  <c r="AN287" i="5"/>
  <c r="AO287" i="5" s="1"/>
  <c r="AN276" i="5"/>
  <c r="AN286" i="5"/>
  <c r="AN251" i="5"/>
  <c r="AO251" i="5" s="1"/>
  <c r="AN269" i="5"/>
  <c r="AN281" i="5"/>
  <c r="AN249" i="5"/>
  <c r="AN250" i="5"/>
  <c r="AN284" i="5"/>
  <c r="AN272" i="5"/>
  <c r="AN259" i="5"/>
  <c r="AN277" i="5"/>
  <c r="AO277" i="5" s="1"/>
  <c r="AN289" i="5"/>
  <c r="AN42" i="5"/>
  <c r="AN175" i="5"/>
  <c r="AN239" i="5"/>
  <c r="AN36" i="5"/>
  <c r="AN164" i="5"/>
  <c r="AN228" i="5"/>
  <c r="AN9" i="5"/>
  <c r="AO9" i="5" s="1"/>
  <c r="AN73" i="5"/>
  <c r="AO73" i="5" s="1"/>
  <c r="AN46" i="5"/>
  <c r="AN174" i="5"/>
  <c r="AO174" i="5" s="1"/>
  <c r="AN238" i="5"/>
  <c r="AN11" i="5"/>
  <c r="AO11" i="5" s="1"/>
  <c r="AN75" i="5"/>
  <c r="AN139" i="5"/>
  <c r="AN203" i="5"/>
  <c r="AO203" i="5" s="1"/>
  <c r="AN157" i="5"/>
  <c r="AN221" i="5"/>
  <c r="AO221" i="5" s="1"/>
  <c r="AN55" i="5"/>
  <c r="AN143" i="5"/>
  <c r="AN12" i="5"/>
  <c r="AO12" i="5" s="1"/>
  <c r="AN169" i="5"/>
  <c r="AN233" i="5"/>
  <c r="AO233" i="5" s="1"/>
  <c r="AN130" i="5"/>
  <c r="AN194" i="5"/>
  <c r="AN5" i="5"/>
  <c r="AN13" i="5"/>
  <c r="AN183" i="5"/>
  <c r="AO183" i="5" s="1"/>
  <c r="AN247" i="5"/>
  <c r="AN44" i="5"/>
  <c r="AO44" i="5" s="1"/>
  <c r="AN48" i="5"/>
  <c r="AN176" i="5"/>
  <c r="AO176" i="5" s="1"/>
  <c r="AN172" i="5"/>
  <c r="AN236" i="5"/>
  <c r="AN17" i="5"/>
  <c r="AN182" i="5"/>
  <c r="AN246" i="5"/>
  <c r="AN19" i="5"/>
  <c r="AN83" i="5"/>
  <c r="AN147" i="5"/>
  <c r="AN211" i="5"/>
  <c r="AN165" i="5"/>
  <c r="AN229" i="5"/>
  <c r="AN3" i="5"/>
  <c r="AN71" i="5"/>
  <c r="AN151" i="5"/>
  <c r="AN177" i="5"/>
  <c r="AN241" i="5"/>
  <c r="AN20" i="5"/>
  <c r="AN138" i="5"/>
  <c r="AN202" i="5"/>
  <c r="AN45" i="5"/>
  <c r="AN56" i="5"/>
  <c r="AN184" i="5"/>
  <c r="AN81" i="5"/>
  <c r="AN21" i="5"/>
  <c r="AN58" i="5"/>
  <c r="AN191" i="5"/>
  <c r="AN52" i="5"/>
  <c r="AN180" i="5"/>
  <c r="AN244" i="5"/>
  <c r="AN25" i="5"/>
  <c r="AN62" i="5"/>
  <c r="AN126" i="5"/>
  <c r="AN190" i="5"/>
  <c r="AN27" i="5"/>
  <c r="AN155" i="5"/>
  <c r="AN219" i="5"/>
  <c r="AN173" i="5"/>
  <c r="AN237" i="5"/>
  <c r="AN66" i="5"/>
  <c r="AN79" i="5"/>
  <c r="AN159" i="5"/>
  <c r="AN61" i="5"/>
  <c r="AN185" i="5"/>
  <c r="AN146" i="5"/>
  <c r="AN210" i="5"/>
  <c r="AN53" i="5"/>
  <c r="AN64" i="5"/>
  <c r="AN128" i="5"/>
  <c r="AN192" i="5"/>
  <c r="AN54" i="5"/>
  <c r="AN29" i="5"/>
  <c r="AN74" i="5"/>
  <c r="AN199" i="5"/>
  <c r="AN60" i="5"/>
  <c r="AN188" i="5"/>
  <c r="AN33" i="5"/>
  <c r="AN6" i="5"/>
  <c r="AN70" i="5"/>
  <c r="AN134" i="5"/>
  <c r="AN198" i="5"/>
  <c r="AN35" i="5"/>
  <c r="AN163" i="5"/>
  <c r="AN227" i="5"/>
  <c r="AN181" i="5"/>
  <c r="AN245" i="5"/>
  <c r="AN15" i="5"/>
  <c r="AN167" i="5"/>
  <c r="AN77" i="5"/>
  <c r="AN193" i="5"/>
  <c r="AN248" i="5"/>
  <c r="AN154" i="5"/>
  <c r="AN218" i="5"/>
  <c r="AN37" i="5"/>
  <c r="AN72" i="5"/>
  <c r="AN136" i="5"/>
  <c r="AN200" i="5"/>
  <c r="AN10" i="5"/>
  <c r="AN226" i="5"/>
  <c r="AN7" i="5"/>
  <c r="AN207" i="5"/>
  <c r="AN68" i="5"/>
  <c r="AN132" i="5"/>
  <c r="AN196" i="5"/>
  <c r="AN41" i="5"/>
  <c r="AN14" i="5"/>
  <c r="AN78" i="5"/>
  <c r="AN142" i="5"/>
  <c r="AN206" i="5"/>
  <c r="AN43" i="5"/>
  <c r="AN171" i="5"/>
  <c r="AN235" i="5"/>
  <c r="AN189" i="5"/>
  <c r="AN23" i="5"/>
  <c r="AN4" i="5"/>
  <c r="AN201" i="5"/>
  <c r="AN240" i="5"/>
  <c r="AN162" i="5"/>
  <c r="AN16" i="5"/>
  <c r="AN80" i="5"/>
  <c r="AN144" i="5"/>
  <c r="AN208" i="5"/>
  <c r="AN18" i="5"/>
  <c r="AN234" i="5"/>
  <c r="AN63" i="5"/>
  <c r="AN215" i="5"/>
  <c r="AN76" i="5"/>
  <c r="AN140" i="5"/>
  <c r="AN204" i="5"/>
  <c r="AN49" i="5"/>
  <c r="AN22" i="5"/>
  <c r="AN150" i="5"/>
  <c r="AN214" i="5"/>
  <c r="AN51" i="5"/>
  <c r="AN179" i="5"/>
  <c r="AN243" i="5"/>
  <c r="AN133" i="5"/>
  <c r="AN197" i="5"/>
  <c r="AN31" i="5"/>
  <c r="AN82" i="5"/>
  <c r="AN145" i="5"/>
  <c r="AN209" i="5"/>
  <c r="AN170" i="5"/>
  <c r="AN24" i="5"/>
  <c r="AN152" i="5"/>
  <c r="AN216" i="5"/>
  <c r="AN26" i="5"/>
  <c r="AN242" i="5"/>
  <c r="AN223" i="5"/>
  <c r="AN84" i="5"/>
  <c r="AN148" i="5"/>
  <c r="AN212" i="5"/>
  <c r="AN57" i="5"/>
  <c r="AN30" i="5"/>
  <c r="AN158" i="5"/>
  <c r="AN222" i="5"/>
  <c r="AN59" i="5"/>
  <c r="AN187" i="5"/>
  <c r="AN69" i="5"/>
  <c r="AN141" i="5"/>
  <c r="AN205" i="5"/>
  <c r="AN39" i="5"/>
  <c r="AN127" i="5"/>
  <c r="AN8" i="5"/>
  <c r="AN153" i="5"/>
  <c r="AN217" i="5"/>
  <c r="AN178" i="5"/>
  <c r="AN129" i="5"/>
  <c r="AN32" i="5"/>
  <c r="AN160" i="5"/>
  <c r="AN224" i="5"/>
  <c r="AN34" i="5"/>
  <c r="AN231" i="5"/>
  <c r="AN28" i="5"/>
  <c r="AN156" i="5"/>
  <c r="AN220" i="5"/>
  <c r="AN65" i="5"/>
  <c r="AN38" i="5"/>
  <c r="AN166" i="5"/>
  <c r="AN230" i="5"/>
  <c r="AN67" i="5"/>
  <c r="AN131" i="5"/>
  <c r="AN195" i="5"/>
  <c r="AN149" i="5"/>
  <c r="AN213" i="5"/>
  <c r="AN47" i="5"/>
  <c r="AN135" i="5"/>
  <c r="AN161" i="5"/>
  <c r="AN225" i="5"/>
  <c r="AN186" i="5"/>
  <c r="AN137" i="5"/>
  <c r="AN40" i="5"/>
  <c r="AN168" i="5"/>
  <c r="AN232" i="5"/>
  <c r="AA289" i="5"/>
  <c r="AH289" i="5" s="1"/>
  <c r="AG289" i="5"/>
  <c r="AA281" i="5"/>
  <c r="AH281" i="5" s="1"/>
  <c r="AG281" i="5"/>
  <c r="AA273" i="5"/>
  <c r="AH273" i="5" s="1"/>
  <c r="AG273" i="5"/>
  <c r="AA265" i="5"/>
  <c r="AH265" i="5" s="1"/>
  <c r="AG265" i="5"/>
  <c r="AA257" i="5"/>
  <c r="AH257" i="5" s="1"/>
  <c r="AG257" i="5"/>
  <c r="AA249" i="5"/>
  <c r="AH249" i="5" s="1"/>
  <c r="AG249" i="5"/>
  <c r="AA241" i="5"/>
  <c r="AH241" i="5" s="1"/>
  <c r="AG241" i="5"/>
  <c r="AA225" i="5"/>
  <c r="AH225" i="5" s="1"/>
  <c r="AG225" i="5"/>
  <c r="AA217" i="5"/>
  <c r="AH217" i="5" s="1"/>
  <c r="AG217" i="5"/>
  <c r="AA209" i="5"/>
  <c r="AH209" i="5" s="1"/>
  <c r="AG209" i="5"/>
  <c r="AA201" i="5"/>
  <c r="AG201" i="5"/>
  <c r="AA193" i="5"/>
  <c r="AH193" i="5" s="1"/>
  <c r="AG193" i="5"/>
  <c r="AA185" i="5"/>
  <c r="AH185" i="5" s="1"/>
  <c r="AG185" i="5"/>
  <c r="AA177" i="5"/>
  <c r="AH177" i="5" s="1"/>
  <c r="AG177" i="5"/>
  <c r="AA169" i="5"/>
  <c r="AH169" i="5" s="1"/>
  <c r="AG169" i="5"/>
  <c r="AA161" i="5"/>
  <c r="AH161" i="5" s="1"/>
  <c r="AG161" i="5"/>
  <c r="AA145" i="5"/>
  <c r="AH145" i="5" s="1"/>
  <c r="AG145" i="5"/>
  <c r="AA129" i="5"/>
  <c r="AH129" i="5" s="1"/>
  <c r="AG129" i="5"/>
  <c r="AA121" i="5"/>
  <c r="AH121" i="5" s="1"/>
  <c r="AG121" i="5"/>
  <c r="AA113" i="5"/>
  <c r="AH113" i="5" s="1"/>
  <c r="AG113" i="5"/>
  <c r="AA89" i="5"/>
  <c r="AH89" i="5" s="1"/>
  <c r="AG89" i="5"/>
  <c r="AA81" i="5"/>
  <c r="AG81" i="5"/>
  <c r="AA65" i="5"/>
  <c r="AH65" i="5" s="1"/>
  <c r="AG65" i="5"/>
  <c r="AA57" i="5"/>
  <c r="AG57" i="5"/>
  <c r="AA49" i="5"/>
  <c r="AH49" i="5" s="1"/>
  <c r="AG49" i="5"/>
  <c r="AA41" i="5"/>
  <c r="AG41" i="5"/>
  <c r="AA33" i="5"/>
  <c r="AH33" i="5" s="1"/>
  <c r="AG33" i="5"/>
  <c r="AA25" i="5"/>
  <c r="AG25" i="5"/>
  <c r="AA280" i="5"/>
  <c r="AH280" i="5" s="1"/>
  <c r="AG280" i="5"/>
  <c r="AA272" i="5"/>
  <c r="AH272" i="5" s="1"/>
  <c r="AG272" i="5"/>
  <c r="AA256" i="5"/>
  <c r="AH256" i="5" s="1"/>
  <c r="AG256" i="5"/>
  <c r="AA248" i="5"/>
  <c r="AH248" i="5" s="1"/>
  <c r="AG248" i="5"/>
  <c r="AA240" i="5"/>
  <c r="AH240" i="5" s="1"/>
  <c r="AG240" i="5"/>
  <c r="AA232" i="5"/>
  <c r="AH232" i="5" s="1"/>
  <c r="AG232" i="5"/>
  <c r="AA224" i="5"/>
  <c r="AH224" i="5" s="1"/>
  <c r="AG224" i="5"/>
  <c r="AA216" i="5"/>
  <c r="AH216" i="5" s="1"/>
  <c r="AG216" i="5"/>
  <c r="AA208" i="5"/>
  <c r="AH208" i="5" s="1"/>
  <c r="AG208" i="5"/>
  <c r="AA192" i="5"/>
  <c r="AH192" i="5" s="1"/>
  <c r="AG192" i="5"/>
  <c r="AA184" i="5"/>
  <c r="AH184" i="5" s="1"/>
  <c r="AG184" i="5"/>
  <c r="AA152" i="5"/>
  <c r="AH152" i="5" s="1"/>
  <c r="AG152" i="5"/>
  <c r="AA144" i="5"/>
  <c r="AH144" i="5" s="1"/>
  <c r="AG144" i="5"/>
  <c r="AA136" i="5"/>
  <c r="AH136" i="5" s="1"/>
  <c r="AG136" i="5"/>
  <c r="AA120" i="5"/>
  <c r="AH120" i="5" s="1"/>
  <c r="AG120" i="5"/>
  <c r="AA112" i="5"/>
  <c r="AH112" i="5" s="1"/>
  <c r="AG112" i="5"/>
  <c r="AA96" i="5"/>
  <c r="AH96" i="5" s="1"/>
  <c r="AG96" i="5"/>
  <c r="AA88" i="5"/>
  <c r="AH88" i="5" s="1"/>
  <c r="AG88" i="5"/>
  <c r="AA80" i="5"/>
  <c r="AH80" i="5" s="1"/>
  <c r="AG80" i="5"/>
  <c r="AA64" i="5"/>
  <c r="AH64" i="5" s="1"/>
  <c r="AG64" i="5"/>
  <c r="AA56" i="5"/>
  <c r="AH56" i="5" s="1"/>
  <c r="AG56" i="5"/>
  <c r="AA48" i="5"/>
  <c r="AH48" i="5" s="1"/>
  <c r="AG48" i="5"/>
  <c r="AA40" i="5"/>
  <c r="AH40" i="5" s="1"/>
  <c r="AG40" i="5"/>
  <c r="AA24" i="5"/>
  <c r="AH24" i="5" s="1"/>
  <c r="AG24" i="5"/>
  <c r="AA16" i="5"/>
  <c r="AH16" i="5" s="1"/>
  <c r="AG16" i="5"/>
  <c r="AA8" i="5"/>
  <c r="AG8" i="5"/>
  <c r="AA279" i="5"/>
  <c r="AH279" i="5" s="1"/>
  <c r="AG279" i="5"/>
  <c r="AA271" i="5"/>
  <c r="AH271" i="5" s="1"/>
  <c r="AG271" i="5"/>
  <c r="AA263" i="5"/>
  <c r="AH263" i="5" s="1"/>
  <c r="AG263" i="5"/>
  <c r="AA247" i="5"/>
  <c r="AH247" i="5" s="1"/>
  <c r="AG247" i="5"/>
  <c r="AA239" i="5"/>
  <c r="AG239" i="5"/>
  <c r="AA223" i="5"/>
  <c r="AH223" i="5" s="1"/>
  <c r="AG223" i="5"/>
  <c r="AA175" i="5"/>
  <c r="AG175" i="5"/>
  <c r="AA159" i="5"/>
  <c r="AH159" i="5" s="1"/>
  <c r="AG159" i="5"/>
  <c r="AA151" i="5"/>
  <c r="AH151" i="5" s="1"/>
  <c r="AG151" i="5"/>
  <c r="AA143" i="5"/>
  <c r="AG143" i="5"/>
  <c r="AA119" i="5"/>
  <c r="AH119" i="5" s="1"/>
  <c r="AG119" i="5"/>
  <c r="AA111" i="5"/>
  <c r="AH111" i="5" s="1"/>
  <c r="AG111" i="5"/>
  <c r="AA95" i="5"/>
  <c r="AH95" i="5" s="1"/>
  <c r="AG95" i="5"/>
  <c r="AA87" i="5"/>
  <c r="AH87" i="5" s="1"/>
  <c r="AG87" i="5"/>
  <c r="AA71" i="5"/>
  <c r="AH71" i="5" s="1"/>
  <c r="AG71" i="5"/>
  <c r="AA55" i="5"/>
  <c r="AG55" i="5"/>
  <c r="AA47" i="5"/>
  <c r="AG47" i="5"/>
  <c r="AA39" i="5"/>
  <c r="AG39" i="5"/>
  <c r="AA31" i="5"/>
  <c r="AH31" i="5" s="1"/>
  <c r="AG31" i="5"/>
  <c r="AA23" i="5"/>
  <c r="AG23" i="5"/>
  <c r="AA15" i="5"/>
  <c r="AG15" i="5"/>
  <c r="AA7" i="5"/>
  <c r="AG7" i="5"/>
  <c r="AA286" i="5"/>
  <c r="AH286" i="5" s="1"/>
  <c r="AG286" i="5"/>
  <c r="AA278" i="5"/>
  <c r="AH278" i="5" s="1"/>
  <c r="AG278" i="5"/>
  <c r="AA262" i="5"/>
  <c r="AH262" i="5" s="1"/>
  <c r="AG262" i="5"/>
  <c r="AA246" i="5"/>
  <c r="AH246" i="5" s="1"/>
  <c r="AG246" i="5"/>
  <c r="AA238" i="5"/>
  <c r="AG238" i="5"/>
  <c r="AA222" i="5"/>
  <c r="AG222" i="5"/>
  <c r="AA214" i="5"/>
  <c r="AH214" i="5" s="1"/>
  <c r="AG214" i="5"/>
  <c r="AA206" i="5"/>
  <c r="AH206" i="5" s="1"/>
  <c r="AG206" i="5"/>
  <c r="AA198" i="5"/>
  <c r="AH198" i="5" s="1"/>
  <c r="AG198" i="5"/>
  <c r="AA182" i="5"/>
  <c r="AH182" i="5" s="1"/>
  <c r="AG182" i="5"/>
  <c r="AA150" i="5"/>
  <c r="AG150" i="5"/>
  <c r="AA142" i="5"/>
  <c r="AG142" i="5"/>
  <c r="AA134" i="5"/>
  <c r="AG134" i="5"/>
  <c r="AA126" i="5"/>
  <c r="AH126" i="5" s="1"/>
  <c r="AG126" i="5"/>
  <c r="AA118" i="5"/>
  <c r="AH118" i="5" s="1"/>
  <c r="AG118" i="5"/>
  <c r="AA110" i="5"/>
  <c r="AH110" i="5" s="1"/>
  <c r="AG110" i="5"/>
  <c r="AA102" i="5"/>
  <c r="AH102" i="5" s="1"/>
  <c r="AG102" i="5"/>
  <c r="AA94" i="5"/>
  <c r="AH94" i="5" s="1"/>
  <c r="AG94" i="5"/>
  <c r="AA86" i="5"/>
  <c r="AH86" i="5" s="1"/>
  <c r="AG86" i="5"/>
  <c r="AA78" i="5"/>
  <c r="AG78" i="5"/>
  <c r="AA70" i="5"/>
  <c r="AH70" i="5" s="1"/>
  <c r="AG70" i="5"/>
  <c r="AA46" i="5"/>
  <c r="AG46" i="5"/>
  <c r="AA38" i="5"/>
  <c r="AH38" i="5" s="1"/>
  <c r="AG38" i="5"/>
  <c r="AA30" i="5"/>
  <c r="AG30" i="5"/>
  <c r="AA22" i="5"/>
  <c r="AH22" i="5" s="1"/>
  <c r="AG22" i="5"/>
  <c r="AA267" i="5"/>
  <c r="AH267" i="5" s="1"/>
  <c r="AG267" i="5"/>
  <c r="AA235" i="5"/>
  <c r="AG235" i="5"/>
  <c r="AA187" i="5"/>
  <c r="AH187" i="5" s="1"/>
  <c r="AG187" i="5"/>
  <c r="AA155" i="5"/>
  <c r="AG155" i="5"/>
  <c r="AA139" i="5"/>
  <c r="AG139" i="5"/>
  <c r="AA123" i="5"/>
  <c r="AH123" i="5" s="1"/>
  <c r="AG123" i="5"/>
  <c r="AA115" i="5"/>
  <c r="AH115" i="5" s="1"/>
  <c r="AG115" i="5"/>
  <c r="AA99" i="5"/>
  <c r="AH99" i="5" s="1"/>
  <c r="AG99" i="5"/>
  <c r="AA83" i="5"/>
  <c r="AH83" i="5" s="1"/>
  <c r="AG83" i="5"/>
  <c r="AA51" i="5"/>
  <c r="AH51" i="5" s="1"/>
  <c r="AG51" i="5"/>
  <c r="AA35" i="5"/>
  <c r="AG35" i="5"/>
  <c r="AA19" i="5"/>
  <c r="AH19" i="5" s="1"/>
  <c r="AG19" i="5"/>
  <c r="AA266" i="5"/>
  <c r="AH266" i="5" s="1"/>
  <c r="AG266" i="5"/>
  <c r="AA250" i="5"/>
  <c r="AH250" i="5" s="1"/>
  <c r="AG250" i="5"/>
  <c r="AA218" i="5"/>
  <c r="AH218" i="5" s="1"/>
  <c r="AG218" i="5"/>
  <c r="AA202" i="5"/>
  <c r="AH202" i="5" s="1"/>
  <c r="AG202" i="5"/>
  <c r="AA186" i="5"/>
  <c r="AH186" i="5" s="1"/>
  <c r="AG186" i="5"/>
  <c r="AA154" i="5"/>
  <c r="AH154" i="5" s="1"/>
  <c r="AG154" i="5"/>
  <c r="AA74" i="5"/>
  <c r="AH74" i="5" s="1"/>
  <c r="AG74" i="5"/>
  <c r="AA58" i="5"/>
  <c r="AH58" i="5" s="1"/>
  <c r="AG58" i="5"/>
  <c r="AA42" i="5"/>
  <c r="AG42" i="5"/>
  <c r="AA26" i="5"/>
  <c r="AH26" i="5" s="1"/>
  <c r="AG26" i="5"/>
  <c r="AA18" i="5"/>
  <c r="AG18" i="5"/>
  <c r="AA285" i="5"/>
  <c r="AH285" i="5" s="1"/>
  <c r="AG285" i="5"/>
  <c r="AA269" i="5"/>
  <c r="AH269" i="5" s="1"/>
  <c r="AG269" i="5"/>
  <c r="AA261" i="5"/>
  <c r="AH261" i="5" s="1"/>
  <c r="AG261" i="5"/>
  <c r="AA245" i="5"/>
  <c r="AH245" i="5" s="1"/>
  <c r="AG245" i="5"/>
  <c r="AA237" i="5"/>
  <c r="AG237" i="5"/>
  <c r="AA229" i="5"/>
  <c r="AH229" i="5" s="1"/>
  <c r="AG229" i="5"/>
  <c r="AA205" i="5"/>
  <c r="AG205" i="5"/>
  <c r="AA189" i="5"/>
  <c r="AG189" i="5"/>
  <c r="AA181" i="5"/>
  <c r="AH181" i="5" s="1"/>
  <c r="AG181" i="5"/>
  <c r="AA173" i="5"/>
  <c r="AG173" i="5"/>
  <c r="AA165" i="5"/>
  <c r="AH165" i="5" s="1"/>
  <c r="AG165" i="5"/>
  <c r="AA157" i="5"/>
  <c r="AG157" i="5"/>
  <c r="AA133" i="5"/>
  <c r="AG133" i="5"/>
  <c r="AA125" i="5"/>
  <c r="AH125" i="5" s="1"/>
  <c r="AG125" i="5"/>
  <c r="AA101" i="5"/>
  <c r="AH101" i="5" s="1"/>
  <c r="AG101" i="5"/>
  <c r="AA93" i="5"/>
  <c r="AH93" i="5" s="1"/>
  <c r="AG93" i="5"/>
  <c r="AA61" i="5"/>
  <c r="AG61" i="5"/>
  <c r="AA53" i="5"/>
  <c r="AH53" i="5" s="1"/>
  <c r="AG53" i="5"/>
  <c r="AA45" i="5"/>
  <c r="AH45" i="5" s="1"/>
  <c r="AG45" i="5"/>
  <c r="AA29" i="5"/>
  <c r="AH29" i="5" s="1"/>
  <c r="AG29" i="5"/>
  <c r="AA21" i="5"/>
  <c r="AH21" i="5" s="1"/>
  <c r="AG21" i="5"/>
  <c r="AA13" i="5"/>
  <c r="AH13" i="5" s="1"/>
  <c r="AG13" i="5"/>
  <c r="AA5" i="5"/>
  <c r="AH5" i="5" s="1"/>
  <c r="AG5" i="5"/>
  <c r="AA275" i="5"/>
  <c r="AH275" i="5" s="1"/>
  <c r="AG275" i="5"/>
  <c r="AA259" i="5"/>
  <c r="AH259" i="5" s="1"/>
  <c r="AG259" i="5"/>
  <c r="AA243" i="5"/>
  <c r="AG243" i="5"/>
  <c r="AA227" i="5"/>
  <c r="AH227" i="5" s="1"/>
  <c r="AG227" i="5"/>
  <c r="AA211" i="5"/>
  <c r="AH211" i="5" s="1"/>
  <c r="AG211" i="5"/>
  <c r="AA179" i="5"/>
  <c r="AH179" i="5" s="1"/>
  <c r="AG179" i="5"/>
  <c r="AA163" i="5"/>
  <c r="AH163" i="5" s="1"/>
  <c r="AG163" i="5"/>
  <c r="AA147" i="5"/>
  <c r="AH147" i="5" s="1"/>
  <c r="AG147" i="5"/>
  <c r="AA131" i="5"/>
  <c r="AH131" i="5" s="1"/>
  <c r="AG131" i="5"/>
  <c r="AA107" i="5"/>
  <c r="AH107" i="5" s="1"/>
  <c r="AG107" i="5"/>
  <c r="AA91" i="5"/>
  <c r="AH91" i="5" s="1"/>
  <c r="AG91" i="5"/>
  <c r="AA75" i="5"/>
  <c r="AG75" i="5"/>
  <c r="AA27" i="5"/>
  <c r="AG27" i="5"/>
  <c r="AA242" i="5"/>
  <c r="AG242" i="5"/>
  <c r="AA210" i="5"/>
  <c r="AH210" i="5" s="1"/>
  <c r="AG210" i="5"/>
  <c r="AA194" i="5"/>
  <c r="AH194" i="5" s="1"/>
  <c r="AG194" i="5"/>
  <c r="AA162" i="5"/>
  <c r="AH162" i="5" s="1"/>
  <c r="AG162" i="5"/>
  <c r="AA130" i="5"/>
  <c r="AH130" i="5" s="1"/>
  <c r="AG130" i="5"/>
  <c r="AA82" i="5"/>
  <c r="AG82" i="5"/>
  <c r="AA66" i="5"/>
  <c r="AG66" i="5"/>
  <c r="AA34" i="5"/>
  <c r="AH34" i="5" s="1"/>
  <c r="AG34" i="5"/>
  <c r="AA10" i="5"/>
  <c r="AG10" i="5"/>
  <c r="AA284" i="5"/>
  <c r="AH284" i="5" s="1"/>
  <c r="AG284" i="5"/>
  <c r="AA276" i="5"/>
  <c r="AH276" i="5" s="1"/>
  <c r="AG276" i="5"/>
  <c r="AA268" i="5"/>
  <c r="AH268" i="5" s="1"/>
  <c r="AG268" i="5"/>
  <c r="AA260" i="5"/>
  <c r="AH260" i="5" s="1"/>
  <c r="AG260" i="5"/>
  <c r="AA252" i="5"/>
  <c r="AH252" i="5" s="1"/>
  <c r="AG252" i="5"/>
  <c r="AA236" i="5"/>
  <c r="AH236" i="5" s="1"/>
  <c r="AG236" i="5"/>
  <c r="AA228" i="5"/>
  <c r="AG228" i="5"/>
  <c r="AA220" i="5"/>
  <c r="AH220" i="5" s="1"/>
  <c r="AG220" i="5"/>
  <c r="AA212" i="5"/>
  <c r="AG212" i="5"/>
  <c r="AA204" i="5"/>
  <c r="AH204" i="5" s="1"/>
  <c r="AG204" i="5"/>
  <c r="AA196" i="5"/>
  <c r="AG196" i="5"/>
  <c r="AA164" i="5"/>
  <c r="AG164" i="5"/>
  <c r="AA156" i="5"/>
  <c r="AG156" i="5"/>
  <c r="AA100" i="5"/>
  <c r="AH100" i="5" s="1"/>
  <c r="AG100" i="5"/>
  <c r="AA92" i="5"/>
  <c r="AH92" i="5" s="1"/>
  <c r="AG92" i="5"/>
  <c r="AA84" i="5"/>
  <c r="AH84" i="5" s="1"/>
  <c r="AG84" i="5"/>
  <c r="AA76" i="5"/>
  <c r="AH76" i="5" s="1"/>
  <c r="AG76" i="5"/>
  <c r="AA68" i="5"/>
  <c r="AH68" i="5" s="1"/>
  <c r="AG68" i="5"/>
  <c r="AA36" i="5"/>
  <c r="AG36" i="5"/>
  <c r="AA28" i="5"/>
  <c r="AH28" i="5" s="1"/>
  <c r="AG28" i="5"/>
  <c r="AA20" i="5"/>
  <c r="AH20" i="5" s="1"/>
  <c r="AG20" i="5"/>
  <c r="AA255" i="5"/>
  <c r="AH255" i="5" s="1"/>
  <c r="AA50" i="5"/>
  <c r="AH50" i="5" s="1"/>
  <c r="AA251" i="5"/>
  <c r="AH251" i="5" s="1"/>
  <c r="AA138" i="5"/>
  <c r="AH138" i="5" s="1"/>
  <c r="AA12" i="5"/>
  <c r="AA85" i="5"/>
  <c r="AH85" i="5" s="1"/>
  <c r="AA59" i="5"/>
  <c r="AH59" i="5" s="1"/>
  <c r="AA106" i="5"/>
  <c r="AH106" i="5" s="1"/>
  <c r="AA277" i="5"/>
  <c r="AH277" i="5" s="1"/>
  <c r="AA32" i="5"/>
  <c r="AH32" i="5" s="1"/>
  <c r="AA219" i="5"/>
  <c r="AA191" i="5"/>
  <c r="AA158" i="5"/>
  <c r="AH158" i="5" s="1"/>
  <c r="AA288" i="5"/>
  <c r="AH288" i="5" s="1"/>
  <c r="AA127" i="5"/>
  <c r="AH127" i="5" s="1"/>
  <c r="AA221" i="5"/>
  <c r="AA160" i="5"/>
  <c r="AH160" i="5" s="1"/>
  <c r="AA122" i="5"/>
  <c r="AH122" i="5" s="1"/>
  <c r="AA4" i="5"/>
  <c r="AA14" i="5"/>
  <c r="AA203" i="5"/>
  <c r="AA149" i="5"/>
  <c r="AA195" i="5"/>
  <c r="AH195" i="5" s="1"/>
  <c r="AA226" i="5"/>
  <c r="AA213" i="5"/>
  <c r="AH213" i="5" s="1"/>
  <c r="AA98" i="5"/>
  <c r="AH98" i="5" s="1"/>
  <c r="AA234" i="5"/>
  <c r="AH234" i="5" s="1"/>
  <c r="AA140" i="5"/>
  <c r="AA183" i="5"/>
  <c r="AH183" i="5" s="1"/>
  <c r="AA67" i="5"/>
  <c r="AH67" i="5" s="1"/>
  <c r="AA43" i="5"/>
  <c r="AH43" i="5" s="1"/>
  <c r="AA90" i="5"/>
  <c r="AH90" i="5" s="1"/>
  <c r="AA141" i="5"/>
  <c r="AA132" i="5"/>
  <c r="AA77" i="5"/>
  <c r="AH77" i="5" s="1"/>
  <c r="AA270" i="5"/>
  <c r="AH270" i="5" s="1"/>
  <c r="AA52" i="5"/>
  <c r="AA174" i="5"/>
  <c r="AA282" i="5"/>
  <c r="AH282" i="5" s="1"/>
  <c r="AA109" i="5"/>
  <c r="AH109" i="5" s="1"/>
  <c r="AA207" i="5"/>
  <c r="AH207" i="5" s="1"/>
  <c r="AA146" i="5"/>
  <c r="AA79" i="5"/>
  <c r="AH79" i="5" s="1"/>
  <c r="AA104" i="5"/>
  <c r="AH104" i="5" s="1"/>
  <c r="AA73" i="5"/>
  <c r="AA148" i="5"/>
  <c r="AA274" i="5"/>
  <c r="AH274" i="5" s="1"/>
  <c r="AA37" i="5"/>
  <c r="AH37" i="5" s="1"/>
  <c r="AA176" i="5"/>
  <c r="AH176" i="5" s="1"/>
  <c r="AA17" i="5"/>
  <c r="AA253" i="5"/>
  <c r="AH253" i="5" s="1"/>
  <c r="AA9" i="5"/>
  <c r="AA215" i="5"/>
  <c r="AH215" i="5" s="1"/>
  <c r="AA172" i="5"/>
  <c r="AA170" i="5"/>
  <c r="AA108" i="5"/>
  <c r="AH108" i="5" s="1"/>
  <c r="AA287" i="5"/>
  <c r="AH287" i="5" s="1"/>
  <c r="AA97" i="5"/>
  <c r="AH97" i="5" s="1"/>
  <c r="AA128" i="5"/>
  <c r="AH128" i="5" s="1"/>
  <c r="AA178" i="5"/>
  <c r="AH178" i="5" s="1"/>
  <c r="AA180" i="5"/>
  <c r="AA166" i="5"/>
  <c r="AH166" i="5" s="1"/>
  <c r="AA258" i="5"/>
  <c r="AH258" i="5" s="1"/>
  <c r="AA168" i="5"/>
  <c r="AH168" i="5" s="1"/>
  <c r="AA190" i="5"/>
  <c r="AH190" i="5" s="1"/>
  <c r="AA230" i="5"/>
  <c r="AH230" i="5" s="1"/>
  <c r="AA116" i="5"/>
  <c r="AH116" i="5" s="1"/>
  <c r="AA244" i="5"/>
  <c r="AA117" i="5"/>
  <c r="AH117" i="5" s="1"/>
  <c r="AA54" i="5"/>
  <c r="AH54" i="5" s="1"/>
  <c r="AA153" i="5"/>
  <c r="AH153" i="5" s="1"/>
  <c r="AA44" i="5"/>
  <c r="AA254" i="5"/>
  <c r="AH254" i="5" s="1"/>
  <c r="AA11" i="5"/>
  <c r="AA137" i="5"/>
  <c r="AH137" i="5" s="1"/>
  <c r="AA283" i="5"/>
  <c r="AH283" i="5" s="1"/>
  <c r="AA62" i="5"/>
  <c r="AA199" i="5"/>
  <c r="AH199" i="5" s="1"/>
  <c r="AA135" i="5"/>
  <c r="AH135" i="5" s="1"/>
  <c r="AA6" i="5"/>
  <c r="AH6" i="5" s="1"/>
  <c r="AA103" i="5"/>
  <c r="AH103" i="5" s="1"/>
  <c r="AA264" i="5"/>
  <c r="AH264" i="5" s="1"/>
  <c r="AA105" i="5"/>
  <c r="AH105" i="5" s="1"/>
  <c r="AA72" i="5"/>
  <c r="AH72" i="5" s="1"/>
  <c r="AA69" i="5"/>
  <c r="AA197" i="5"/>
  <c r="AA124" i="5"/>
  <c r="AH124" i="5" s="1"/>
  <c r="AA171" i="5"/>
  <c r="AA60" i="5"/>
  <c r="AH60" i="5" s="1"/>
  <c r="AA200" i="5"/>
  <c r="AH200" i="5" s="1"/>
  <c r="AA233" i="5"/>
  <c r="AH233" i="5" s="1"/>
  <c r="AA231" i="5"/>
  <c r="AH231" i="5" s="1"/>
  <c r="AA188" i="5"/>
  <c r="AH188" i="5" s="1"/>
  <c r="AA167" i="5"/>
  <c r="AB182" i="5"/>
  <c r="AB104" i="5"/>
  <c r="AB16" i="5"/>
  <c r="AB10" i="5"/>
  <c r="AB115" i="5"/>
  <c r="AB55" i="5"/>
  <c r="AB15" i="5"/>
  <c r="AB242" i="5"/>
  <c r="AB246" i="5"/>
  <c r="AB232" i="5"/>
  <c r="AB74" i="5"/>
  <c r="AB109" i="5"/>
  <c r="AB119" i="5"/>
  <c r="AB73" i="5"/>
  <c r="AB17" i="5"/>
  <c r="AB123" i="5"/>
  <c r="AB45" i="5"/>
  <c r="AB117" i="5"/>
  <c r="AB197" i="5"/>
  <c r="AB20" i="5"/>
  <c r="AB134" i="5"/>
  <c r="AB198" i="5"/>
  <c r="AB261" i="5"/>
  <c r="AB63" i="5"/>
  <c r="AB127" i="5"/>
  <c r="AB191" i="5"/>
  <c r="AB254" i="5"/>
  <c r="AB56" i="5"/>
  <c r="AB120" i="5"/>
  <c r="AB184" i="5"/>
  <c r="AB248" i="5"/>
  <c r="AB23" i="5"/>
  <c r="AB81" i="5"/>
  <c r="AB177" i="5"/>
  <c r="AB241" i="5"/>
  <c r="AB32" i="5"/>
  <c r="AB122" i="5"/>
  <c r="AB186" i="5"/>
  <c r="AB249" i="5"/>
  <c r="AB25" i="5"/>
  <c r="AB75" i="5"/>
  <c r="AB179" i="5"/>
  <c r="AB243" i="5"/>
  <c r="AB26" i="5"/>
  <c r="AB100" i="5"/>
  <c r="AB108" i="5"/>
  <c r="AB172" i="5"/>
  <c r="AB70" i="5"/>
  <c r="AB97" i="5"/>
  <c r="AB34" i="5"/>
  <c r="AB4" i="5"/>
  <c r="AB39" i="5"/>
  <c r="AB225" i="5"/>
  <c r="AB163" i="5"/>
  <c r="AB54" i="5"/>
  <c r="AB126" i="5"/>
  <c r="AB48" i="5"/>
  <c r="AB233" i="5"/>
  <c r="AB171" i="5"/>
  <c r="AB53" i="5"/>
  <c r="AB133" i="5"/>
  <c r="AB205" i="5"/>
  <c r="AB28" i="5"/>
  <c r="AB142" i="5"/>
  <c r="AB206" i="5"/>
  <c r="AB269" i="5"/>
  <c r="AB71" i="5"/>
  <c r="AB135" i="5"/>
  <c r="AB199" i="5"/>
  <c r="AB262" i="5"/>
  <c r="AB64" i="5"/>
  <c r="AB128" i="5"/>
  <c r="AB192" i="5"/>
  <c r="AB255" i="5"/>
  <c r="AB31" i="5"/>
  <c r="AB121" i="5"/>
  <c r="AB185" i="5"/>
  <c r="AB264" i="5"/>
  <c r="AB22" i="5"/>
  <c r="AB130" i="5"/>
  <c r="AB194" i="5"/>
  <c r="AB257" i="5"/>
  <c r="AB33" i="5"/>
  <c r="AB83" i="5"/>
  <c r="AB187" i="5"/>
  <c r="AB250" i="5"/>
  <c r="AB44" i="5"/>
  <c r="AB283" i="5"/>
  <c r="AB116" i="5"/>
  <c r="AB244" i="5"/>
  <c r="AB94" i="5"/>
  <c r="AB165" i="5"/>
  <c r="AB181" i="5"/>
  <c r="AB239" i="5"/>
  <c r="AB65" i="5"/>
  <c r="AB59" i="5"/>
  <c r="AB253" i="5"/>
  <c r="AB112" i="5"/>
  <c r="AB24" i="5"/>
  <c r="AB18" i="5"/>
  <c r="AB62" i="5"/>
  <c r="AB141" i="5"/>
  <c r="AB36" i="5"/>
  <c r="AB214" i="5"/>
  <c r="AB277" i="5"/>
  <c r="AB143" i="5"/>
  <c r="AB207" i="5"/>
  <c r="AB270" i="5"/>
  <c r="AB72" i="5"/>
  <c r="AB136" i="5"/>
  <c r="AB200" i="5"/>
  <c r="AB263" i="5"/>
  <c r="AB21" i="5"/>
  <c r="AB129" i="5"/>
  <c r="AB193" i="5"/>
  <c r="AB272" i="5"/>
  <c r="AB42" i="5"/>
  <c r="AB138" i="5"/>
  <c r="AB202" i="5"/>
  <c r="AB265" i="5"/>
  <c r="AB41" i="5"/>
  <c r="AB131" i="5"/>
  <c r="AB195" i="5"/>
  <c r="AB258" i="5"/>
  <c r="AB52" i="5"/>
  <c r="AB124" i="5"/>
  <c r="AB102" i="5"/>
  <c r="AB113" i="5"/>
  <c r="AB90" i="5"/>
  <c r="AB78" i="5"/>
  <c r="AB168" i="5"/>
  <c r="AB170" i="5"/>
  <c r="AB227" i="5"/>
  <c r="AB284" i="5"/>
  <c r="AB189" i="5"/>
  <c r="AB247" i="5"/>
  <c r="AB169" i="5"/>
  <c r="AB67" i="5"/>
  <c r="AB61" i="5"/>
  <c r="AB213" i="5"/>
  <c r="AB150" i="5"/>
  <c r="AB79" i="5"/>
  <c r="AB69" i="5"/>
  <c r="AB149" i="5"/>
  <c r="AB221" i="5"/>
  <c r="AB3" i="5"/>
  <c r="AB158" i="5"/>
  <c r="AB222" i="5"/>
  <c r="AB285" i="5"/>
  <c r="AB87" i="5"/>
  <c r="AB151" i="5"/>
  <c r="AB215" i="5"/>
  <c r="AB278" i="5"/>
  <c r="AB80" i="5"/>
  <c r="AB144" i="5"/>
  <c r="AB208" i="5"/>
  <c r="AB271" i="5"/>
  <c r="AB40" i="5"/>
  <c r="AB137" i="5"/>
  <c r="AB201" i="5"/>
  <c r="AB280" i="5"/>
  <c r="AB50" i="5"/>
  <c r="AB146" i="5"/>
  <c r="AB210" i="5"/>
  <c r="AB273" i="5"/>
  <c r="AB29" i="5"/>
  <c r="AB139" i="5"/>
  <c r="AB203" i="5"/>
  <c r="AB266" i="5"/>
  <c r="AB60" i="5"/>
  <c r="AB19" i="5"/>
  <c r="AB196" i="5"/>
  <c r="AB110" i="5"/>
  <c r="AB260" i="5"/>
  <c r="AB101" i="5"/>
  <c r="AB175" i="5"/>
  <c r="AB161" i="5"/>
  <c r="AB9" i="5"/>
  <c r="AB190" i="5"/>
  <c r="AB176" i="5"/>
  <c r="AB82" i="5"/>
  <c r="AB235" i="5"/>
  <c r="AB157" i="5"/>
  <c r="AB6" i="5"/>
  <c r="AB230" i="5"/>
  <c r="AB95" i="5"/>
  <c r="AB159" i="5"/>
  <c r="AB223" i="5"/>
  <c r="AB286" i="5"/>
  <c r="AB88" i="5"/>
  <c r="AB152" i="5"/>
  <c r="AB216" i="5"/>
  <c r="AB279" i="5"/>
  <c r="AB49" i="5"/>
  <c r="AB145" i="5"/>
  <c r="AB209" i="5"/>
  <c r="AB288" i="5"/>
  <c r="AB58" i="5"/>
  <c r="AB154" i="5"/>
  <c r="AB218" i="5"/>
  <c r="AB281" i="5"/>
  <c r="AB43" i="5"/>
  <c r="AB147" i="5"/>
  <c r="AB211" i="5"/>
  <c r="AB274" i="5"/>
  <c r="AB68" i="5"/>
  <c r="AB140" i="5"/>
  <c r="AB204" i="5"/>
  <c r="AB259" i="5"/>
  <c r="AB118" i="5"/>
  <c r="AB268" i="5"/>
  <c r="AB99" i="5"/>
  <c r="AB106" i="5"/>
  <c r="AB47" i="5"/>
  <c r="AB111" i="5"/>
  <c r="AB7" i="5"/>
  <c r="AB234" i="5"/>
  <c r="AB84" i="5"/>
  <c r="AB156" i="5"/>
  <c r="AB12" i="5"/>
  <c r="AB183" i="5"/>
  <c r="AB240" i="5"/>
  <c r="AB178" i="5"/>
  <c r="AB92" i="5"/>
  <c r="AB164" i="5"/>
  <c r="AB77" i="5"/>
  <c r="AB229" i="5"/>
  <c r="AB166" i="5"/>
  <c r="AB13" i="5"/>
  <c r="AB93" i="5"/>
  <c r="AB173" i="5"/>
  <c r="AB237" i="5"/>
  <c r="AB46" i="5"/>
  <c r="AB174" i="5"/>
  <c r="AB238" i="5"/>
  <c r="AB38" i="5"/>
  <c r="AB103" i="5"/>
  <c r="AB167" i="5"/>
  <c r="AB231" i="5"/>
  <c r="AB14" i="5"/>
  <c r="AB96" i="5"/>
  <c r="AB160" i="5"/>
  <c r="AB224" i="5"/>
  <c r="AB287" i="5"/>
  <c r="AB57" i="5"/>
  <c r="AB153" i="5"/>
  <c r="AB217" i="5"/>
  <c r="AB8" i="5"/>
  <c r="AB66" i="5"/>
  <c r="AB162" i="5"/>
  <c r="AB226" i="5"/>
  <c r="AB289" i="5"/>
  <c r="AB51" i="5"/>
  <c r="AB155" i="5"/>
  <c r="AB219" i="5"/>
  <c r="AB282" i="5"/>
  <c r="AB76" i="5"/>
  <c r="AB35" i="5"/>
  <c r="AB267" i="5"/>
  <c r="AB107" i="5"/>
  <c r="AB114" i="5"/>
  <c r="AF138" i="5"/>
  <c r="AF265" i="5"/>
  <c r="AF161" i="5"/>
  <c r="AF192" i="5"/>
  <c r="AF64" i="5"/>
  <c r="AF159" i="5"/>
  <c r="AF253" i="5"/>
  <c r="AF62" i="5"/>
  <c r="AF157" i="5"/>
  <c r="AF251" i="5"/>
  <c r="AF188" i="5"/>
  <c r="AF3" i="5"/>
  <c r="AF227" i="5"/>
  <c r="AF163" i="5"/>
  <c r="AF99" i="5"/>
  <c r="AF35" i="5"/>
  <c r="AF257" i="5"/>
  <c r="AF194" i="5"/>
  <c r="AF130" i="5"/>
  <c r="AF66" i="5"/>
  <c r="AF288" i="5"/>
  <c r="AF217" i="5"/>
  <c r="AF153" i="5"/>
  <c r="AF89" i="5"/>
  <c r="AF25" i="5"/>
  <c r="AF248" i="5"/>
  <c r="AF184" i="5"/>
  <c r="AF120" i="5"/>
  <c r="AF56" i="5"/>
  <c r="AF278" i="5"/>
  <c r="AF215" i="5"/>
  <c r="AF151" i="5"/>
  <c r="AF87" i="5"/>
  <c r="AF23" i="5"/>
  <c r="AF246" i="5"/>
  <c r="AF182" i="5"/>
  <c r="AF118" i="5"/>
  <c r="AF54" i="5"/>
  <c r="AF276" i="5"/>
  <c r="AF213" i="5"/>
  <c r="AF149" i="5"/>
  <c r="AF85" i="5"/>
  <c r="AF21" i="5"/>
  <c r="AF244" i="5"/>
  <c r="AF180" i="5"/>
  <c r="AF116" i="5"/>
  <c r="AF52" i="5"/>
  <c r="AF43" i="5"/>
  <c r="AF97" i="5"/>
  <c r="AF255" i="5"/>
  <c r="AF286" i="5"/>
  <c r="AF95" i="5"/>
  <c r="AF190" i="5"/>
  <c r="AF284" i="5"/>
  <c r="AF93" i="5"/>
  <c r="AF60" i="5"/>
  <c r="AF282" i="5"/>
  <c r="AF219" i="5"/>
  <c r="AF155" i="5"/>
  <c r="AF91" i="5"/>
  <c r="AF27" i="5"/>
  <c r="AF249" i="5"/>
  <c r="AF186" i="5"/>
  <c r="AF122" i="5"/>
  <c r="AF58" i="5"/>
  <c r="AF280" i="5"/>
  <c r="AF209" i="5"/>
  <c r="AF145" i="5"/>
  <c r="AF81" i="5"/>
  <c r="AF17" i="5"/>
  <c r="AF240" i="5"/>
  <c r="AF176" i="5"/>
  <c r="AF112" i="5"/>
  <c r="AF48" i="5"/>
  <c r="AF270" i="5"/>
  <c r="AF207" i="5"/>
  <c r="AF143" i="5"/>
  <c r="AF79" i="5"/>
  <c r="AF15" i="5"/>
  <c r="AF238" i="5"/>
  <c r="AF174" i="5"/>
  <c r="AF110" i="5"/>
  <c r="AF46" i="5"/>
  <c r="AF268" i="5"/>
  <c r="AF205" i="5"/>
  <c r="AF141" i="5"/>
  <c r="AF77" i="5"/>
  <c r="AF13" i="5"/>
  <c r="AF236" i="5"/>
  <c r="AF172" i="5"/>
  <c r="AF108" i="5"/>
  <c r="AF44" i="5"/>
  <c r="AF202" i="5"/>
  <c r="AF33" i="5"/>
  <c r="AF128" i="5"/>
  <c r="AF223" i="5"/>
  <c r="AF31" i="5"/>
  <c r="AF126" i="5"/>
  <c r="AF221" i="5"/>
  <c r="AF29" i="5"/>
  <c r="AF124" i="5"/>
  <c r="AF274" i="5"/>
  <c r="AF211" i="5"/>
  <c r="AF147" i="5"/>
  <c r="AF83" i="5"/>
  <c r="AF19" i="5"/>
  <c r="AF242" i="5"/>
  <c r="AF178" i="5"/>
  <c r="AF114" i="5"/>
  <c r="AF50" i="5"/>
  <c r="AF272" i="5"/>
  <c r="AF201" i="5"/>
  <c r="AF137" i="5"/>
  <c r="AF73" i="5"/>
  <c r="AF9" i="5"/>
  <c r="AF232" i="5"/>
  <c r="AF168" i="5"/>
  <c r="AF104" i="5"/>
  <c r="AF40" i="5"/>
  <c r="AF262" i="5"/>
  <c r="AF199" i="5"/>
  <c r="AF135" i="5"/>
  <c r="AF71" i="5"/>
  <c r="AF7" i="5"/>
  <c r="AF230" i="5"/>
  <c r="AF166" i="5"/>
  <c r="AF102" i="5"/>
  <c r="AF38" i="5"/>
  <c r="AF260" i="5"/>
  <c r="AF197" i="5"/>
  <c r="AF133" i="5"/>
  <c r="AF69" i="5"/>
  <c r="AF5" i="5"/>
  <c r="AF228" i="5"/>
  <c r="AF164" i="5"/>
  <c r="AF100" i="5"/>
  <c r="AF36" i="5"/>
  <c r="AF235" i="5"/>
  <c r="AF74" i="5"/>
  <c r="AF266" i="5"/>
  <c r="AF203" i="5"/>
  <c r="AF139" i="5"/>
  <c r="AF75" i="5"/>
  <c r="AF11" i="5"/>
  <c r="AF234" i="5"/>
  <c r="AF170" i="5"/>
  <c r="AF106" i="5"/>
  <c r="AF42" i="5"/>
  <c r="AF264" i="5"/>
  <c r="AF193" i="5"/>
  <c r="AF129" i="5"/>
  <c r="AF65" i="5"/>
  <c r="AF287" i="5"/>
  <c r="AF224" i="5"/>
  <c r="AF160" i="5"/>
  <c r="AF96" i="5"/>
  <c r="AF32" i="5"/>
  <c r="AF254" i="5"/>
  <c r="AF191" i="5"/>
  <c r="AF127" i="5"/>
  <c r="AF63" i="5"/>
  <c r="AF285" i="5"/>
  <c r="AF222" i="5"/>
  <c r="AF158" i="5"/>
  <c r="AF94" i="5"/>
  <c r="AF30" i="5"/>
  <c r="AF252" i="5"/>
  <c r="AF189" i="5"/>
  <c r="AF125" i="5"/>
  <c r="AF61" i="5"/>
  <c r="AF283" i="5"/>
  <c r="AF220" i="5"/>
  <c r="AF156" i="5"/>
  <c r="AF92" i="5"/>
  <c r="AF28" i="5"/>
  <c r="AF171" i="5"/>
  <c r="AF10" i="5"/>
  <c r="AF258" i="5"/>
  <c r="AF195" i="5"/>
  <c r="AF131" i="5"/>
  <c r="AF67" i="5"/>
  <c r="AF289" i="5"/>
  <c r="AF226" i="5"/>
  <c r="AF162" i="5"/>
  <c r="AF98" i="5"/>
  <c r="AF34" i="5"/>
  <c r="AF256" i="5"/>
  <c r="AF185" i="5"/>
  <c r="AF121" i="5"/>
  <c r="AF57" i="5"/>
  <c r="AF279" i="5"/>
  <c r="AF216" i="5"/>
  <c r="AF152" i="5"/>
  <c r="AF88" i="5"/>
  <c r="AF24" i="5"/>
  <c r="AF247" i="5"/>
  <c r="AF183" i="5"/>
  <c r="AF119" i="5"/>
  <c r="AF55" i="5"/>
  <c r="AF277" i="5"/>
  <c r="AF214" i="5"/>
  <c r="AF150" i="5"/>
  <c r="AF86" i="5"/>
  <c r="AF22" i="5"/>
  <c r="AF245" i="5"/>
  <c r="AF181" i="5"/>
  <c r="AF117" i="5"/>
  <c r="AF53" i="5"/>
  <c r="AF275" i="5"/>
  <c r="AF212" i="5"/>
  <c r="AF148" i="5"/>
  <c r="AF84" i="5"/>
  <c r="AF20" i="5"/>
  <c r="AF107" i="5"/>
  <c r="AF225" i="5"/>
  <c r="AF250" i="5"/>
  <c r="AF187" i="5"/>
  <c r="AF123" i="5"/>
  <c r="AF59" i="5"/>
  <c r="AF281" i="5"/>
  <c r="AF218" i="5"/>
  <c r="AF154" i="5"/>
  <c r="AF90" i="5"/>
  <c r="AF26" i="5"/>
  <c r="AF241" i="5"/>
  <c r="AF177" i="5"/>
  <c r="AF113" i="5"/>
  <c r="AF49" i="5"/>
  <c r="AF271" i="5"/>
  <c r="AF208" i="5"/>
  <c r="AF144" i="5"/>
  <c r="AF80" i="5"/>
  <c r="AF16" i="5"/>
  <c r="AF239" i="5"/>
  <c r="AF175" i="5"/>
  <c r="AF111" i="5"/>
  <c r="AF47" i="5"/>
  <c r="AF269" i="5"/>
  <c r="AF206" i="5"/>
  <c r="AF142" i="5"/>
  <c r="AF78" i="5"/>
  <c r="AF14" i="5"/>
  <c r="AF237" i="5"/>
  <c r="AF173" i="5"/>
  <c r="AF109" i="5"/>
  <c r="AF45" i="5"/>
  <c r="AF267" i="5"/>
  <c r="AF204" i="5"/>
  <c r="AF140" i="5"/>
  <c r="AF76" i="5"/>
  <c r="AF12" i="5"/>
  <c r="AF243" i="5"/>
  <c r="AF179" i="5"/>
  <c r="AF115" i="5"/>
  <c r="AF51" i="5"/>
  <c r="AF273" i="5"/>
  <c r="AF210" i="5"/>
  <c r="AF146" i="5"/>
  <c r="AF82" i="5"/>
  <c r="AF18" i="5"/>
  <c r="AF233" i="5"/>
  <c r="AF169" i="5"/>
  <c r="AF105" i="5"/>
  <c r="AF41" i="5"/>
  <c r="AF263" i="5"/>
  <c r="AF200" i="5"/>
  <c r="AF136" i="5"/>
  <c r="AF72" i="5"/>
  <c r="AF8" i="5"/>
  <c r="AF231" i="5"/>
  <c r="AF167" i="5"/>
  <c r="AF103" i="5"/>
  <c r="AF39" i="5"/>
  <c r="AF261" i="5"/>
  <c r="AF198" i="5"/>
  <c r="AF134" i="5"/>
  <c r="AF70" i="5"/>
  <c r="AF6" i="5"/>
  <c r="AF229" i="5"/>
  <c r="AF165" i="5"/>
  <c r="AF101" i="5"/>
  <c r="AF37" i="5"/>
  <c r="AF259" i="5"/>
  <c r="AF196" i="5"/>
  <c r="AF132" i="5"/>
  <c r="AF68" i="5"/>
  <c r="AF4" i="5"/>
  <c r="AB252" i="5"/>
  <c r="AB125" i="5"/>
  <c r="AB30" i="5"/>
  <c r="AB212" i="5"/>
  <c r="AB148" i="5"/>
  <c r="AB89" i="5"/>
  <c r="AB245" i="5"/>
  <c r="AB11" i="5"/>
  <c r="AB27" i="5"/>
  <c r="AB91" i="5"/>
  <c r="AB188" i="5"/>
  <c r="AB220" i="5"/>
  <c r="AB236" i="5"/>
  <c r="AB251" i="5"/>
  <c r="AB85" i="5"/>
  <c r="AB98" i="5"/>
  <c r="AB256" i="5"/>
  <c r="AB37" i="5"/>
  <c r="AB5" i="5"/>
  <c r="AB105" i="5"/>
  <c r="AB275" i="5"/>
  <c r="AB276" i="5"/>
  <c r="AB86" i="5"/>
  <c r="AB132" i="5"/>
  <c r="AB180" i="5"/>
  <c r="AB228" i="5"/>
  <c r="AA3" i="5"/>
  <c r="AH3" i="5" s="1"/>
  <c r="AQ254" i="5" l="1"/>
  <c r="AQ275" i="5"/>
  <c r="AP269" i="5"/>
  <c r="AQ103" i="5"/>
  <c r="AP254" i="5"/>
  <c r="AQ280" i="5"/>
  <c r="AQ90" i="5"/>
  <c r="AP253" i="5"/>
  <c r="AP92" i="5"/>
  <c r="AP91" i="5"/>
  <c r="AQ91" i="5"/>
  <c r="AP110" i="5"/>
  <c r="AQ110" i="5"/>
  <c r="AO110" i="5"/>
  <c r="AQ100" i="5"/>
  <c r="AO100" i="5"/>
  <c r="AP100" i="5"/>
  <c r="AO267" i="5"/>
  <c r="AQ116" i="5"/>
  <c r="AO280" i="5"/>
  <c r="AO92" i="5"/>
  <c r="AP275" i="5"/>
  <c r="AP103" i="5"/>
  <c r="AP93" i="5"/>
  <c r="AP280" i="5"/>
  <c r="AQ93" i="5"/>
  <c r="AO275" i="5"/>
  <c r="AQ85" i="5"/>
  <c r="AO93" i="5"/>
  <c r="AP85" i="5"/>
  <c r="AQ269" i="5"/>
  <c r="AP116" i="5"/>
  <c r="AO269" i="5"/>
  <c r="AP277" i="5"/>
  <c r="AQ270" i="5"/>
  <c r="AO119" i="5"/>
  <c r="AP119" i="5"/>
  <c r="AQ119" i="5"/>
  <c r="AP264" i="5"/>
  <c r="AQ289" i="5"/>
  <c r="AQ281" i="5"/>
  <c r="AO95" i="5"/>
  <c r="AO289" i="5"/>
  <c r="AP95" i="5"/>
  <c r="AP289" i="5"/>
  <c r="AQ95" i="5"/>
  <c r="AQ264" i="5"/>
  <c r="AQ263" i="5"/>
  <c r="AP288" i="5"/>
  <c r="AO263" i="5"/>
  <c r="AO238" i="5"/>
  <c r="AQ118" i="5"/>
  <c r="AQ112" i="5"/>
  <c r="AQ104" i="5"/>
  <c r="AP109" i="5"/>
  <c r="AO94" i="5"/>
  <c r="AO111" i="5"/>
  <c r="AP94" i="5"/>
  <c r="AP111" i="5"/>
  <c r="AQ111" i="5"/>
  <c r="AP263" i="5"/>
  <c r="AQ250" i="5"/>
  <c r="AP104" i="5"/>
  <c r="AO112" i="5"/>
  <c r="AQ288" i="5"/>
  <c r="AP112" i="5"/>
  <c r="AQ109" i="5"/>
  <c r="AO118" i="5"/>
  <c r="AQ94" i="5"/>
  <c r="AP118" i="5"/>
  <c r="AQ282" i="5"/>
  <c r="AQ92" i="5"/>
  <c r="AO107" i="5"/>
  <c r="AQ5" i="5"/>
  <c r="AQ261" i="5"/>
  <c r="AP107" i="5"/>
  <c r="AQ107" i="5"/>
  <c r="AQ121" i="5"/>
  <c r="AO5" i="5"/>
  <c r="AO261" i="5"/>
  <c r="AO121" i="5"/>
  <c r="AP121" i="5"/>
  <c r="AP90" i="5"/>
  <c r="AO91" i="5"/>
  <c r="AP50" i="5"/>
  <c r="AO250" i="5"/>
  <c r="AO256" i="5"/>
  <c r="AQ256" i="5"/>
  <c r="AQ238" i="5"/>
  <c r="AP250" i="5"/>
  <c r="AP256" i="5"/>
  <c r="AQ35" i="5"/>
  <c r="AQ160" i="5"/>
  <c r="AQ49" i="5"/>
  <c r="AQ244" i="5"/>
  <c r="AQ125" i="5"/>
  <c r="AQ88" i="5"/>
  <c r="AQ108" i="5"/>
  <c r="AQ55" i="5"/>
  <c r="AP283" i="5"/>
  <c r="AO265" i="5"/>
  <c r="AQ98" i="5"/>
  <c r="AQ226" i="5"/>
  <c r="AQ19" i="5"/>
  <c r="AQ31" i="5"/>
  <c r="AP108" i="5"/>
  <c r="AO252" i="5"/>
  <c r="AO13" i="5"/>
  <c r="AO125" i="5"/>
  <c r="AO55" i="5"/>
  <c r="AO88" i="5"/>
  <c r="AO249" i="5"/>
  <c r="AQ222" i="5"/>
  <c r="AQ83" i="5"/>
  <c r="AP98" i="5"/>
  <c r="AQ174" i="5"/>
  <c r="AP274" i="5"/>
  <c r="AP252" i="5"/>
  <c r="AP13" i="5"/>
  <c r="AP125" i="5"/>
  <c r="AP88" i="5"/>
  <c r="AP249" i="5"/>
  <c r="AO239" i="5"/>
  <c r="AQ50" i="5"/>
  <c r="AQ143" i="5"/>
  <c r="AQ255" i="5"/>
  <c r="AQ232" i="5"/>
  <c r="AQ279" i="5"/>
  <c r="AQ41" i="5"/>
  <c r="AQ97" i="5"/>
  <c r="AQ45" i="5"/>
  <c r="AQ182" i="5"/>
  <c r="AP124" i="5"/>
  <c r="AP255" i="5"/>
  <c r="AQ124" i="5"/>
  <c r="AQ239" i="5"/>
  <c r="AO143" i="5"/>
  <c r="AO113" i="5"/>
  <c r="AP106" i="5"/>
  <c r="AQ105" i="5"/>
  <c r="AQ123" i="5"/>
  <c r="AO257" i="5"/>
  <c r="AQ101" i="5"/>
  <c r="AQ36" i="5"/>
  <c r="AP183" i="5"/>
  <c r="AQ106" i="5"/>
  <c r="AQ274" i="5"/>
  <c r="AP105" i="5"/>
  <c r="AQ12" i="5"/>
  <c r="AO101" i="5"/>
  <c r="AO123" i="5"/>
  <c r="AO262" i="5"/>
  <c r="AQ11" i="5"/>
  <c r="AP287" i="5"/>
  <c r="AP101" i="5"/>
  <c r="AP123" i="5"/>
  <c r="AQ251" i="5"/>
  <c r="AQ9" i="5"/>
  <c r="AQ117" i="5"/>
  <c r="AP48" i="5"/>
  <c r="AO278" i="5"/>
  <c r="AO48" i="5"/>
  <c r="AQ266" i="5"/>
  <c r="AQ278" i="5"/>
  <c r="AQ277" i="5"/>
  <c r="AQ48" i="5"/>
  <c r="AP266" i="5"/>
  <c r="AP278" i="5"/>
  <c r="AQ212" i="5"/>
  <c r="AQ203" i="5"/>
  <c r="AQ130" i="5"/>
  <c r="AO130" i="5"/>
  <c r="AO102" i="5"/>
  <c r="AO89" i="5"/>
  <c r="AQ178" i="5"/>
  <c r="AQ137" i="5"/>
  <c r="AQ69" i="5"/>
  <c r="AQ102" i="5"/>
  <c r="AQ54" i="5"/>
  <c r="AQ15" i="5"/>
  <c r="AP117" i="5"/>
  <c r="AP130" i="5"/>
  <c r="AP102" i="5"/>
  <c r="AP89" i="5"/>
  <c r="AQ89" i="5"/>
  <c r="AQ87" i="5"/>
  <c r="AP270" i="5"/>
  <c r="AO115" i="5"/>
  <c r="AO87" i="5"/>
  <c r="AO266" i="5"/>
  <c r="AQ115" i="5"/>
  <c r="AP251" i="5"/>
  <c r="AP115" i="5"/>
  <c r="AP87" i="5"/>
  <c r="AQ4" i="5"/>
  <c r="AQ220" i="5"/>
  <c r="AQ149" i="5"/>
  <c r="AP267" i="5"/>
  <c r="AQ175" i="5"/>
  <c r="AQ247" i="5"/>
  <c r="AQ113" i="5"/>
  <c r="AQ265" i="5"/>
  <c r="AQ283" i="5"/>
  <c r="AO164" i="5"/>
  <c r="AO260" i="5"/>
  <c r="AO259" i="5"/>
  <c r="AO99" i="5"/>
  <c r="AO286" i="5"/>
  <c r="AO175" i="5"/>
  <c r="AO96" i="5"/>
  <c r="AQ96" i="5"/>
  <c r="AQ172" i="5"/>
  <c r="AQ249" i="5"/>
  <c r="AP260" i="5"/>
  <c r="AP259" i="5"/>
  <c r="AP99" i="5"/>
  <c r="AP286" i="5"/>
  <c r="AP96" i="5"/>
  <c r="AQ259" i="5"/>
  <c r="AQ260" i="5"/>
  <c r="AQ252" i="5"/>
  <c r="AQ114" i="5"/>
  <c r="AQ13" i="5"/>
  <c r="AQ286" i="5"/>
  <c r="AQ273" i="5"/>
  <c r="AQ122" i="5"/>
  <c r="AQ120" i="5"/>
  <c r="AP268" i="5"/>
  <c r="AP113" i="5"/>
  <c r="AP265" i="5"/>
  <c r="AQ99" i="5"/>
  <c r="AQ20" i="5"/>
  <c r="AP97" i="5"/>
  <c r="AP122" i="5"/>
  <c r="AO86" i="5"/>
  <c r="AO120" i="5"/>
  <c r="AO273" i="5"/>
  <c r="AP114" i="5"/>
  <c r="AO268" i="5"/>
  <c r="AQ86" i="5"/>
  <c r="AQ267" i="5"/>
  <c r="AQ268" i="5"/>
  <c r="AQ193" i="5"/>
  <c r="AQ71" i="5"/>
  <c r="AQ197" i="5"/>
  <c r="AP86" i="5"/>
  <c r="AP120" i="5"/>
  <c r="AP273" i="5"/>
  <c r="AP261" i="5"/>
  <c r="AP276" i="5"/>
  <c r="AP279" i="5"/>
  <c r="AP271" i="5"/>
  <c r="AP258" i="5"/>
  <c r="AP284" i="5"/>
  <c r="AQ287" i="5"/>
  <c r="AP262" i="5"/>
  <c r="AQ257" i="5"/>
  <c r="AO285" i="5"/>
  <c r="AP272" i="5"/>
  <c r="AQ138" i="5"/>
  <c r="AO36" i="5"/>
  <c r="AQ253" i="5"/>
  <c r="AQ272" i="5"/>
  <c r="AQ262" i="5"/>
  <c r="AQ271" i="5"/>
  <c r="AO272" i="5"/>
  <c r="AO281" i="5"/>
  <c r="AO253" i="5"/>
  <c r="AP257" i="5"/>
  <c r="AQ183" i="5"/>
  <c r="AQ42" i="5"/>
  <c r="AQ285" i="5"/>
  <c r="AQ284" i="5"/>
  <c r="AQ258" i="5"/>
  <c r="AP281" i="5"/>
  <c r="AO279" i="5"/>
  <c r="AP282" i="5"/>
  <c r="AP5" i="5"/>
  <c r="AP169" i="5"/>
  <c r="AQ276" i="5"/>
  <c r="AO284" i="5"/>
  <c r="AO271" i="5"/>
  <c r="AO42" i="5"/>
  <c r="AO46" i="5"/>
  <c r="AO247" i="5"/>
  <c r="AO276" i="5"/>
  <c r="AP285" i="5"/>
  <c r="AO75" i="5"/>
  <c r="AO169" i="5"/>
  <c r="AQ236" i="5"/>
  <c r="AQ148" i="5"/>
  <c r="AQ76" i="5"/>
  <c r="AQ46" i="5"/>
  <c r="AQ164" i="5"/>
  <c r="AQ221" i="5"/>
  <c r="AQ169" i="5"/>
  <c r="AQ75" i="5"/>
  <c r="AP247" i="5"/>
  <c r="AQ140" i="5"/>
  <c r="AQ157" i="5"/>
  <c r="AQ202" i="5"/>
  <c r="AQ17" i="5"/>
  <c r="AQ167" i="5"/>
  <c r="AQ29" i="5"/>
  <c r="AQ40" i="5"/>
  <c r="AQ136" i="5"/>
  <c r="AQ141" i="5"/>
  <c r="AQ73" i="5"/>
  <c r="AO157" i="5"/>
  <c r="AQ235" i="5"/>
  <c r="AQ52" i="5"/>
  <c r="AQ185" i="5"/>
  <c r="AQ134" i="5"/>
  <c r="AQ176" i="5"/>
  <c r="AQ196" i="5"/>
  <c r="AO194" i="5"/>
  <c r="AQ229" i="5"/>
  <c r="AQ24" i="5"/>
  <c r="AQ243" i="5"/>
  <c r="AP176" i="5"/>
  <c r="AP194" i="5"/>
  <c r="AQ155" i="5"/>
  <c r="AQ80" i="5"/>
  <c r="AQ129" i="5"/>
  <c r="AQ194" i="5"/>
  <c r="AQ228" i="5"/>
  <c r="AP233" i="5"/>
  <c r="AQ233" i="5"/>
  <c r="AO139" i="5"/>
  <c r="AQ139" i="5"/>
  <c r="AQ44" i="5"/>
  <c r="AO228" i="5"/>
  <c r="AQ70" i="5"/>
  <c r="AQ27" i="5"/>
  <c r="AQ132" i="5"/>
  <c r="AQ165" i="5"/>
  <c r="AQ156" i="5"/>
  <c r="AQ146" i="5"/>
  <c r="AQ144" i="5"/>
  <c r="AQ61" i="5"/>
  <c r="AQ168" i="5"/>
  <c r="AQ195" i="5"/>
  <c r="AQ171" i="5"/>
  <c r="AQ74" i="5"/>
  <c r="AQ16" i="5"/>
  <c r="AQ77" i="5"/>
  <c r="AQ3" i="5"/>
  <c r="AQ179" i="5"/>
  <c r="AQ191" i="5"/>
  <c r="AQ60" i="5"/>
  <c r="AQ78" i="5"/>
  <c r="AQ14" i="5"/>
  <c r="AQ237" i="5"/>
  <c r="AQ204" i="5"/>
  <c r="AQ216" i="5"/>
  <c r="AQ25" i="5"/>
  <c r="AQ23" i="5"/>
  <c r="AQ65" i="5"/>
  <c r="AQ246" i="5"/>
  <c r="AQ47" i="5"/>
  <c r="AQ205" i="5"/>
  <c r="AQ163" i="5"/>
  <c r="AQ184" i="5"/>
  <c r="AQ198" i="5"/>
  <c r="AQ30" i="5"/>
  <c r="AQ152" i="5"/>
  <c r="AQ151" i="5"/>
  <c r="AQ22" i="5"/>
  <c r="AQ180" i="5"/>
  <c r="AQ57" i="5"/>
  <c r="AQ72" i="5"/>
  <c r="AQ199" i="5"/>
  <c r="AQ133" i="5"/>
  <c r="AQ219" i="5"/>
  <c r="AQ173" i="5"/>
  <c r="AQ189" i="5"/>
  <c r="AQ200" i="5"/>
  <c r="AQ248" i="5"/>
  <c r="AQ38" i="5"/>
  <c r="AQ210" i="5"/>
  <c r="AQ208" i="5"/>
  <c r="AQ213" i="5"/>
  <c r="AQ170" i="5"/>
  <c r="AQ18" i="5"/>
  <c r="AQ53" i="5"/>
  <c r="AQ39" i="5"/>
  <c r="AQ32" i="5"/>
  <c r="AQ56" i="5"/>
  <c r="AQ10" i="5"/>
  <c r="AQ177" i="5"/>
  <c r="AQ66" i="5"/>
  <c r="AQ234" i="5"/>
  <c r="AQ230" i="5"/>
  <c r="AQ161" i="5"/>
  <c r="AQ81" i="5"/>
  <c r="AQ8" i="5"/>
  <c r="AQ7" i="5"/>
  <c r="AQ201" i="5"/>
  <c r="AQ142" i="5"/>
  <c r="AQ242" i="5"/>
  <c r="AQ34" i="5"/>
  <c r="AQ188" i="5"/>
  <c r="AQ154" i="5"/>
  <c r="AQ64" i="5"/>
  <c r="AQ82" i="5"/>
  <c r="AQ150" i="5"/>
  <c r="AQ227" i="5"/>
  <c r="AQ62" i="5"/>
  <c r="AO168" i="5"/>
  <c r="AP168" i="5"/>
  <c r="AO213" i="5"/>
  <c r="AP213" i="5"/>
  <c r="AO65" i="5"/>
  <c r="AP65" i="5"/>
  <c r="AO32" i="5"/>
  <c r="AP32" i="5"/>
  <c r="AO205" i="5"/>
  <c r="AO57" i="5"/>
  <c r="AO152" i="5"/>
  <c r="AP152" i="5"/>
  <c r="AO133" i="5"/>
  <c r="AP204" i="5"/>
  <c r="AO204" i="5"/>
  <c r="AO144" i="5"/>
  <c r="AP144" i="5"/>
  <c r="AO189" i="5"/>
  <c r="AO41" i="5"/>
  <c r="AO200" i="5"/>
  <c r="AP200" i="5"/>
  <c r="AO77" i="5"/>
  <c r="AP77" i="5"/>
  <c r="AO198" i="5"/>
  <c r="AP198" i="5"/>
  <c r="AO74" i="5"/>
  <c r="AP74" i="5"/>
  <c r="AO146" i="5"/>
  <c r="AO219" i="5"/>
  <c r="AO180" i="5"/>
  <c r="AO45" i="5"/>
  <c r="AP45" i="5"/>
  <c r="AO3" i="5"/>
  <c r="AP3" i="5"/>
  <c r="AO182" i="5"/>
  <c r="AP182" i="5"/>
  <c r="AO40" i="5"/>
  <c r="AP40" i="5"/>
  <c r="AO149" i="5"/>
  <c r="AP220" i="5"/>
  <c r="AO220" i="5"/>
  <c r="AO129" i="5"/>
  <c r="AP129" i="5"/>
  <c r="AO141" i="5"/>
  <c r="AO212" i="5"/>
  <c r="AO24" i="5"/>
  <c r="AP24" i="5"/>
  <c r="AO243" i="5"/>
  <c r="AO140" i="5"/>
  <c r="AO80" i="5"/>
  <c r="AP80" i="5"/>
  <c r="AO235" i="5"/>
  <c r="AO196" i="5"/>
  <c r="AO136" i="5"/>
  <c r="AP136" i="5"/>
  <c r="AO167" i="5"/>
  <c r="AO134" i="5"/>
  <c r="AO29" i="5"/>
  <c r="AP29" i="5"/>
  <c r="AO185" i="5"/>
  <c r="AP185" i="5"/>
  <c r="AO155" i="5"/>
  <c r="AO52" i="5"/>
  <c r="AO202" i="5"/>
  <c r="AP202" i="5"/>
  <c r="AO229" i="5"/>
  <c r="AP229" i="5"/>
  <c r="AO17" i="5"/>
  <c r="AO137" i="5"/>
  <c r="AP137" i="5"/>
  <c r="AO195" i="5"/>
  <c r="AP195" i="5"/>
  <c r="AO156" i="5"/>
  <c r="AO178" i="5"/>
  <c r="AP178" i="5"/>
  <c r="AO69" i="5"/>
  <c r="AO148" i="5"/>
  <c r="AO170" i="5"/>
  <c r="AP179" i="5"/>
  <c r="AO179" i="5"/>
  <c r="AP76" i="5"/>
  <c r="AO76" i="5"/>
  <c r="AO16" i="5"/>
  <c r="AP16" i="5"/>
  <c r="AO171" i="5"/>
  <c r="AO132" i="5"/>
  <c r="AO72" i="5"/>
  <c r="AP72" i="5"/>
  <c r="AO15" i="5"/>
  <c r="AO70" i="5"/>
  <c r="AP70" i="5"/>
  <c r="AO54" i="5"/>
  <c r="AP54" i="5"/>
  <c r="AO61" i="5"/>
  <c r="AO27" i="5"/>
  <c r="AO191" i="5"/>
  <c r="AO138" i="5"/>
  <c r="AP138" i="5"/>
  <c r="AO165" i="5"/>
  <c r="AP165" i="5"/>
  <c r="AP236" i="5"/>
  <c r="AO236" i="5"/>
  <c r="AO186" i="5"/>
  <c r="AP186" i="5"/>
  <c r="AO131" i="5"/>
  <c r="AP131" i="5"/>
  <c r="AP28" i="5"/>
  <c r="AO28" i="5"/>
  <c r="AP217" i="5"/>
  <c r="AO217" i="5"/>
  <c r="AO187" i="5"/>
  <c r="AP187" i="5"/>
  <c r="AP84" i="5"/>
  <c r="AO84" i="5"/>
  <c r="AP209" i="5"/>
  <c r="AO209" i="5"/>
  <c r="AO51" i="5"/>
  <c r="AP51" i="5"/>
  <c r="AO215" i="5"/>
  <c r="AP215" i="5"/>
  <c r="AO162" i="5"/>
  <c r="AP162" i="5"/>
  <c r="AP43" i="5"/>
  <c r="AO43" i="5"/>
  <c r="AP68" i="5"/>
  <c r="AO68" i="5"/>
  <c r="AO37" i="5"/>
  <c r="AP37" i="5"/>
  <c r="AO245" i="5"/>
  <c r="AP245" i="5"/>
  <c r="AO6" i="5"/>
  <c r="AP6" i="5"/>
  <c r="AO192" i="5"/>
  <c r="AP192" i="5"/>
  <c r="AO159" i="5"/>
  <c r="AP159" i="5"/>
  <c r="AO190" i="5"/>
  <c r="AP190" i="5"/>
  <c r="AO58" i="5"/>
  <c r="AP58" i="5"/>
  <c r="AP20" i="5"/>
  <c r="AO20" i="5"/>
  <c r="AP211" i="5"/>
  <c r="AO211" i="5"/>
  <c r="AO172" i="5"/>
  <c r="AQ225" i="5"/>
  <c r="AP225" i="5"/>
  <c r="AO225" i="5"/>
  <c r="AQ67" i="5"/>
  <c r="AO67" i="5"/>
  <c r="AP67" i="5"/>
  <c r="AP231" i="5"/>
  <c r="AO231" i="5"/>
  <c r="AO153" i="5"/>
  <c r="AP153" i="5"/>
  <c r="AO59" i="5"/>
  <c r="AP59" i="5"/>
  <c r="AO223" i="5"/>
  <c r="AP223" i="5"/>
  <c r="AQ145" i="5"/>
  <c r="AO145" i="5"/>
  <c r="AP145" i="5"/>
  <c r="AO214" i="5"/>
  <c r="AP214" i="5"/>
  <c r="AO63" i="5"/>
  <c r="AP63" i="5"/>
  <c r="AO240" i="5"/>
  <c r="AP240" i="5"/>
  <c r="AO206" i="5"/>
  <c r="AP206" i="5"/>
  <c r="AO207" i="5"/>
  <c r="AP207" i="5"/>
  <c r="AO218" i="5"/>
  <c r="AP218" i="5"/>
  <c r="AQ181" i="5"/>
  <c r="AO181" i="5"/>
  <c r="AP181" i="5"/>
  <c r="AO33" i="5"/>
  <c r="AP33" i="5"/>
  <c r="AO128" i="5"/>
  <c r="AP128" i="5"/>
  <c r="AO79" i="5"/>
  <c r="AP79" i="5"/>
  <c r="AO126" i="5"/>
  <c r="AP126" i="5"/>
  <c r="AO21" i="5"/>
  <c r="AP21" i="5"/>
  <c r="AP241" i="5"/>
  <c r="AO241" i="5"/>
  <c r="AP147" i="5"/>
  <c r="AO147" i="5"/>
  <c r="AO161" i="5"/>
  <c r="AP161" i="5"/>
  <c r="AO230" i="5"/>
  <c r="AP230" i="5"/>
  <c r="AO34" i="5"/>
  <c r="AP34" i="5"/>
  <c r="AO8" i="5"/>
  <c r="AO222" i="5"/>
  <c r="AO242" i="5"/>
  <c r="AO82" i="5"/>
  <c r="AO150" i="5"/>
  <c r="AO234" i="5"/>
  <c r="AP234" i="5"/>
  <c r="AO201" i="5"/>
  <c r="AO142" i="5"/>
  <c r="AO7" i="5"/>
  <c r="AO154" i="5"/>
  <c r="AP154" i="5"/>
  <c r="AO227" i="5"/>
  <c r="AP227" i="5"/>
  <c r="AP188" i="5"/>
  <c r="AO188" i="5"/>
  <c r="AO64" i="5"/>
  <c r="AP64" i="5"/>
  <c r="AO66" i="5"/>
  <c r="AO62" i="5"/>
  <c r="AO81" i="5"/>
  <c r="AO177" i="5"/>
  <c r="AP177" i="5"/>
  <c r="AP83" i="5"/>
  <c r="AO83" i="5"/>
  <c r="AO135" i="5"/>
  <c r="AP135" i="5"/>
  <c r="AQ166" i="5"/>
  <c r="AO166" i="5"/>
  <c r="AP166" i="5"/>
  <c r="AO224" i="5"/>
  <c r="AP224" i="5"/>
  <c r="AO127" i="5"/>
  <c r="AP127" i="5"/>
  <c r="AO158" i="5"/>
  <c r="AP158" i="5"/>
  <c r="AO26" i="5"/>
  <c r="AP26" i="5"/>
  <c r="AO31" i="5"/>
  <c r="AP31" i="5"/>
  <c r="AO22" i="5"/>
  <c r="AP22" i="5"/>
  <c r="AO18" i="5"/>
  <c r="AO4" i="5"/>
  <c r="AO78" i="5"/>
  <c r="AO226" i="5"/>
  <c r="AO248" i="5"/>
  <c r="AP248" i="5"/>
  <c r="AO163" i="5"/>
  <c r="AP163" i="5"/>
  <c r="AP60" i="5"/>
  <c r="AO60" i="5"/>
  <c r="AO53" i="5"/>
  <c r="AP53" i="5"/>
  <c r="AO237" i="5"/>
  <c r="AO25" i="5"/>
  <c r="AO184" i="5"/>
  <c r="AP184" i="5"/>
  <c r="AO151" i="5"/>
  <c r="AP151" i="5"/>
  <c r="AP19" i="5"/>
  <c r="AO19" i="5"/>
  <c r="AO232" i="5"/>
  <c r="AP232" i="5"/>
  <c r="AO47" i="5"/>
  <c r="AO38" i="5"/>
  <c r="AP38" i="5"/>
  <c r="AO160" i="5"/>
  <c r="AP160" i="5"/>
  <c r="AO39" i="5"/>
  <c r="AO30" i="5"/>
  <c r="AO216" i="5"/>
  <c r="AP216" i="5"/>
  <c r="AO197" i="5"/>
  <c r="AO49" i="5"/>
  <c r="AP49" i="5"/>
  <c r="AO208" i="5"/>
  <c r="AP208" i="5"/>
  <c r="AO23" i="5"/>
  <c r="AO14" i="5"/>
  <c r="AO10" i="5"/>
  <c r="AO193" i="5"/>
  <c r="AP193" i="5"/>
  <c r="AO35" i="5"/>
  <c r="AO199" i="5"/>
  <c r="AP199" i="5"/>
  <c r="AO210" i="5"/>
  <c r="AP210" i="5"/>
  <c r="AO173" i="5"/>
  <c r="AO244" i="5"/>
  <c r="AO56" i="5"/>
  <c r="AP56" i="5"/>
  <c r="AO71" i="5"/>
  <c r="AP71" i="5"/>
  <c r="AO246" i="5"/>
  <c r="AP246" i="5"/>
  <c r="AQ224" i="5"/>
  <c r="AQ33" i="5"/>
  <c r="AQ135" i="5"/>
  <c r="AQ131" i="5"/>
  <c r="AQ28" i="5"/>
  <c r="AQ209" i="5"/>
  <c r="AQ215" i="5"/>
  <c r="AQ162" i="5"/>
  <c r="AQ245" i="5"/>
  <c r="AQ192" i="5"/>
  <c r="AQ211" i="5"/>
  <c r="AH180" i="5"/>
  <c r="AJ180" i="5" s="1"/>
  <c r="AH61" i="5"/>
  <c r="AP61" i="5" s="1"/>
  <c r="AH155" i="5"/>
  <c r="AP155" i="5" s="1"/>
  <c r="AQ159" i="5"/>
  <c r="AH140" i="5"/>
  <c r="AP140" i="5" s="1"/>
  <c r="AQ206" i="5"/>
  <c r="AQ207" i="5"/>
  <c r="AQ79" i="5"/>
  <c r="AQ126" i="5"/>
  <c r="AQ21" i="5"/>
  <c r="AQ147" i="5"/>
  <c r="AH69" i="5"/>
  <c r="AJ69" i="5" s="1"/>
  <c r="AH73" i="5"/>
  <c r="AQ217" i="5"/>
  <c r="AQ58" i="5"/>
  <c r="AH36" i="5"/>
  <c r="AP36" i="5" s="1"/>
  <c r="AH30" i="5"/>
  <c r="AP30" i="5" s="1"/>
  <c r="AH143" i="5"/>
  <c r="AH25" i="5"/>
  <c r="AP25" i="5" s="1"/>
  <c r="AH17" i="5"/>
  <c r="AP17" i="5" s="1"/>
  <c r="AQ37" i="5"/>
  <c r="AQ218" i="5"/>
  <c r="AQ127" i="5"/>
  <c r="AQ158" i="5"/>
  <c r="AQ26" i="5"/>
  <c r="AQ84" i="5"/>
  <c r="AQ68" i="5"/>
  <c r="AH244" i="5"/>
  <c r="AJ244" i="5" s="1"/>
  <c r="AH157" i="5"/>
  <c r="AH57" i="5"/>
  <c r="AP57" i="5" s="1"/>
  <c r="AQ186" i="5"/>
  <c r="AH132" i="5"/>
  <c r="AJ132" i="5" s="1"/>
  <c r="AH141" i="5"/>
  <c r="AP141" i="5" s="1"/>
  <c r="AH66" i="5"/>
  <c r="AP66" i="5" s="1"/>
  <c r="AH75" i="5"/>
  <c r="AP75" i="5" s="1"/>
  <c r="AH205" i="5"/>
  <c r="AJ205" i="5" s="1"/>
  <c r="AH235" i="5"/>
  <c r="AP235" i="5" s="1"/>
  <c r="AH150" i="5"/>
  <c r="AP150" i="5" s="1"/>
  <c r="AH15" i="5"/>
  <c r="AP15" i="5" s="1"/>
  <c r="AH47" i="5"/>
  <c r="AJ47" i="5" s="1"/>
  <c r="AH239" i="5"/>
  <c r="AP239" i="5" s="1"/>
  <c r="AH201" i="5"/>
  <c r="AJ201" i="5" s="1"/>
  <c r="AQ63" i="5"/>
  <c r="AH203" i="5"/>
  <c r="AP203" i="5" s="1"/>
  <c r="AH164" i="5"/>
  <c r="AP164" i="5" s="1"/>
  <c r="AH237" i="5"/>
  <c r="AJ237" i="5" s="1"/>
  <c r="AH134" i="5"/>
  <c r="AJ134" i="5" s="1"/>
  <c r="AQ187" i="5"/>
  <c r="AQ43" i="5"/>
  <c r="AH14" i="5"/>
  <c r="AP14" i="5" s="1"/>
  <c r="AQ153" i="5"/>
  <c r="AH219" i="5"/>
  <c r="AP219" i="5" s="1"/>
  <c r="AH189" i="5"/>
  <c r="AJ189" i="5" s="1"/>
  <c r="AH78" i="5"/>
  <c r="AJ78" i="5" s="1"/>
  <c r="AH7" i="5"/>
  <c r="AP7" i="5" s="1"/>
  <c r="AH171" i="5"/>
  <c r="AJ171" i="5" s="1"/>
  <c r="AH44" i="5"/>
  <c r="AH226" i="5"/>
  <c r="AP226" i="5" s="1"/>
  <c r="AH221" i="5"/>
  <c r="AP221" i="5" s="1"/>
  <c r="AQ214" i="5"/>
  <c r="AH10" i="5"/>
  <c r="AJ10" i="5" s="1"/>
  <c r="AH242" i="5"/>
  <c r="AP242" i="5" s="1"/>
  <c r="AH175" i="5"/>
  <c r="AP175" i="5" s="1"/>
  <c r="AQ190" i="5"/>
  <c r="AQ59" i="5"/>
  <c r="AH4" i="5"/>
  <c r="AJ4" i="5" s="1"/>
  <c r="AH196" i="5"/>
  <c r="AJ196" i="5" s="1"/>
  <c r="AH35" i="5"/>
  <c r="AP35" i="5" s="1"/>
  <c r="AH142" i="5"/>
  <c r="AJ142" i="5" s="1"/>
  <c r="AH170" i="5"/>
  <c r="AP170" i="5" s="1"/>
  <c r="AH156" i="5"/>
  <c r="AP156" i="5" s="1"/>
  <c r="AH212" i="5"/>
  <c r="AJ212" i="5" s="1"/>
  <c r="AH82" i="5"/>
  <c r="AP82" i="5" s="1"/>
  <c r="AH243" i="5"/>
  <c r="AP243" i="5" s="1"/>
  <c r="AH173" i="5"/>
  <c r="AP173" i="5" s="1"/>
  <c r="AH42" i="5"/>
  <c r="AH139" i="5"/>
  <c r="AP139" i="5" s="1"/>
  <c r="AH46" i="5"/>
  <c r="AP46" i="5" s="1"/>
  <c r="AH222" i="5"/>
  <c r="AP222" i="5" s="1"/>
  <c r="AH23" i="5"/>
  <c r="AJ23" i="5" s="1"/>
  <c r="AH55" i="5"/>
  <c r="AP55" i="5" s="1"/>
  <c r="AH8" i="5"/>
  <c r="AP8" i="5" s="1"/>
  <c r="AH41" i="5"/>
  <c r="AP41" i="5" s="1"/>
  <c r="AH81" i="5"/>
  <c r="AJ81" i="5" s="1"/>
  <c r="AQ128" i="5"/>
  <c r="AQ240" i="5"/>
  <c r="AH62" i="5"/>
  <c r="AJ62" i="5" s="1"/>
  <c r="AH52" i="5"/>
  <c r="AJ52" i="5" s="1"/>
  <c r="AH12" i="5"/>
  <c r="AH133" i="5"/>
  <c r="AP133" i="5" s="1"/>
  <c r="AH238" i="5"/>
  <c r="AH9" i="5"/>
  <c r="AP9" i="5" s="1"/>
  <c r="AH191" i="5"/>
  <c r="AP191" i="5" s="1"/>
  <c r="AQ51" i="5"/>
  <c r="AQ223" i="5"/>
  <c r="AH228" i="5"/>
  <c r="AP228" i="5" s="1"/>
  <c r="AH27" i="5"/>
  <c r="AP27" i="5" s="1"/>
  <c r="AH18" i="5"/>
  <c r="AP18" i="5" s="1"/>
  <c r="AH39" i="5"/>
  <c r="AP39" i="5" s="1"/>
  <c r="AH11" i="5"/>
  <c r="AP11" i="5" s="1"/>
  <c r="AH146" i="5"/>
  <c r="AJ146" i="5" s="1"/>
  <c r="AH167" i="5"/>
  <c r="AP167" i="5" s="1"/>
  <c r="AH197" i="5"/>
  <c r="AP197" i="5" s="1"/>
  <c r="AH172" i="5"/>
  <c r="AP172" i="5" s="1"/>
  <c r="AH148" i="5"/>
  <c r="AJ148" i="5" s="1"/>
  <c r="AH174" i="5"/>
  <c r="AH149" i="5"/>
  <c r="AP149" i="5" s="1"/>
  <c r="AQ241" i="5"/>
  <c r="AQ6" i="5"/>
  <c r="AQ231" i="5"/>
  <c r="AC76" i="5"/>
  <c r="AR76" i="5" s="1"/>
  <c r="AJ76" i="5"/>
  <c r="AC10" i="5"/>
  <c r="AR10" i="5" s="1"/>
  <c r="AC274" i="5"/>
  <c r="AR274" i="5" s="1"/>
  <c r="AJ274" i="5"/>
  <c r="AC187" i="5"/>
  <c r="AR187" i="5" s="1"/>
  <c r="AJ187" i="5"/>
  <c r="AC83" i="5"/>
  <c r="AR83" i="5" s="1"/>
  <c r="AC33" i="5"/>
  <c r="AR33" i="5" s="1"/>
  <c r="AJ33" i="5"/>
  <c r="AC289" i="5"/>
  <c r="AR289" i="5" s="1"/>
  <c r="AJ289" i="5"/>
  <c r="AC202" i="5"/>
  <c r="AR202" i="5" s="1"/>
  <c r="AJ202" i="5"/>
  <c r="AC138" i="5"/>
  <c r="AR138" i="5" s="1"/>
  <c r="AJ138" i="5"/>
  <c r="AC42" i="5"/>
  <c r="AR42" i="5" s="1"/>
  <c r="AC217" i="5"/>
  <c r="AR217" i="5" s="1"/>
  <c r="AJ217" i="5"/>
  <c r="AC153" i="5"/>
  <c r="AR153" i="5" s="1"/>
  <c r="AJ153" i="5"/>
  <c r="AC57" i="5"/>
  <c r="AR57" i="5" s="1"/>
  <c r="AC7" i="5"/>
  <c r="AR7" i="5" s="1"/>
  <c r="AC271" i="5"/>
  <c r="AR271" i="5" s="1"/>
  <c r="AJ271" i="5"/>
  <c r="AC248" i="5"/>
  <c r="AR248" i="5" s="1"/>
  <c r="AJ248" i="5"/>
  <c r="AC184" i="5"/>
  <c r="AR184" i="5" s="1"/>
  <c r="AC120" i="5"/>
  <c r="AR120" i="5" s="1"/>
  <c r="AJ120" i="5"/>
  <c r="AC56" i="5"/>
  <c r="AR56" i="5" s="1"/>
  <c r="AJ56" i="5"/>
  <c r="AC223" i="5"/>
  <c r="AR223" i="5" s="1"/>
  <c r="AJ223" i="5"/>
  <c r="AC159" i="5"/>
  <c r="AR159" i="5" s="1"/>
  <c r="AJ159" i="5"/>
  <c r="AC95" i="5"/>
  <c r="AR95" i="5" s="1"/>
  <c r="AJ95" i="5"/>
  <c r="AC13" i="5"/>
  <c r="AR13" i="5" s="1"/>
  <c r="AJ13" i="5"/>
  <c r="AC277" i="5"/>
  <c r="AR277" i="5" s="1"/>
  <c r="AJ277" i="5"/>
  <c r="AC190" i="5"/>
  <c r="AR190" i="5" s="1"/>
  <c r="AJ190" i="5"/>
  <c r="AC126" i="5"/>
  <c r="AR126" i="5" s="1"/>
  <c r="AJ126" i="5"/>
  <c r="AC12" i="5"/>
  <c r="AR12" i="5" s="1"/>
  <c r="AC221" i="5"/>
  <c r="AR221" i="5" s="1"/>
  <c r="AC149" i="5"/>
  <c r="AR149" i="5" s="1"/>
  <c r="AC69" i="5"/>
  <c r="AR69" i="5" s="1"/>
  <c r="AC264" i="5"/>
  <c r="AR264" i="5" s="1"/>
  <c r="AJ264" i="5"/>
  <c r="AC73" i="5"/>
  <c r="AR73" i="5" s="1"/>
  <c r="AC136" i="5"/>
  <c r="AR136" i="5" s="1"/>
  <c r="AJ136" i="5"/>
  <c r="AC175" i="5"/>
  <c r="AR175" i="5" s="1"/>
  <c r="AC28" i="5"/>
  <c r="AR28" i="5" s="1"/>
  <c r="AJ28" i="5"/>
  <c r="AC84" i="5"/>
  <c r="AR84" i="5" s="1"/>
  <c r="AJ84" i="5"/>
  <c r="AC225" i="5"/>
  <c r="AR225" i="5" s="1"/>
  <c r="AJ225" i="5"/>
  <c r="AC192" i="5"/>
  <c r="AR192" i="5" s="1"/>
  <c r="AJ192" i="5"/>
  <c r="AC254" i="5"/>
  <c r="AR254" i="5" s="1"/>
  <c r="AJ254" i="5"/>
  <c r="AC20" i="5"/>
  <c r="AR20" i="5" s="1"/>
  <c r="AJ20" i="5"/>
  <c r="AC68" i="5"/>
  <c r="AR68" i="5" s="1"/>
  <c r="AJ68" i="5"/>
  <c r="AC266" i="5"/>
  <c r="AR266" i="5" s="1"/>
  <c r="AJ266" i="5"/>
  <c r="AC243" i="5"/>
  <c r="AR243" i="5" s="1"/>
  <c r="AC179" i="5"/>
  <c r="AR179" i="5" s="1"/>
  <c r="AJ179" i="5"/>
  <c r="AC75" i="5"/>
  <c r="AR75" i="5" s="1"/>
  <c r="AC25" i="5"/>
  <c r="AR25" i="5" s="1"/>
  <c r="AC281" i="5"/>
  <c r="AR281" i="5" s="1"/>
  <c r="AJ281" i="5"/>
  <c r="AC194" i="5"/>
  <c r="AR194" i="5" s="1"/>
  <c r="AJ194" i="5"/>
  <c r="AC130" i="5"/>
  <c r="AR130" i="5" s="1"/>
  <c r="AJ130" i="5"/>
  <c r="AC22" i="5"/>
  <c r="AR22" i="5" s="1"/>
  <c r="AJ22" i="5"/>
  <c r="AC209" i="5"/>
  <c r="AR209" i="5" s="1"/>
  <c r="AJ209" i="5"/>
  <c r="AC145" i="5"/>
  <c r="AR145" i="5" s="1"/>
  <c r="AJ145" i="5"/>
  <c r="AC49" i="5"/>
  <c r="AR49" i="5" s="1"/>
  <c r="AJ49" i="5"/>
  <c r="AC263" i="5"/>
  <c r="AR263" i="5" s="1"/>
  <c r="AJ263" i="5"/>
  <c r="AC240" i="5"/>
  <c r="AR240" i="5" s="1"/>
  <c r="AJ240" i="5"/>
  <c r="AC176" i="5"/>
  <c r="AR176" i="5" s="1"/>
  <c r="AJ176" i="5"/>
  <c r="AC112" i="5"/>
  <c r="AR112" i="5" s="1"/>
  <c r="AJ112" i="5"/>
  <c r="AC48" i="5"/>
  <c r="AR48" i="5" s="1"/>
  <c r="AJ48" i="5"/>
  <c r="AC215" i="5"/>
  <c r="AR215" i="5" s="1"/>
  <c r="AJ215" i="5"/>
  <c r="AC151" i="5"/>
  <c r="AR151" i="5" s="1"/>
  <c r="AJ151" i="5"/>
  <c r="AC87" i="5"/>
  <c r="AR87" i="5" s="1"/>
  <c r="AJ87" i="5"/>
  <c r="AC269" i="5"/>
  <c r="AR269" i="5" s="1"/>
  <c r="AJ269" i="5"/>
  <c r="AC246" i="5"/>
  <c r="AR246" i="5" s="1"/>
  <c r="AJ246" i="5"/>
  <c r="AC182" i="5"/>
  <c r="AR182" i="5" s="1"/>
  <c r="AJ182" i="5"/>
  <c r="AC78" i="5"/>
  <c r="AR78" i="5" s="1"/>
  <c r="AC4" i="5"/>
  <c r="AR4" i="5" s="1"/>
  <c r="AC213" i="5"/>
  <c r="AR213" i="5" s="1"/>
  <c r="AJ213" i="5"/>
  <c r="AC141" i="5"/>
  <c r="AR141" i="5" s="1"/>
  <c r="AC61" i="5"/>
  <c r="AR61" i="5" s="1"/>
  <c r="AC53" i="5"/>
  <c r="AR53" i="5" s="1"/>
  <c r="AJ53" i="5"/>
  <c r="AC203" i="5"/>
  <c r="AR203" i="5" s="1"/>
  <c r="AC218" i="5"/>
  <c r="AR218" i="5" s="1"/>
  <c r="AJ218" i="5"/>
  <c r="AC169" i="5"/>
  <c r="AR169" i="5" s="1"/>
  <c r="AJ169" i="5"/>
  <c r="AC173" i="5"/>
  <c r="AR173" i="5" s="1"/>
  <c r="AC195" i="5"/>
  <c r="AR195" i="5" s="1"/>
  <c r="AJ195" i="5"/>
  <c r="AC146" i="5"/>
  <c r="AR146" i="5" s="1"/>
  <c r="AC65" i="5"/>
  <c r="AR65" i="5" s="1"/>
  <c r="AJ65" i="5"/>
  <c r="AC128" i="5"/>
  <c r="AR128" i="5" s="1"/>
  <c r="AJ128" i="5"/>
  <c r="AC231" i="5"/>
  <c r="AR231" i="5" s="1"/>
  <c r="AJ231" i="5"/>
  <c r="AC198" i="5"/>
  <c r="AR198" i="5" s="1"/>
  <c r="AJ198" i="5"/>
  <c r="AC60" i="5"/>
  <c r="AR60" i="5" s="1"/>
  <c r="AJ60" i="5"/>
  <c r="AC258" i="5"/>
  <c r="AR258" i="5" s="1"/>
  <c r="AJ258" i="5"/>
  <c r="AC235" i="5"/>
  <c r="AR235" i="5" s="1"/>
  <c r="AC171" i="5"/>
  <c r="AR171" i="5" s="1"/>
  <c r="AC67" i="5"/>
  <c r="AR67" i="5" s="1"/>
  <c r="AJ67" i="5"/>
  <c r="AC17" i="5"/>
  <c r="AR17" i="5" s="1"/>
  <c r="AC273" i="5"/>
  <c r="AR273" i="5" s="1"/>
  <c r="AJ273" i="5"/>
  <c r="AC186" i="5"/>
  <c r="AR186" i="5" s="1"/>
  <c r="AJ186" i="5"/>
  <c r="AC122" i="5"/>
  <c r="AR122" i="5" s="1"/>
  <c r="AJ122" i="5"/>
  <c r="AC32" i="5"/>
  <c r="AR32" i="5" s="1"/>
  <c r="AJ32" i="5"/>
  <c r="AC201" i="5"/>
  <c r="AR201" i="5" s="1"/>
  <c r="AC137" i="5"/>
  <c r="AR137" i="5" s="1"/>
  <c r="AJ137" i="5"/>
  <c r="AC40" i="5"/>
  <c r="AR40" i="5" s="1"/>
  <c r="AJ40" i="5"/>
  <c r="AC255" i="5"/>
  <c r="AR255" i="5" s="1"/>
  <c r="AJ255" i="5"/>
  <c r="AC232" i="5"/>
  <c r="AR232" i="5" s="1"/>
  <c r="AJ232" i="5"/>
  <c r="AC168" i="5"/>
  <c r="AR168" i="5" s="1"/>
  <c r="AJ168" i="5"/>
  <c r="AC104" i="5"/>
  <c r="AR104" i="5" s="1"/>
  <c r="AJ104" i="5"/>
  <c r="AC39" i="5"/>
  <c r="AR39" i="5" s="1"/>
  <c r="AC207" i="5"/>
  <c r="AR207" i="5" s="1"/>
  <c r="AJ207" i="5"/>
  <c r="AC143" i="5"/>
  <c r="AR143" i="5" s="1"/>
  <c r="AC79" i="5"/>
  <c r="AR79" i="5" s="1"/>
  <c r="AJ79" i="5"/>
  <c r="AC261" i="5"/>
  <c r="AR261" i="5" s="1"/>
  <c r="AJ261" i="5"/>
  <c r="AC238" i="5"/>
  <c r="AR238" i="5" s="1"/>
  <c r="AC174" i="5"/>
  <c r="AR174" i="5" s="1"/>
  <c r="AC46" i="5"/>
  <c r="AR46" i="5" s="1"/>
  <c r="AC205" i="5"/>
  <c r="AR205" i="5" s="1"/>
  <c r="AC133" i="5"/>
  <c r="AR133" i="5" s="1"/>
  <c r="AC45" i="5"/>
  <c r="AR45" i="5" s="1"/>
  <c r="AJ45" i="5"/>
  <c r="AC47" i="5"/>
  <c r="AR47" i="5" s="1"/>
  <c r="AC237" i="5"/>
  <c r="AR237" i="5" s="1"/>
  <c r="AC103" i="5"/>
  <c r="AR103" i="5" s="1"/>
  <c r="AJ103" i="5"/>
  <c r="AC134" i="5"/>
  <c r="AR134" i="5" s="1"/>
  <c r="AC77" i="5"/>
  <c r="AR77" i="5" s="1"/>
  <c r="AJ77" i="5"/>
  <c r="AC52" i="5"/>
  <c r="AR52" i="5" s="1"/>
  <c r="AC250" i="5"/>
  <c r="AR250" i="5" s="1"/>
  <c r="AJ250" i="5"/>
  <c r="AC227" i="5"/>
  <c r="AR227" i="5" s="1"/>
  <c r="AJ227" i="5"/>
  <c r="AC163" i="5"/>
  <c r="AR163" i="5" s="1"/>
  <c r="AJ163" i="5"/>
  <c r="AC59" i="5"/>
  <c r="AR59" i="5" s="1"/>
  <c r="AJ59" i="5"/>
  <c r="AC9" i="5"/>
  <c r="AR9" i="5" s="1"/>
  <c r="AC265" i="5"/>
  <c r="AR265" i="5" s="1"/>
  <c r="AJ265" i="5"/>
  <c r="AC242" i="5"/>
  <c r="AR242" i="5" s="1"/>
  <c r="AC178" i="5"/>
  <c r="AR178" i="5" s="1"/>
  <c r="AJ178" i="5"/>
  <c r="AC82" i="5"/>
  <c r="AR82" i="5" s="1"/>
  <c r="AC24" i="5"/>
  <c r="AR24" i="5" s="1"/>
  <c r="AJ24" i="5"/>
  <c r="AC288" i="5"/>
  <c r="AR288" i="5" s="1"/>
  <c r="AJ288" i="5"/>
  <c r="AC193" i="5"/>
  <c r="AR193" i="5" s="1"/>
  <c r="AJ193" i="5"/>
  <c r="AC129" i="5"/>
  <c r="AR129" i="5" s="1"/>
  <c r="AJ129" i="5"/>
  <c r="AC21" i="5"/>
  <c r="AR21" i="5" s="1"/>
  <c r="AJ21" i="5"/>
  <c r="AC224" i="5"/>
  <c r="AR224" i="5" s="1"/>
  <c r="AJ224" i="5"/>
  <c r="AC160" i="5"/>
  <c r="AR160" i="5" s="1"/>
  <c r="AJ160" i="5"/>
  <c r="AC96" i="5"/>
  <c r="AR96" i="5" s="1"/>
  <c r="AJ96" i="5"/>
  <c r="AC14" i="5"/>
  <c r="AR14" i="5" s="1"/>
  <c r="AC286" i="5"/>
  <c r="AR286" i="5" s="1"/>
  <c r="AC199" i="5"/>
  <c r="AR199" i="5" s="1"/>
  <c r="AJ199" i="5"/>
  <c r="AC135" i="5"/>
  <c r="AR135" i="5" s="1"/>
  <c r="AJ135" i="5"/>
  <c r="AC71" i="5"/>
  <c r="AR71" i="5" s="1"/>
  <c r="AJ71" i="5"/>
  <c r="AC253" i="5"/>
  <c r="AR253" i="5" s="1"/>
  <c r="AJ253" i="5"/>
  <c r="AC230" i="5"/>
  <c r="AR230" i="5" s="1"/>
  <c r="AJ230" i="5"/>
  <c r="AC166" i="5"/>
  <c r="AR166" i="5" s="1"/>
  <c r="AJ166" i="5"/>
  <c r="AC6" i="5"/>
  <c r="AR6" i="5" s="1"/>
  <c r="AJ6" i="5"/>
  <c r="AC197" i="5"/>
  <c r="AR197" i="5" s="1"/>
  <c r="AC117" i="5"/>
  <c r="AR117" i="5" s="1"/>
  <c r="AJ117" i="5"/>
  <c r="AC139" i="5"/>
  <c r="AR139" i="5" s="1"/>
  <c r="AC23" i="5"/>
  <c r="AR23" i="5" s="1"/>
  <c r="AC200" i="5"/>
  <c r="AR200" i="5" s="1"/>
  <c r="AJ200" i="5"/>
  <c r="AC111" i="5"/>
  <c r="AR111" i="5" s="1"/>
  <c r="AJ111" i="5"/>
  <c r="AC142" i="5"/>
  <c r="AR142" i="5" s="1"/>
  <c r="AC18" i="5"/>
  <c r="AR18" i="5" s="1"/>
  <c r="AC41" i="5"/>
  <c r="AR41" i="5" s="1"/>
  <c r="AC279" i="5"/>
  <c r="AR279" i="5" s="1"/>
  <c r="AJ279" i="5"/>
  <c r="AC167" i="5"/>
  <c r="AR167" i="5" s="1"/>
  <c r="AC44" i="5"/>
  <c r="AR44" i="5" s="1"/>
  <c r="AC219" i="5"/>
  <c r="AR219" i="5" s="1"/>
  <c r="AC155" i="5"/>
  <c r="AR155" i="5" s="1"/>
  <c r="AC51" i="5"/>
  <c r="AR51" i="5" s="1"/>
  <c r="AJ51" i="5"/>
  <c r="AC257" i="5"/>
  <c r="AR257" i="5" s="1"/>
  <c r="AJ257" i="5"/>
  <c r="AC234" i="5"/>
  <c r="AR234" i="5" s="1"/>
  <c r="AJ234" i="5"/>
  <c r="AC170" i="5"/>
  <c r="AR170" i="5" s="1"/>
  <c r="AC74" i="5"/>
  <c r="AR74" i="5" s="1"/>
  <c r="AJ74" i="5"/>
  <c r="AC16" i="5"/>
  <c r="AR16" i="5" s="1"/>
  <c r="AJ16" i="5"/>
  <c r="AC280" i="5"/>
  <c r="AR280" i="5" s="1"/>
  <c r="AJ280" i="5"/>
  <c r="AC185" i="5"/>
  <c r="AR185" i="5" s="1"/>
  <c r="AJ185" i="5"/>
  <c r="AC121" i="5"/>
  <c r="AR121" i="5" s="1"/>
  <c r="AJ121" i="5"/>
  <c r="AC216" i="5"/>
  <c r="AR216" i="5" s="1"/>
  <c r="AJ216" i="5"/>
  <c r="AC152" i="5"/>
  <c r="AR152" i="5" s="1"/>
  <c r="AJ152" i="5"/>
  <c r="AC88" i="5"/>
  <c r="AR88" i="5" s="1"/>
  <c r="AJ88" i="5"/>
  <c r="AC278" i="5"/>
  <c r="AR278" i="5" s="1"/>
  <c r="AJ278" i="5"/>
  <c r="AC191" i="5"/>
  <c r="AR191" i="5" s="1"/>
  <c r="AC127" i="5"/>
  <c r="AR127" i="5" s="1"/>
  <c r="AJ127" i="5"/>
  <c r="AC63" i="5"/>
  <c r="AR63" i="5" s="1"/>
  <c r="AJ63" i="5"/>
  <c r="AC222" i="5"/>
  <c r="AR222" i="5" s="1"/>
  <c r="AC158" i="5"/>
  <c r="AR158" i="5" s="1"/>
  <c r="AJ158" i="5"/>
  <c r="AC3" i="5"/>
  <c r="AR3" i="5" s="1"/>
  <c r="AC189" i="5"/>
  <c r="AR189" i="5" s="1"/>
  <c r="AC109" i="5"/>
  <c r="AR109" i="5" s="1"/>
  <c r="AJ109" i="5"/>
  <c r="AC26" i="5"/>
  <c r="AR26" i="5" s="1"/>
  <c r="AJ26" i="5"/>
  <c r="AC58" i="5"/>
  <c r="AR58" i="5" s="1"/>
  <c r="AJ58" i="5"/>
  <c r="AC287" i="5"/>
  <c r="AR287" i="5" s="1"/>
  <c r="AJ287" i="5"/>
  <c r="AC72" i="5"/>
  <c r="AR72" i="5" s="1"/>
  <c r="AJ72" i="5"/>
  <c r="AC239" i="5"/>
  <c r="AR239" i="5" s="1"/>
  <c r="AC206" i="5"/>
  <c r="AR206" i="5" s="1"/>
  <c r="AJ206" i="5"/>
  <c r="AC282" i="5"/>
  <c r="AR282" i="5" s="1"/>
  <c r="AJ282" i="5"/>
  <c r="AC210" i="5"/>
  <c r="AR210" i="5" s="1"/>
  <c r="AJ210" i="5"/>
  <c r="AC161" i="5"/>
  <c r="AR161" i="5" s="1"/>
  <c r="AJ161" i="5"/>
  <c r="AC64" i="5"/>
  <c r="AR64" i="5" s="1"/>
  <c r="AJ64" i="5"/>
  <c r="AC38" i="5"/>
  <c r="AR38" i="5" s="1"/>
  <c r="AJ38" i="5"/>
  <c r="AC229" i="5"/>
  <c r="AR229" i="5" s="1"/>
  <c r="AJ229" i="5"/>
  <c r="AC100" i="5"/>
  <c r="AR100" i="5" s="1"/>
  <c r="AJ100" i="5"/>
  <c r="AC211" i="5"/>
  <c r="AR211" i="5" s="1"/>
  <c r="AJ211" i="5"/>
  <c r="AC147" i="5"/>
  <c r="AR147" i="5" s="1"/>
  <c r="AJ147" i="5"/>
  <c r="AC43" i="5"/>
  <c r="AR43" i="5" s="1"/>
  <c r="AJ43" i="5"/>
  <c r="AC249" i="5"/>
  <c r="AR249" i="5" s="1"/>
  <c r="AJ249" i="5"/>
  <c r="AC226" i="5"/>
  <c r="AR226" i="5" s="1"/>
  <c r="AC162" i="5"/>
  <c r="AR162" i="5" s="1"/>
  <c r="AJ162" i="5"/>
  <c r="AC66" i="5"/>
  <c r="AR66" i="5" s="1"/>
  <c r="AC8" i="5"/>
  <c r="AR8" i="5" s="1"/>
  <c r="AC272" i="5"/>
  <c r="AR272" i="5" s="1"/>
  <c r="AJ272" i="5"/>
  <c r="AC241" i="5"/>
  <c r="AR241" i="5" s="1"/>
  <c r="AJ241" i="5"/>
  <c r="AC177" i="5"/>
  <c r="AR177" i="5" s="1"/>
  <c r="AJ177" i="5"/>
  <c r="AC81" i="5"/>
  <c r="AR81" i="5" s="1"/>
  <c r="AC31" i="5"/>
  <c r="AR31" i="5" s="1"/>
  <c r="AJ31" i="5"/>
  <c r="AC208" i="5"/>
  <c r="AR208" i="5" s="1"/>
  <c r="AJ208" i="5"/>
  <c r="AC144" i="5"/>
  <c r="AR144" i="5" s="1"/>
  <c r="AJ144" i="5"/>
  <c r="AC80" i="5"/>
  <c r="AR80" i="5" s="1"/>
  <c r="AJ80" i="5"/>
  <c r="AC270" i="5"/>
  <c r="AR270" i="5" s="1"/>
  <c r="AJ270" i="5"/>
  <c r="AC247" i="5"/>
  <c r="AR247" i="5" s="1"/>
  <c r="AJ247" i="5"/>
  <c r="AC183" i="5"/>
  <c r="AR183" i="5" s="1"/>
  <c r="AJ183" i="5"/>
  <c r="AC119" i="5"/>
  <c r="AR119" i="5" s="1"/>
  <c r="AJ119" i="5"/>
  <c r="AC55" i="5"/>
  <c r="AR55" i="5" s="1"/>
  <c r="AC214" i="5"/>
  <c r="AR214" i="5" s="1"/>
  <c r="AJ214" i="5"/>
  <c r="AC150" i="5"/>
  <c r="AR150" i="5" s="1"/>
  <c r="AC36" i="5"/>
  <c r="AR36" i="5" s="1"/>
  <c r="AC181" i="5"/>
  <c r="AR181" i="5" s="1"/>
  <c r="AJ181" i="5"/>
  <c r="AC101" i="5"/>
  <c r="AR101" i="5" s="1"/>
  <c r="AJ101" i="5"/>
  <c r="AC92" i="5"/>
  <c r="AR92" i="5" s="1"/>
  <c r="AJ92" i="5"/>
  <c r="AC29" i="5"/>
  <c r="AR29" i="5" s="1"/>
  <c r="AJ29" i="5"/>
  <c r="AC154" i="5"/>
  <c r="AR154" i="5" s="1"/>
  <c r="AJ154" i="5"/>
  <c r="AC233" i="5"/>
  <c r="AR233" i="5" s="1"/>
  <c r="AJ233" i="5"/>
  <c r="AC262" i="5"/>
  <c r="AR262" i="5" s="1"/>
  <c r="AJ262" i="5"/>
  <c r="AC93" i="5"/>
  <c r="AR93" i="5" s="1"/>
  <c r="AJ93" i="5"/>
  <c r="AC131" i="5"/>
  <c r="AR131" i="5" s="1"/>
  <c r="AJ131" i="5"/>
  <c r="AC50" i="5"/>
  <c r="AR50" i="5" s="1"/>
  <c r="AJ50" i="5"/>
  <c r="AC15" i="5"/>
  <c r="AR15" i="5" s="1"/>
  <c r="AC285" i="5"/>
  <c r="AR285" i="5" s="1"/>
  <c r="AJ285" i="5"/>
  <c r="AC157" i="5"/>
  <c r="AR157" i="5" s="1"/>
  <c r="AC267" i="5"/>
  <c r="AR267" i="5" s="1"/>
  <c r="AJ267" i="5"/>
  <c r="AC116" i="5"/>
  <c r="AR116" i="5" s="1"/>
  <c r="AJ116" i="5"/>
  <c r="AC244" i="5"/>
  <c r="AR244" i="5" s="1"/>
  <c r="AC108" i="5"/>
  <c r="AR108" i="5" s="1"/>
  <c r="AJ108" i="5"/>
  <c r="AC283" i="5"/>
  <c r="AR283" i="5" s="1"/>
  <c r="AJ283" i="5"/>
  <c r="AC172" i="5"/>
  <c r="AR172" i="5" s="1"/>
  <c r="AC70" i="5"/>
  <c r="AR70" i="5" s="1"/>
  <c r="AJ70" i="5"/>
  <c r="AC35" i="5"/>
  <c r="AR35" i="5" s="1"/>
  <c r="AC164" i="5"/>
  <c r="AR164" i="5" s="1"/>
  <c r="AC156" i="5"/>
  <c r="AR156" i="5" s="1"/>
  <c r="AC97" i="5"/>
  <c r="AR97" i="5" s="1"/>
  <c r="AJ97" i="5"/>
  <c r="AC284" i="5"/>
  <c r="AR284" i="5" s="1"/>
  <c r="AJ284" i="5"/>
  <c r="AC54" i="5"/>
  <c r="AR54" i="5" s="1"/>
  <c r="AJ54" i="5"/>
  <c r="AC123" i="5"/>
  <c r="AR123" i="5" s="1"/>
  <c r="AJ123" i="5"/>
  <c r="AC34" i="5"/>
  <c r="AR34" i="5" s="1"/>
  <c r="AJ34" i="5"/>
  <c r="AC124" i="5"/>
  <c r="AR124" i="5" s="1"/>
  <c r="AJ124" i="5"/>
  <c r="AC259" i="5"/>
  <c r="AR259" i="5" s="1"/>
  <c r="AJ259" i="5"/>
  <c r="AC268" i="5"/>
  <c r="AR268" i="5" s="1"/>
  <c r="AJ268" i="5"/>
  <c r="AC118" i="5"/>
  <c r="AR118" i="5" s="1"/>
  <c r="AJ118" i="5"/>
  <c r="AC115" i="5"/>
  <c r="AR115" i="5" s="1"/>
  <c r="AJ115" i="5"/>
  <c r="AC89" i="5"/>
  <c r="AR89" i="5" s="1"/>
  <c r="AJ89" i="5"/>
  <c r="AC148" i="5"/>
  <c r="AR148" i="5" s="1"/>
  <c r="AC212" i="5"/>
  <c r="AR212" i="5" s="1"/>
  <c r="AC30" i="5"/>
  <c r="AR30" i="5" s="1"/>
  <c r="AC125" i="5"/>
  <c r="AR125" i="5" s="1"/>
  <c r="AJ125" i="5"/>
  <c r="AC94" i="5"/>
  <c r="AR94" i="5" s="1"/>
  <c r="AJ94" i="5"/>
  <c r="AC19" i="5"/>
  <c r="AR19" i="5" s="1"/>
  <c r="AJ19" i="5"/>
  <c r="AC196" i="5"/>
  <c r="AR196" i="5" s="1"/>
  <c r="AC140" i="5"/>
  <c r="AR140" i="5" s="1"/>
  <c r="AC204" i="5"/>
  <c r="AR204" i="5" s="1"/>
  <c r="AJ204" i="5"/>
  <c r="AC99" i="5"/>
  <c r="AR99" i="5" s="1"/>
  <c r="AJ99" i="5"/>
  <c r="AC107" i="5"/>
  <c r="AR107" i="5" s="1"/>
  <c r="AJ107" i="5"/>
  <c r="AC260" i="5"/>
  <c r="AR260" i="5" s="1"/>
  <c r="AJ260" i="5"/>
  <c r="AC165" i="5"/>
  <c r="AR165" i="5" s="1"/>
  <c r="AJ165" i="5"/>
  <c r="AC62" i="5"/>
  <c r="AR62" i="5" s="1"/>
  <c r="AC113" i="5"/>
  <c r="AR113" i="5" s="1"/>
  <c r="AJ113" i="5"/>
  <c r="AC114" i="5"/>
  <c r="AR114" i="5" s="1"/>
  <c r="AJ114" i="5"/>
  <c r="AC110" i="5"/>
  <c r="AR110" i="5" s="1"/>
  <c r="AJ110" i="5"/>
  <c r="AC102" i="5"/>
  <c r="AR102" i="5" s="1"/>
  <c r="AJ102" i="5"/>
  <c r="AC90" i="5"/>
  <c r="AR90" i="5" s="1"/>
  <c r="AJ90" i="5"/>
  <c r="AC106" i="5"/>
  <c r="AR106" i="5" s="1"/>
  <c r="AJ106" i="5"/>
  <c r="AC276" i="5"/>
  <c r="AR276" i="5" s="1"/>
  <c r="AJ276" i="5"/>
  <c r="AC5" i="5"/>
  <c r="AR5" i="5" s="1"/>
  <c r="AJ5" i="5"/>
  <c r="AC27" i="5"/>
  <c r="AR27" i="5" s="1"/>
  <c r="AC85" i="5"/>
  <c r="AR85" i="5" s="1"/>
  <c r="AJ85" i="5"/>
  <c r="AC220" i="5"/>
  <c r="AR220" i="5" s="1"/>
  <c r="AJ220" i="5"/>
  <c r="AC98" i="5"/>
  <c r="AR98" i="5" s="1"/>
  <c r="AJ98" i="5"/>
  <c r="AC91" i="5"/>
  <c r="AR91" i="5" s="1"/>
  <c r="AJ91" i="5"/>
  <c r="AC251" i="5"/>
  <c r="AR251" i="5" s="1"/>
  <c r="AJ251" i="5"/>
  <c r="AC132" i="5"/>
  <c r="AR132" i="5" s="1"/>
  <c r="AC252" i="5"/>
  <c r="AR252" i="5" s="1"/>
  <c r="AJ252" i="5"/>
  <c r="AC188" i="5"/>
  <c r="AR188" i="5" s="1"/>
  <c r="AJ188" i="5"/>
  <c r="AC11" i="5"/>
  <c r="AR11" i="5" s="1"/>
  <c r="AC275" i="5"/>
  <c r="AR275" i="5" s="1"/>
  <c r="AJ275" i="5"/>
  <c r="AC105" i="5"/>
  <c r="AR105" i="5" s="1"/>
  <c r="AJ105" i="5"/>
  <c r="AC37" i="5"/>
  <c r="AR37" i="5" s="1"/>
  <c r="AJ37" i="5"/>
  <c r="AC180" i="5"/>
  <c r="AR180" i="5" s="1"/>
  <c r="AC228" i="5"/>
  <c r="AR228" i="5" s="1"/>
  <c r="AC86" i="5"/>
  <c r="AR86" i="5" s="1"/>
  <c r="AJ86" i="5"/>
  <c r="AC236" i="5"/>
  <c r="AR236" i="5" s="1"/>
  <c r="AJ236" i="5"/>
  <c r="AC256" i="5"/>
  <c r="AR256" i="5" s="1"/>
  <c r="AJ256" i="5"/>
  <c r="AC245" i="5"/>
  <c r="AR245" i="5" s="1"/>
  <c r="AJ245" i="5"/>
  <c r="AI241" i="5"/>
  <c r="AJ286" i="5"/>
  <c r="AI286" i="5"/>
  <c r="AI14" i="5"/>
  <c r="AI73" i="5"/>
  <c r="AJ184" i="5"/>
  <c r="AI184" i="5"/>
  <c r="AI198" i="5"/>
  <c r="AI61" i="5"/>
  <c r="AI260" i="5"/>
  <c r="AI85" i="5"/>
  <c r="AI261" i="5"/>
  <c r="AI12" i="5"/>
  <c r="AI16" i="5"/>
  <c r="AI212" i="5"/>
  <c r="AI256" i="5"/>
  <c r="AI125" i="5"/>
  <c r="AI170" i="5"/>
  <c r="AI71" i="5"/>
  <c r="AI83" i="5"/>
  <c r="AJ83" i="5"/>
  <c r="AI110" i="5"/>
  <c r="AI155" i="5"/>
  <c r="AI149" i="5"/>
  <c r="AI200" i="5"/>
  <c r="AI150" i="5"/>
  <c r="AI59" i="5"/>
  <c r="AI258" i="5"/>
  <c r="AI112" i="5"/>
  <c r="AI239" i="5"/>
  <c r="AI152" i="5"/>
  <c r="AI19" i="5"/>
  <c r="AI130" i="5"/>
  <c r="AI138" i="5"/>
  <c r="AI39" i="5"/>
  <c r="AI76" i="5"/>
  <c r="AI113" i="5"/>
  <c r="AI275" i="5"/>
  <c r="AI34" i="5"/>
  <c r="AI222" i="5"/>
  <c r="AI234" i="5"/>
  <c r="AI135" i="5"/>
  <c r="AI221" i="5"/>
  <c r="AI174" i="5"/>
  <c r="AI219" i="5"/>
  <c r="AI246" i="5"/>
  <c r="AI159" i="5"/>
  <c r="AI237" i="5"/>
  <c r="AI195" i="5"/>
  <c r="AI263" i="5"/>
  <c r="AI214" i="5"/>
  <c r="AI36" i="5"/>
  <c r="AI251" i="5"/>
  <c r="AI210" i="5"/>
  <c r="AI148" i="5"/>
  <c r="AI106" i="5"/>
  <c r="AI46" i="5"/>
  <c r="AI58" i="5"/>
  <c r="AI136" i="5"/>
  <c r="AI140" i="5"/>
  <c r="AI177" i="5"/>
  <c r="AI86" i="5"/>
  <c r="AI98" i="5"/>
  <c r="AI285" i="5"/>
  <c r="AI74" i="5"/>
  <c r="AI199" i="5"/>
  <c r="AI126" i="5"/>
  <c r="AI270" i="5"/>
  <c r="AI282" i="5"/>
  <c r="AI23" i="5"/>
  <c r="AI257" i="5"/>
  <c r="AI63" i="5"/>
  <c r="AI9" i="5"/>
  <c r="AI31" i="5"/>
  <c r="AI48" i="5"/>
  <c r="AI87" i="5"/>
  <c r="AI188" i="5"/>
  <c r="AI235" i="5"/>
  <c r="AI259" i="5"/>
  <c r="AI160" i="5"/>
  <c r="AI108" i="5"/>
  <c r="AI255" i="5"/>
  <c r="AI37" i="5"/>
  <c r="AI82" i="5"/>
  <c r="AI78" i="5"/>
  <c r="AI123" i="5"/>
  <c r="AI24" i="5"/>
  <c r="AI10" i="5"/>
  <c r="AI224" i="5"/>
  <c r="AI133" i="5"/>
  <c r="AI137" i="5"/>
  <c r="AI172" i="5"/>
  <c r="AI209" i="5"/>
  <c r="AI97" i="5"/>
  <c r="AI248" i="5"/>
  <c r="AI157" i="5"/>
  <c r="AI161" i="5"/>
  <c r="AI101" i="5"/>
  <c r="AI146" i="5"/>
  <c r="AI175" i="5"/>
  <c r="AI187" i="5"/>
  <c r="AI88" i="5"/>
  <c r="AI283" i="5"/>
  <c r="AI287" i="5"/>
  <c r="AI197" i="5"/>
  <c r="AI242" i="5"/>
  <c r="AI236" i="5"/>
  <c r="AI280" i="5"/>
  <c r="AI21" i="5"/>
  <c r="AI25" i="5"/>
  <c r="AI265" i="5"/>
  <c r="AI229" i="5"/>
  <c r="AI231" i="5"/>
  <c r="AI233" i="5"/>
  <c r="AI273" i="5"/>
  <c r="AI267" i="5"/>
  <c r="AI269" i="5"/>
  <c r="AI271" i="5"/>
  <c r="AI26" i="5"/>
  <c r="AI225" i="5"/>
  <c r="AI181" i="5"/>
  <c r="AI183" i="5"/>
  <c r="AI216" i="5"/>
  <c r="AI226" i="5"/>
  <c r="AI92" i="5"/>
  <c r="AI94" i="5"/>
  <c r="AI127" i="5"/>
  <c r="AI129" i="5"/>
  <c r="AI139" i="5"/>
  <c r="AI5" i="5"/>
  <c r="AI38" i="5"/>
  <c r="AI40" i="5"/>
  <c r="AI50" i="5"/>
  <c r="AI124" i="5"/>
  <c r="AI223" i="5"/>
  <c r="AI77" i="5"/>
  <c r="AI79" i="5"/>
  <c r="AI81" i="5"/>
  <c r="AI122" i="5"/>
  <c r="AI93" i="5"/>
  <c r="AI116" i="5"/>
  <c r="AI118" i="5"/>
  <c r="AI151" i="5"/>
  <c r="AI153" i="5"/>
  <c r="AI163" i="5"/>
  <c r="AI64" i="5"/>
  <c r="AI18" i="5"/>
  <c r="AI49" i="5"/>
  <c r="AI247" i="5"/>
  <c r="AI158" i="5"/>
  <c r="AI69" i="5"/>
  <c r="AI29" i="5"/>
  <c r="AI145" i="5"/>
  <c r="AI182" i="5"/>
  <c r="AI194" i="5"/>
  <c r="AI192" i="5"/>
  <c r="AI4" i="5"/>
  <c r="AI6" i="5"/>
  <c r="AI8" i="5"/>
  <c r="AI41" i="5"/>
  <c r="AI51" i="5"/>
  <c r="AI45" i="5"/>
  <c r="AI47" i="5"/>
  <c r="AI80" i="5"/>
  <c r="AI90" i="5"/>
  <c r="AI107" i="5"/>
  <c r="AI245" i="5"/>
  <c r="AI277" i="5"/>
  <c r="AI279" i="5"/>
  <c r="AI289" i="5"/>
  <c r="AI156" i="5"/>
  <c r="AI189" i="5"/>
  <c r="AI191" i="5"/>
  <c r="AI193" i="5"/>
  <c r="AI203" i="5"/>
  <c r="AI100" i="5"/>
  <c r="AI102" i="5"/>
  <c r="AI104" i="5"/>
  <c r="AI114" i="5"/>
  <c r="AI147" i="5"/>
  <c r="AI128" i="5"/>
  <c r="AI141" i="5"/>
  <c r="AI143" i="5"/>
  <c r="AI176" i="5"/>
  <c r="AI186" i="5"/>
  <c r="AI284" i="5"/>
  <c r="AI180" i="5"/>
  <c r="AI213" i="5"/>
  <c r="AI215" i="5"/>
  <c r="AI217" i="5"/>
  <c r="AI227" i="5"/>
  <c r="AI62" i="5"/>
  <c r="AI72" i="5"/>
  <c r="AI111" i="5"/>
  <c r="AI22" i="5"/>
  <c r="AI220" i="5"/>
  <c r="AI266" i="5"/>
  <c r="AI178" i="5"/>
  <c r="AI207" i="5"/>
  <c r="AI244" i="5"/>
  <c r="AI68" i="5"/>
  <c r="AI70" i="5"/>
  <c r="AI103" i="5"/>
  <c r="AI105" i="5"/>
  <c r="AI115" i="5"/>
  <c r="AI109" i="5"/>
  <c r="AI142" i="5"/>
  <c r="AI144" i="5"/>
  <c r="AI154" i="5"/>
  <c r="AI20" i="5"/>
  <c r="AI53" i="5"/>
  <c r="AI55" i="5"/>
  <c r="AI57" i="5"/>
  <c r="AI67" i="5"/>
  <c r="AI171" i="5"/>
  <c r="AI252" i="5"/>
  <c r="AI254" i="5"/>
  <c r="AI264" i="5"/>
  <c r="AI11" i="5"/>
  <c r="AI164" i="5"/>
  <c r="AI166" i="5"/>
  <c r="AI168" i="5"/>
  <c r="AI201" i="5"/>
  <c r="AI211" i="5"/>
  <c r="AI33" i="5"/>
  <c r="AI205" i="5"/>
  <c r="AI238" i="5"/>
  <c r="AI240" i="5"/>
  <c r="AI249" i="5"/>
  <c r="AI190" i="5"/>
  <c r="AI43" i="5"/>
  <c r="AI276" i="5"/>
  <c r="AI278" i="5"/>
  <c r="AI288" i="5"/>
  <c r="AI35" i="5"/>
  <c r="AI253" i="5"/>
  <c r="AI134" i="5"/>
  <c r="AI173" i="5"/>
  <c r="AI84" i="5"/>
  <c r="AI131" i="5"/>
  <c r="AI42" i="5"/>
  <c r="AI232" i="5"/>
  <c r="AI268" i="5"/>
  <c r="AI95" i="5"/>
  <c r="AI66" i="5"/>
  <c r="AI132" i="5"/>
  <c r="AI165" i="5"/>
  <c r="AI167" i="5"/>
  <c r="AI169" i="5"/>
  <c r="AI179" i="5"/>
  <c r="AI204" i="5"/>
  <c r="AI206" i="5"/>
  <c r="AI208" i="5"/>
  <c r="AI218" i="5"/>
  <c r="AI250" i="5"/>
  <c r="AI117" i="5"/>
  <c r="AI119" i="5"/>
  <c r="AI121" i="5"/>
  <c r="AI162" i="5"/>
  <c r="AI28" i="5"/>
  <c r="AI30" i="5"/>
  <c r="AI32" i="5"/>
  <c r="AI65" i="5"/>
  <c r="AI75" i="5"/>
  <c r="AI228" i="5"/>
  <c r="AI230" i="5"/>
  <c r="AI262" i="5"/>
  <c r="AI272" i="5"/>
  <c r="AI274" i="5"/>
  <c r="AI202" i="5"/>
  <c r="AI13" i="5"/>
  <c r="AI15" i="5"/>
  <c r="AI17" i="5"/>
  <c r="AI27" i="5"/>
  <c r="AI60" i="5"/>
  <c r="AI52" i="5"/>
  <c r="AI54" i="5"/>
  <c r="AI56" i="5"/>
  <c r="AI89" i="5"/>
  <c r="AI99" i="5"/>
  <c r="AI196" i="5"/>
  <c r="AI243" i="5"/>
  <c r="AI281" i="5"/>
  <c r="AI185" i="5"/>
  <c r="AI96" i="5"/>
  <c r="AI7" i="5"/>
  <c r="AI44" i="5"/>
  <c r="AI91" i="5"/>
  <c r="AI120" i="5"/>
  <c r="AJ150" i="5" l="1"/>
  <c r="AJ170" i="5"/>
  <c r="AJ27" i="5"/>
  <c r="AJ46" i="5"/>
  <c r="AJ167" i="5"/>
  <c r="AJ35" i="5"/>
  <c r="AJ41" i="5"/>
  <c r="AJ155" i="5"/>
  <c r="AJ197" i="5"/>
  <c r="AJ243" i="5"/>
  <c r="AJ7" i="5"/>
  <c r="AJ15" i="5"/>
  <c r="AJ242" i="5"/>
  <c r="AJ55" i="5"/>
  <c r="AJ17" i="5"/>
  <c r="AJ57" i="5"/>
  <c r="AJ172" i="5"/>
  <c r="AJ228" i="5"/>
  <c r="AJ36" i="5"/>
  <c r="AJ66" i="5"/>
  <c r="AJ141" i="5"/>
  <c r="AJ18" i="5"/>
  <c r="AJ61" i="5"/>
  <c r="AJ30" i="5"/>
  <c r="AJ82" i="5"/>
  <c r="AJ239" i="5"/>
  <c r="AJ39" i="5"/>
  <c r="AJ175" i="5"/>
  <c r="AJ133" i="5"/>
  <c r="AJ203" i="5"/>
  <c r="AJ219" i="5"/>
  <c r="AJ25" i="5"/>
  <c r="AJ149" i="5"/>
  <c r="AJ156" i="5"/>
  <c r="AJ226" i="5"/>
  <c r="AJ75" i="5"/>
  <c r="AJ173" i="5"/>
  <c r="AJ8" i="5"/>
  <c r="AJ222" i="5"/>
  <c r="AJ14" i="5"/>
  <c r="AJ140" i="5"/>
  <c r="AJ221" i="5"/>
  <c r="AJ191" i="5"/>
  <c r="AP244" i="5"/>
  <c r="AJ42" i="5"/>
  <c r="AP42" i="5"/>
  <c r="AJ73" i="5"/>
  <c r="AP73" i="5"/>
  <c r="AP47" i="5"/>
  <c r="AP78" i="5"/>
  <c r="AP132" i="5"/>
  <c r="AP212" i="5"/>
  <c r="AJ174" i="5"/>
  <c r="AP174" i="5"/>
  <c r="AJ238" i="5"/>
  <c r="AP238" i="5"/>
  <c r="AP171" i="5"/>
  <c r="AP189" i="5"/>
  <c r="AJ235" i="5"/>
  <c r="AP10" i="5"/>
  <c r="AP180" i="5"/>
  <c r="AJ11" i="5"/>
  <c r="AJ12" i="5"/>
  <c r="AP12" i="5"/>
  <c r="AJ44" i="5"/>
  <c r="AP44" i="5"/>
  <c r="AJ143" i="5"/>
  <c r="AP143" i="5"/>
  <c r="AP4" i="5"/>
  <c r="AP81" i="5"/>
  <c r="AP142" i="5"/>
  <c r="AJ9" i="5"/>
  <c r="AP237" i="5"/>
  <c r="AP148" i="5"/>
  <c r="AP196" i="5"/>
  <c r="AJ157" i="5"/>
  <c r="AP157" i="5"/>
  <c r="AJ139" i="5"/>
  <c r="AP62" i="5"/>
  <c r="AP69" i="5"/>
  <c r="AP134" i="5"/>
  <c r="AP146" i="5"/>
  <c r="AP205" i="5"/>
  <c r="AJ164" i="5"/>
  <c r="AP23" i="5"/>
  <c r="AP201" i="5"/>
  <c r="AP52" i="5"/>
  <c r="AI3" i="5"/>
  <c r="AJ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tc={9FE2E265-7341-433A-9B8D-7BBADC472F84}</author>
    <author>tc={A15B43E0-420D-493A-98E6-4FB21D35F6E3}</author>
    <author>tc={088CBAA4-B13D-4297-A11A-4B98EAE490FF}</author>
    <author>tc={1A8ECCEC-70D0-4FF3-A7BB-A8267A44A436}</author>
    <author>tc={D26FFF1A-6300-45CC-9CAD-755018F5A557}</author>
    <author>tc={CCEBC3DA-3C05-4F57-81DE-CE8EB77C040D}</author>
    <author>tc={0FCD7BD5-EC5E-4BF1-BAA7-E045CA5C969C}</author>
    <author>tc={304DE223-6C46-4B0D-BBCD-DDE1B948A4ED}</author>
  </authors>
  <commentList>
    <comment ref="W4" authorId="0" shapeId="0" xr:uid="{9FE2E265-7341-433A-9B8D-7BBADC472F84}">
      <text>
        <t>[Threaded comment]
Your version of Excel allows you to read this threaded comment; however, any edits to it will get removed if the file is opened in a newer version of Excel. Learn more: https://go.microsoft.com/fwlink/?linkid=870924
Comment:
    Add geographical consolidation. Maybe they have 10 suppliers but all are in China.</t>
      </text>
    </comment>
    <comment ref="V6" authorId="1" shapeId="0" xr:uid="{A15B43E0-420D-493A-98E6-4FB21D35F6E3}">
      <text>
        <t xml:space="preserve">[Threaded comment]
Your version of Excel allows you to read this threaded comment; however, any edits to it will get removed if the file is opened in a newer version of Excel. Learn more: https://go.microsoft.com/fwlink/?linkid=870924
Comment:
    Merge with security / stability / conflict
Reply:
    Flag “High Geopolitical Risk” if &gt;30% of supplier capacity lies in countries scoring &lt;50 on World Bank political stability index or where logistics reliability index &lt; -0.5. </t>
      </text>
    </comment>
    <comment ref="V13" authorId="2" shapeId="0" xr:uid="{088CBAA4-B13D-4297-A11A-4B98EAE490FF}">
      <text>
        <t>[Threaded comment]
Your version of Excel allows you to read this threaded comment; however, any edits to it will get removed if the file is opened in a newer version of Excel. Learn more: https://go.microsoft.com/fwlink/?linkid=870924
Comment:
    Merge net supply with net capacity</t>
      </text>
    </comment>
    <comment ref="V15" authorId="3" shapeId="0" xr:uid="{1A8ECCEC-70D0-4FF3-A7BB-A8267A44A436}">
      <text>
        <t>[Threaded comment]
Your version of Excel allows you to read this threaded comment; however, any edits to it will get removed if the file is opened in a newer version of Excel. Learn more: https://go.microsoft.com/fwlink/?linkid=870924
Comment:
    Percentage should be significantly higher
Reply:
    Merge with cusom</t>
      </text>
    </comment>
    <comment ref="V19" authorId="4" shapeId="0" xr:uid="{D26FFF1A-6300-45CC-9CAD-755018F5A557}">
      <text>
        <t>[Threaded comment]
Your version of Excel allows you to read this threaded comment; however, any edits to it will get removed if the file is opened in a newer version of Excel. Learn more: https://go.microsoft.com/fwlink/?linkid=870924
Comment:
    Merge with inflation</t>
      </text>
    </comment>
    <comment ref="V20" authorId="5" shapeId="0" xr:uid="{CCEBC3DA-3C05-4F57-81DE-CE8EB77C040D}">
      <text>
        <t>[Threaded comment]
Your version of Excel allows you to read this threaded comment; however, any edits to it will get removed if the file is opened in a newer version of Excel. Learn more: https://go.microsoft.com/fwlink/?linkid=870924
Comment:
    Can remove this. Adds extra complexity</t>
      </text>
    </comment>
    <comment ref="V21" authorId="6" shapeId="0" xr:uid="{0FCD7BD5-EC5E-4BF1-BAA7-E045CA5C969C}">
      <text>
        <t>[Threaded comment]
Your version of Excel allows you to read this threaded comment; however, any edits to it will get removed if the file is opened in a newer version of Excel. Learn more: https://go.microsoft.com/fwlink/?linkid=870924
Comment:
    Can remove this and merge with net demand</t>
      </text>
    </comment>
    <comment ref="W23" authorId="7" shapeId="0" xr:uid="{304DE223-6C46-4B0D-BBCD-DDE1B948A4ED}">
      <text>
        <t>[Threaded comment]
Your version of Excel allows you to read this threaded comment; however, any edits to it will get removed if the file is opened in a newer version of Excel. Learn more: https://go.microsoft.com/fwlink/?linkid=870924
Comment:
    This was missing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tc={CA2F1D41-AC46-4C36-9230-0071E35B7FC0}</author>
    <author>tc={7C307F02-82A9-4B37-AE26-E17A358A1043}</author>
    <author>tc={DD6EDF64-B465-43A8-BFFD-1363E6E3C84A}</author>
    <author>tc={7793CA10-1C7D-448C-8CE9-72155CA679FE}</author>
    <author>tc={1DCBCA5F-B6DF-4949-8712-85766D96DC79}</author>
    <author>tc={85DF7C38-308C-4CE4-88D0-30F52863BAFD}</author>
    <author>tc={A1C8A99E-E3B3-41A3-9EDE-C0974C9E6E44}</author>
  </authors>
  <commentList>
    <comment ref="V5" authorId="0" shapeId="0" xr:uid="{CA2F1D41-AC46-4C36-9230-0071E35B7FC0}">
      <text>
        <t>[Threaded comment]
Your version of Excel allows you to read this threaded comment; however, any edits to it will get removed if the file is opened in a newer version of Excel. Learn more: https://go.microsoft.com/fwlink/?linkid=870924
Comment:
    Merge net supply with net capacity</t>
      </text>
    </comment>
    <comment ref="V7" authorId="1" shapeId="0" xr:uid="{7C307F02-82A9-4B37-AE26-E17A358A1043}">
      <text>
        <t>[Threaded comment]
Your version of Excel allows you to read this threaded comment; however, any edits to it will get removed if the file is opened in a newer version of Excel. Learn more: https://go.microsoft.com/fwlink/?linkid=870924
Comment:
    Percentage should be significantly higher
Reply:
    Merge with cusom</t>
      </text>
    </comment>
    <comment ref="V11" authorId="2" shapeId="0" xr:uid="{DD6EDF64-B465-43A8-BFFD-1363E6E3C84A}">
      <text>
        <t>[Threaded comment]
Your version of Excel allows you to read this threaded comment; however, any edits to it will get removed if the file is opened in a newer version of Excel. Learn more: https://go.microsoft.com/fwlink/?linkid=870924
Comment:
    Merge with inflation</t>
      </text>
    </comment>
    <comment ref="V12" authorId="3" shapeId="0" xr:uid="{7793CA10-1C7D-448C-8CE9-72155CA679FE}">
      <text>
        <t>[Threaded comment]
Your version of Excel allows you to read this threaded comment; however, any edits to it will get removed if the file is opened in a newer version of Excel. Learn more: https://go.microsoft.com/fwlink/?linkid=870924
Comment:
    Can remove this. Adds extra complexity</t>
      </text>
    </comment>
    <comment ref="V13" authorId="4" shapeId="0" xr:uid="{1DCBCA5F-B6DF-4949-8712-85766D96DC79}">
      <text>
        <t>[Threaded comment]
Your version of Excel allows you to read this threaded comment; however, any edits to it will get removed if the file is opened in a newer version of Excel. Learn more: https://go.microsoft.com/fwlink/?linkid=870924
Comment:
    Can remove this and merge with net demand</t>
      </text>
    </comment>
    <comment ref="W17" authorId="5" shapeId="0" xr:uid="{85DF7C38-308C-4CE4-88D0-30F52863BAFD}">
      <text>
        <t>[Threaded comment]
Your version of Excel allows you to read this threaded comment; however, any edits to it will get removed if the file is opened in a newer version of Excel. Learn more: https://go.microsoft.com/fwlink/?linkid=870924
Comment:
    Add geographical consolidation. Maybe they have 10 suppliers but all are in China.</t>
      </text>
    </comment>
    <comment ref="V20" authorId="6" shapeId="0" xr:uid="{A1C8A99E-E3B3-41A3-9EDE-C0974C9E6E44}">
      <text>
        <t xml:space="preserve">[Threaded comment]
Your version of Excel allows you to read this threaded comment; however, any edits to it will get removed if the file is opened in a newer version of Excel. Learn more: https://go.microsoft.com/fwlink/?linkid=870924
Comment:
    Merge with security / stability / conflict
Reply:
    Flag “High Geopolitical Risk” if &gt;30% of supplier capacity lies in countries scoring &lt;50 on World Bank political stability index or where logistics reliability index &lt; -0.5. </t>
      </text>
    </comment>
  </commentList>
</comments>
</file>

<file path=xl/sharedStrings.xml><?xml version="1.0" encoding="utf-8"?>
<sst xmlns="http://schemas.openxmlformats.org/spreadsheetml/2006/main" count="23794" uniqueCount="2299">
  <si>
    <t>Rapid.AI - Indirect Procurement Assessment Tool - Questionnaire</t>
  </si>
  <si>
    <t>Category Levels</t>
  </si>
  <si>
    <t>Question Theme</t>
  </si>
  <si>
    <t>Assessment questionnaire</t>
  </si>
  <si>
    <t>Maturity Range</t>
  </si>
  <si>
    <t>Lever</t>
  </si>
  <si>
    <t>Q No.</t>
  </si>
  <si>
    <t>L1</t>
  </si>
  <si>
    <t>L2</t>
  </si>
  <si>
    <t>L3</t>
  </si>
  <si>
    <t>Questions</t>
  </si>
  <si>
    <t>Low (1)</t>
  </si>
  <si>
    <t>Little (2)</t>
  </si>
  <si>
    <t>Middle (3)</t>
  </si>
  <si>
    <t>High (4)</t>
  </si>
  <si>
    <t>Savings% (low)</t>
  </si>
  <si>
    <t>Savings% (high)</t>
  </si>
  <si>
    <t>Savings Opportunity</t>
  </si>
  <si>
    <t>Lever Description</t>
  </si>
  <si>
    <t>4 Strategies</t>
  </si>
  <si>
    <t>16 Levers</t>
  </si>
  <si>
    <t>64 Methods</t>
  </si>
  <si>
    <t>Office Supplies</t>
  </si>
  <si>
    <t>NA</t>
  </si>
  <si>
    <t>% Spend with the top 3 suppliers</t>
  </si>
  <si>
    <t>&gt;60%</t>
  </si>
  <si>
    <t>&gt;70%</t>
  </si>
  <si>
    <t>&gt;80%</t>
  </si>
  <si>
    <t>&gt;90%</t>
  </si>
  <si>
    <t>Consolidate to max 3 suppliers for all office material spending</t>
  </si>
  <si>
    <t>Leverage Competition Among Suppliers</t>
  </si>
  <si>
    <t xml:space="preserve"> Rationalize Supply Base</t>
  </si>
  <si>
    <t xml:space="preserve"> Consolidate volume/reduce number of suppliers</t>
  </si>
  <si>
    <t>Travel</t>
  </si>
  <si>
    <t>Air</t>
  </si>
  <si>
    <t>Are budget airlines included in the portal?</t>
  </si>
  <si>
    <t>No or we do not have a travel portal</t>
  </si>
  <si>
    <t>No, but can be booked and expensed privately</t>
  </si>
  <si>
    <t>Yes, without its highlighting</t>
  </si>
  <si>
    <t>Yes, are displayed as preferred</t>
  </si>
  <si>
    <t>Including budget airlines offers cost-effective options and leverages competition to reduce prices.</t>
  </si>
  <si>
    <t xml:space="preserve"> Standardize Specifications</t>
  </si>
  <si>
    <t xml:space="preserve"> Leverage competition (general)</t>
  </si>
  <si>
    <t>Rail</t>
  </si>
  <si>
    <t>Are employees able to apply for a loyalty card for the ground transport (rails)?</t>
  </si>
  <si>
    <t>Yes, anyone can submit a request</t>
  </si>
  <si>
    <t>After coordination with supervisors, an application can be submitted and approved</t>
  </si>
  <si>
    <t>Standard business case must be completed</t>
  </si>
  <si>
    <t>Anyone who regularly rides a train can submit an application</t>
  </si>
  <si>
    <t>Offering loyalty cards for rail travel reduces costs and enhances travel benefits through rewards.</t>
  </si>
  <si>
    <t>Seek Joint Advantage with Suppliers</t>
  </si>
  <si>
    <t xml:space="preserve"> Joint Process Improvement</t>
  </si>
  <si>
    <t xml:space="preserve"> Improve loyalty programs/discounts</t>
  </si>
  <si>
    <t>Fleet</t>
  </si>
  <si>
    <t>Fuel</t>
  </si>
  <si>
    <t>Are employees incentivized to drive more efficient?</t>
  </si>
  <si>
    <t>No</t>
  </si>
  <si>
    <t>Employees are informed about the general policy of efficient driving</t>
  </si>
  <si>
    <t>Once employees receive a car they can conduct voluntary trainings</t>
  </si>
  <si>
    <t>Yes - training on efficienct driving is mandatory to take. Telemetic supports transparency</t>
  </si>
  <si>
    <t>Drive efficiently to save on fuel, reduce maintenance costs, and potentially earn insurance discounts.</t>
  </si>
  <si>
    <t>Change the Nature of Demand</t>
  </si>
  <si>
    <t xml:space="preserve"> Reduce Complexity</t>
  </si>
  <si>
    <t xml:space="preserve"> Improve operational efficiency (e.g., fuel efficiency)</t>
  </si>
  <si>
    <t>Are employees incentivized to reduce km travelled?</t>
  </si>
  <si>
    <t>Employees are informed about the general policy of not driving too many kms</t>
  </si>
  <si>
    <t>For business purposes employees are requested to reduce km allowance of travel</t>
  </si>
  <si>
    <t>Yes - avoid paying for privatly driven fuel (e.g. through telemetric solution), reduce km allowance of travel</t>
  </si>
  <si>
    <t>Implement incentives for employees to reduce kilometers traveled, such as rewards for carpooling, using public transport, or biking to work.</t>
  </si>
  <si>
    <t xml:space="preserve"> Reduce Consumption</t>
  </si>
  <si>
    <t xml:space="preserve"> Incentivize reduced travel</t>
  </si>
  <si>
    <t>Are employees incentivized to tank at the cheapest station?</t>
  </si>
  <si>
    <t>Employees are informed about fuel grade to purchase and card is limited to the relevant one</t>
  </si>
  <si>
    <t>In addition to the fuel grade, employees receive app in the beginning</t>
  </si>
  <si>
    <t>Yes, app for cheapest fuel station nearby is loaded on the phones and positive news coverage on the internal newsletter / incentivation for employees exist/ name &amp; shame list</t>
  </si>
  <si>
    <t>Implementing financial incentives, such as bonuses or matching contributions, encourages employees to save money by directly rewarding their savings efforts.</t>
  </si>
  <si>
    <t xml:space="preserve"> Incentivize consumption reduction</t>
  </si>
  <si>
    <t>Legal</t>
  </si>
  <si>
    <t>Are hourly rates and experience levels set and controlled for each contract?</t>
  </si>
  <si>
    <t>Only for selected contracts</t>
  </si>
  <si>
    <t>For the majority of contracts</t>
  </si>
  <si>
    <t>Yes, completely</t>
  </si>
  <si>
    <t>Indicative hourly rates and experience levels allow performance-based project control and provide grounds for complaints if hours significantly exceed estimates.</t>
  </si>
  <si>
    <t>Manage Spend</t>
  </si>
  <si>
    <t xml:space="preserve"> Control Compliance</t>
  </si>
  <si>
    <t xml:space="preserve"> Implement performance-based contracts/SLAs</t>
  </si>
  <si>
    <t>Audit</t>
  </si>
  <si>
    <t>HR</t>
  </si>
  <si>
    <t>Training</t>
  </si>
  <si>
    <t>Are internal resources leverage to conduct trainings?</t>
  </si>
  <si>
    <t>No, external trainers are used</t>
  </si>
  <si>
    <t>There are few examples conducted, but they mainly did not work out.</t>
  </si>
  <si>
    <t>Yes, we have continuously been working on this strategy and overcome the initial downsides.</t>
  </si>
  <si>
    <t>Yes, around 60-70% of the trainings are conducted with internal experts</t>
  </si>
  <si>
    <t>Consider training to be conducted internaly, enables to realize savings &amp; build a training 100% to the need of the specific company &amp; culture.</t>
  </si>
  <si>
    <t xml:space="preserve"> Insourcing (for services)</t>
  </si>
  <si>
    <t>Way of purchasing</t>
  </si>
  <si>
    <t>Are preferential OEMs defined (car manufacturer) and pre-negotiated agreements exist? If yes, what is the % share of the top 3 OEMs?</t>
  </si>
  <si>
    <t>&lt;50%</t>
  </si>
  <si>
    <t>50-70%</t>
  </si>
  <si>
    <t>70-90%</t>
  </si>
  <si>
    <t xml:space="preserve">Within a RFP ideally fix 1-2 OEMs, to ensure the received discounts are significant. </t>
  </si>
  <si>
    <t>Target Pricing &amp; Cost modles</t>
  </si>
  <si>
    <t>Strategic supplier selection (focused)</t>
  </si>
  <si>
    <t>Policy</t>
  </si>
  <si>
    <t>Are there programs to reduce underutilized assets (e.g. pool cars)  or oversized assets e.g. dispose, expand areas of influence, manage base workload and use 3rd parties for peak?</t>
  </si>
  <si>
    <t>No - we trust the people driving this topic take care of it</t>
  </si>
  <si>
    <t>Yes - there are policies existing but controlling is low</t>
  </si>
  <si>
    <t>Policies existing, controlling in certain countries not overarching</t>
  </si>
  <si>
    <t>Policies &amp; tracking are regularly conducted, utilization is managed properly</t>
  </si>
  <si>
    <t>Implementing programs to manage underutilized and oversized assets throughout their lifecycle ensures optimal usage and cost distribution. This approach helps in disposing of unnecessary assets, expanding their influence, and efficiently managing workloads with the use of third parties for peak times, resulting in significant cost savings</t>
  </si>
  <si>
    <t>Optimize Asset Utilization</t>
  </si>
  <si>
    <t>Optimize asset utilization/dispose of unused assets</t>
  </si>
  <si>
    <t xml:space="preserve">Are white label (no-name brands) products focused? </t>
  </si>
  <si>
    <t>They are offered</t>
  </si>
  <si>
    <t>They are preferred</t>
  </si>
  <si>
    <t>Only white lable products can be ordered</t>
  </si>
  <si>
    <t>Use white label where possible, typically this needs to be &gt; 90% for office suppliers</t>
  </si>
  <si>
    <t xml:space="preserve"> Use white-label/private label products</t>
  </si>
  <si>
    <t>Logistics</t>
  </si>
  <si>
    <t>CEP Logistics</t>
  </si>
  <si>
    <t>Are you able to cherry-pick the best partner rate on a tradelane for different service levels and / or weight buckets?</t>
  </si>
  <si>
    <t>Not at all</t>
  </si>
  <si>
    <t>with some manual effort</t>
  </si>
  <si>
    <t>partially automised</t>
  </si>
  <si>
    <t>full system support available</t>
  </si>
  <si>
    <t>Optimize partner rates by service level and weight bucket on tradelanes.</t>
  </si>
  <si>
    <t xml:space="preserve"> Target Pricing &amp; Cost Models</t>
  </si>
  <si>
    <t xml:space="preserve"> Optimize pricing structures</t>
  </si>
  <si>
    <t>Are you currently cooperating with a purchasing consortium or are planning to do so in the future?</t>
  </si>
  <si>
    <t>Not yet but planned</t>
  </si>
  <si>
    <t>Planned and close to implement</t>
  </si>
  <si>
    <t>Yes</t>
  </si>
  <si>
    <t>Collaborative purchasing to leverage collective buying power for cost savings.</t>
  </si>
  <si>
    <t xml:space="preserve"> Joint Capacity &amp; Planning</t>
  </si>
  <si>
    <t xml:space="preserve"> Collaborative Sourcing</t>
  </si>
  <si>
    <t>Recruitment</t>
  </si>
  <si>
    <t>Demand management: when is external recruiting services taken into account?</t>
  </si>
  <si>
    <t>Whenever the business manager has difficulties to find the best staff</t>
  </si>
  <si>
    <t>There are lose guidelines existing when to reach out to an external recruiter.</t>
  </si>
  <si>
    <t>There are clearly defined guildlines existing, which define when external recruiting can be taken into account.</t>
  </si>
  <si>
    <t xml:space="preserve">There are clearly defined guildlines existing, which define when external recruiting can be taken into account. In addition, alternative channels are fostered: e.g. use internal talent pool, launch internal refferal  </t>
  </si>
  <si>
    <t>Focus external recruiting towards just C-level and potentially 1 level below. Challenge if internal activities can be conducted that help with recruiting this person.</t>
  </si>
  <si>
    <t xml:space="preserve"> Insourcing (for recruiting)</t>
  </si>
  <si>
    <t>Consulting</t>
  </si>
  <si>
    <t>Demand review: Do you have a well-shaped process in place where the CEO/ senior level is approving the need for consulting projects and the costs?</t>
  </si>
  <si>
    <t>Limited exploration</t>
  </si>
  <si>
    <t>Yes, but not fully implemented</t>
  </si>
  <si>
    <t>Yes- the CEO/ or similar is approving all the consulting projects?</t>
  </si>
  <si>
    <t>Establish spend approval boards: By ensuring senior-level approval for consulting projects, you centralize decision-making and enhance planning efficiency. This reduces disruption costs, leading to more streamlined processes and significant cost savings</t>
  </si>
  <si>
    <t xml:space="preserve"> Improve Process Efficiency</t>
  </si>
  <si>
    <t xml:space="preserve"> Centralize decision-making/approval</t>
  </si>
  <si>
    <t>Demand steering: when an agreement is made with a recruiting agency - how is the agreement set-up?</t>
  </si>
  <si>
    <t>The relevant employee discusses with the recruiting agency what they currently needs - if there are further demands (e.g. over his department), new discussions will arise</t>
  </si>
  <si>
    <t>Demand is covered throughout different Bus. Withthis conslidated demand the HR and Procurement department speaks with the recruiter</t>
  </si>
  <si>
    <t>Like answer before + the discussion is opened towards the recruiting company, how a best-in-case solution would look like</t>
  </si>
  <si>
    <t>After negotiations, the contract is right-sized based on actual needs and historic KPIs, thereby ensuring maximum ROI for all services, such as:
          -Optimize no. of job postings per year
          -Challenge necessity of add-ons, such as banners
          -Adjust service scope in alignment with overarching channel strategy
-Ensure holistic supplier strategy through cross-category negotiations (e.g. with Training)</t>
  </si>
  <si>
    <t>Effective management of recruiting agency agreements provides transparency and consolidation, simplifying the process and ensuring cost-effective and efficient recruitment solutions</t>
  </si>
  <si>
    <t xml:space="preserve"> Optimize contract management</t>
  </si>
  <si>
    <t>Describe the approach how to tender OEMs and leasing car companies</t>
  </si>
  <si>
    <t>We have consistently the same suppliers since years and re-negotiate when possible and feasible</t>
  </si>
  <si>
    <t>We are tendering leasing companies on a regular basis - country by country</t>
  </si>
  <si>
    <t>We are tendering leasing companies &amp; ask quotations of OEMs on a regular basis</t>
  </si>
  <si>
    <t>We are tendering both demands at the same time - every 3 years and fix framework agreements. Every time larger demands arise mini-RFPs are conducted between the providers</t>
  </si>
  <si>
    <t>Ideally, leasing companies and OEMs are tendered at the same time - every 3 years and fix framework agreements. Every time larger demands arise mini-RFPs are conducted between the providers</t>
  </si>
  <si>
    <t xml:space="preserve"> Competitive Bidding</t>
  </si>
  <si>
    <t xml:space="preserve"> Framework agreements &amp; mini-RFPs</t>
  </si>
  <si>
    <t>Do supplier panels by audit area exist?</t>
  </si>
  <si>
    <t>No, the audit department can freely chose a supplier for audit work</t>
  </si>
  <si>
    <t>There are recommended audit companies to work with, the audit department can deviate with reasons</t>
  </si>
  <si>
    <t>Supplier panels exists and are agreed - mostly consisting of currently hired companies</t>
  </si>
  <si>
    <t>There is a clear set of a defined supplier panel (consisting of larger &amp; expensive companies as well as smallers), that is commonly agreed between audit department and Procurement - and can just be altered with senior approval</t>
  </si>
  <si>
    <t>Supplier panels by category by audit area should exist.</t>
  </si>
  <si>
    <t xml:space="preserve"> Establish preferred supplier panels</t>
  </si>
  <si>
    <t>Do supplier panels by legal area exist?</t>
  </si>
  <si>
    <t>No, the legal department can freely chose a supplier for legal work</t>
  </si>
  <si>
    <t>There are recommanded legal companies to work with, the legal department can deviate with reasons</t>
  </si>
  <si>
    <t>There is a clear set of a defined supplier panel (consisting of larger &amp; expensive companies as well as smallers), that is commonly agreed between legal department and Procurement - and can just be altered with senior approval</t>
  </si>
  <si>
    <t>Organizes suppliers by legal area for efficient and transparent selection.</t>
  </si>
  <si>
    <t xml:space="preserve"> Standardize supplier selection criteria</t>
  </si>
  <si>
    <t>Do variable rewards per project exist?</t>
  </si>
  <si>
    <t>Only partially</t>
  </si>
  <si>
    <t>For majority of projects</t>
  </si>
  <si>
    <t>Yes, the majority of the contracts have KPI-based satisfaction bonus</t>
  </si>
  <si>
    <t>Variable project remuneration can reduce purchasing costs through volume bonuses for exceeding turnover limits and satisfaction-dependent KPIs to adjust prices based on project satisfaction.</t>
  </si>
  <si>
    <t xml:space="preserve"> Implement performance-based contracts/variable remuneration</t>
  </si>
  <si>
    <t>Variable project remuneration can reduce purchasing costs through volume bonuses for exceeding turnover limits and satisfaction-dependent KPIs to lower prices in case of dissatisfaction.</t>
  </si>
  <si>
    <t>Control Compliance</t>
  </si>
  <si>
    <t>Implement performance-based contracts/variable remuneration</t>
  </si>
  <si>
    <t>Temp Labour</t>
  </si>
  <si>
    <t>Do you activly track the duration of stay of a temp labour employee against the current equal pay duration?</t>
  </si>
  <si>
    <t>No this is not tracked &amp; managed. A temp labour person stays as long as needed within the organization</t>
  </si>
  <si>
    <t>It is tracked - so that the relevant manager is notified about the cost increase</t>
  </si>
  <si>
    <t>It is tracked and the managers are actively asked to review the need; but most likely they vote to stay with the temp labour employee</t>
  </si>
  <si>
    <t>With the supplier an exchange program is set-up - so that a temp labour employee is exchanged based on duration</t>
  </si>
  <si>
    <t>Track the duration of temps on a regular basis. If temp is longer than 12 months - check for insourcing</t>
  </si>
  <si>
    <t xml:space="preserve"> Insourcing (for temp labor)</t>
  </si>
  <si>
    <t>Do you bundle audit services with your subsidiaries at the same firms?</t>
  </si>
  <si>
    <t>Yes but only partially</t>
  </si>
  <si>
    <t>Yes, to an extent</t>
  </si>
  <si>
    <t>Yes, fully</t>
  </si>
  <si>
    <t>Subsidiary companies can be audited by the same law firm, if legally permissible, resulting in cost savings through volume bundling.</t>
  </si>
  <si>
    <t xml:space="preserve"> Consolidate Volume</t>
  </si>
  <si>
    <t xml:space="preserve"> Bundle demand across entities</t>
  </si>
  <si>
    <t>Do you bundle legal needs with your subsidiaries at the same law firms?</t>
  </si>
  <si>
    <t>Corporate subsidiaries can bundle legal services to align rates and increase volume at law firms.</t>
  </si>
  <si>
    <t>Do you check the hours booked and billed by the law firms and reconcile them with the assessments of the internal requesters?</t>
  </si>
  <si>
    <t>All projects</t>
  </si>
  <si>
    <t>By comparing booked and charged hours with internal request estimates, overbooked hours can be identified.</t>
  </si>
  <si>
    <t xml:space="preserve"> Monitor and verify hours/expenses</t>
  </si>
  <si>
    <t>MRO</t>
  </si>
  <si>
    <t>Do you convert OEM spare parts to low-priced private label/white label products together with your distributors?</t>
  </si>
  <si>
    <t>-</t>
  </si>
  <si>
    <t>Orders bypassing the purchasing department risk inefficient pricing. A simple catalog connection and consistent tracking of manufacturer material numbers can route internal customers to the specified purchasing process.</t>
  </si>
  <si>
    <t xml:space="preserve"> Implement e-catalogs/streamline ordering</t>
  </si>
  <si>
    <t>Do you have a carrier preference?</t>
  </si>
  <si>
    <t>No preference</t>
  </si>
  <si>
    <t>Preferred carrier based on region</t>
  </si>
  <si>
    <t>Preferred carrier for all travels</t>
  </si>
  <si>
    <t>Preferred carrier who are within one alliance</t>
  </si>
  <si>
    <t>Preferred carrier relationships secure favorable rates and service quality, enhancing cost efficiency.</t>
  </si>
  <si>
    <t xml:space="preserve"> Develop preferred supplier relationships</t>
  </si>
  <si>
    <t>Hotel</t>
  </si>
  <si>
    <t>Do you have a city cap on Hotels?</t>
  </si>
  <si>
    <t>No city cap</t>
  </si>
  <si>
    <t>City cap in major cities only</t>
  </si>
  <si>
    <t>City cap in all cities of travel</t>
  </si>
  <si>
    <t>Dynamic city cap based on travel season</t>
  </si>
  <si>
    <t>Setting city caps on hotels controls expenses and ensures cost-effective accommodation choices.</t>
  </si>
  <si>
    <t xml:space="preserve"> Implement spend limits/caps</t>
  </si>
  <si>
    <t>Car Rental</t>
  </si>
  <si>
    <t>Do you have a Commission based or fixed-rate compensation model</t>
  </si>
  <si>
    <t>Commission-based model</t>
  </si>
  <si>
    <t>Fixed-rate compensation model</t>
  </si>
  <si>
    <t>Mixed model (both commission and fixed-rate)</t>
  </si>
  <si>
    <t>No specific model defined</t>
  </si>
  <si>
    <t>Choosing the right compensation model aligns costs with usage, optimizing rental expenses.</t>
  </si>
  <si>
    <t xml:space="preserve"> Optimize pricing models (rental)</t>
  </si>
  <si>
    <t>Do you have a pre-qualification process for identifying and selecting qualified consulting providers with relevant experience and expertise in specific areas like compliance or risk management?</t>
  </si>
  <si>
    <t>No pre-qualification process</t>
  </si>
  <si>
    <t>Basic pre-qualification exists, but may not be consistently applied</t>
  </si>
  <si>
    <t>Standardized pre-qualification process ensures qualified consulting providers with relevant experience</t>
  </si>
  <si>
    <t>Rigorous pre-qualification process evaluates potential providers based on specific criteria aligned with project requirements and industry best practices</t>
  </si>
  <si>
    <t>Set-up framework contracts for different types of consulting work, allows to commercially tender and have the right rates in place.</t>
  </si>
  <si>
    <t xml:space="preserve"> Framework agreements</t>
  </si>
  <si>
    <t>Uber/ Taxi</t>
  </si>
  <si>
    <t>Do you have company agreements for taxis/ uber?</t>
  </si>
  <si>
    <t>No - employees can freely chose when they want to use what</t>
  </si>
  <si>
    <t>Yes- there are agreements with uber as well as taxi companies in place. The policy defines, that employees should primerily use Uber.</t>
  </si>
  <si>
    <t>Establishing agreements with taxi/Uber services ensures standardized rates and cost savings.</t>
  </si>
  <si>
    <t xml:space="preserve"> Negotiate framework agreements (travel)</t>
  </si>
  <si>
    <t>Do you have LRA rate card with Tier 1/Tier 2 hotel chains across top cities of travel?</t>
  </si>
  <si>
    <t>No LRA rate card</t>
  </si>
  <si>
    <t>LRA rate card with Tier 1 hotels only</t>
  </si>
  <si>
    <t>LRA rate card with Tier 2 hotels only</t>
  </si>
  <si>
    <t>LRA rate card with both Tier 1 and Tier 2 hotels</t>
  </si>
  <si>
    <t>Maintaining an LRA rate card ensures standardized rates, fostering relationships and cost efficiencies.</t>
  </si>
  <si>
    <t xml:space="preserve"> Standardize rate cards</t>
  </si>
  <si>
    <t>Do you have preferred partners with negotiated rates for Car rentals?</t>
  </si>
  <si>
    <t>No preferred partners</t>
  </si>
  <si>
    <t>Some preferred partners with minimal negotiations</t>
  </si>
  <si>
    <t>Preferred partners with standard negotiated rates</t>
  </si>
  <si>
    <t>Extensive preferred partners with comprehensive negotiated rates</t>
  </si>
  <si>
    <t>Partnering with preferred car rental providers ensures cost-effective rental options.</t>
  </si>
  <si>
    <t xml:space="preserve"> Develop preferred supplier relationships (travel)</t>
  </si>
  <si>
    <t>IT</t>
  </si>
  <si>
    <t>Software development and maintenance</t>
  </si>
  <si>
    <t>Do you have strategic supplier pools serving different needs?</t>
  </si>
  <si>
    <t>Consolidate contracts by developing small suppliers and establishing a preferred supplier pool for major development. Transition to fixed pricing with risk-sharing mechanisms and establish SLA guidelines to track compliance and shortcomings.</t>
  </si>
  <si>
    <t xml:space="preserve"> Consolidate contracts &amp; suppliers</t>
  </si>
  <si>
    <t>Do you leverage AI for development/ testing activities?</t>
  </si>
  <si>
    <t>Rarely</t>
  </si>
  <si>
    <t>Partially</t>
  </si>
  <si>
    <t>Fully</t>
  </si>
  <si>
    <t>Leveraging AI-based models can automate some parts of development and testing; thus reducing time and resource needs. This innovative approach minimizes manual tasks, cuts operational costs and boosts efficiency.</t>
  </si>
  <si>
    <t xml:space="preserve"> Automate processes (development/testing)</t>
  </si>
  <si>
    <t>IT helpdesk</t>
  </si>
  <si>
    <t>Do you leverage the full potential of AI to process help desk inquiries automatically?</t>
  </si>
  <si>
    <t>Automating help desk inquiries with AI cuts support costs and frees up resources for complex issues.</t>
  </si>
  <si>
    <t xml:space="preserve"> Automate processes (help desk)</t>
  </si>
  <si>
    <t xml:space="preserve">Do you use Travel Agency for all your bookings? If not, what percentage of your bookings go through Client’s Travel Agency ? </t>
  </si>
  <si>
    <t>No travel agency used</t>
  </si>
  <si>
    <t>Less than 50% of bookings through the agency</t>
  </si>
  <si>
    <t>50-70% of bookings through the agency</t>
  </si>
  <si>
    <t>More than 70% of bookings through the agency</t>
  </si>
  <si>
    <t>Partnering with a travel agency streamlines bookings and leverages discounts, reducing travel costs.</t>
  </si>
  <si>
    <t xml:space="preserve"> Consolidate travel agencies</t>
  </si>
  <si>
    <t>LOG Ocean</t>
  </si>
  <si>
    <t>Do you work with all-in rates or are these unbundled, e.g., comparing door-door with forwarder vs. port-port with self-managed pre-/on-carriage?</t>
  </si>
  <si>
    <t>All-in rates</t>
  </si>
  <si>
    <t>Mixed with more all-in rates</t>
  </si>
  <si>
    <t>Mixed with more unbundled rates</t>
  </si>
  <si>
    <t>Unbundled rates</t>
  </si>
  <si>
    <t>Unbundled rates with categorized services for flexible cost management.</t>
  </si>
  <si>
    <t xml:space="preserve"> Unbundle rates/services</t>
  </si>
  <si>
    <t>Road Logistics</t>
  </si>
  <si>
    <t>Do you work with all-in rates or are these unbundled, e.g., with separate fuel floater and surcharges?</t>
  </si>
  <si>
    <t>Standard tenders focus on quotes and supplier margins, while expressive bidding also addresses systemic costs through volume discounts, bundle discounts, and alternative bids, leading to lower rates.</t>
  </si>
  <si>
    <t xml:space="preserve"> Expressive bidding</t>
  </si>
  <si>
    <t>Packaging</t>
  </si>
  <si>
    <t>Do your contracts include any sort of price adjustment mechanisms based on raw material indexes?</t>
  </si>
  <si>
    <t>No price adjustment clauses - fixed contract pricing only</t>
  </si>
  <si>
    <t>No automatic price adjustment clause, but regular (e.g. half-yearly) price negotiations</t>
  </si>
  <si>
    <t>Price adjustment clauses for the main categories in terms of spend</t>
  </si>
  <si>
    <t>Price adjustements for all contracts</t>
  </si>
  <si>
    <t>Cost-based price modeling is a process-oriented method for determining target prices. The basis for target prices are the individual process steps, to which reference values are applied.</t>
  </si>
  <si>
    <t xml:space="preserve"> Implement cost-based price modeling</t>
  </si>
  <si>
    <t>Flight: What classes can be booked?</t>
  </si>
  <si>
    <t>Not specified</t>
  </si>
  <si>
    <t>Business Class &gt; 3 hours</t>
  </si>
  <si>
    <t>Business Class &gt; 5 hours</t>
  </si>
  <si>
    <t>Only Economy Class</t>
  </si>
  <si>
    <t>Defining and enforcing flight class policies ensures cost-effective travel options.</t>
  </si>
  <si>
    <t xml:space="preserve"> Enforce travel policies (flight class)</t>
  </si>
  <si>
    <t>For leasing cars with defined return date (closed-end lease cars): What is the typical leasing duration?</t>
  </si>
  <si>
    <t>Very diverse,  depending who orders them</t>
  </si>
  <si>
    <t>Around 2 years as a standard</t>
  </si>
  <si>
    <t>Around 3 years as a standard</t>
  </si>
  <si>
    <t>4-5 years, depending on the country (road conditions)</t>
  </si>
  <si>
    <t>Leasing duration can vary, offering flexibility in lease terms to suit different needs.</t>
  </si>
  <si>
    <t xml:space="preserve"> Optimize Asset Utilization</t>
  </si>
  <si>
    <t xml:space="preserve"> Flexible leasing terms</t>
  </si>
  <si>
    <t>Marketing</t>
  </si>
  <si>
    <t>POS Material</t>
  </si>
  <si>
    <t xml:space="preserve">For that % of current POS material that could be replaced with digital - what is the business case? </t>
  </si>
  <si>
    <t>Significant</t>
  </si>
  <si>
    <t>Good</t>
  </si>
  <si>
    <t>Low</t>
  </si>
  <si>
    <t>No business case</t>
  </si>
  <si>
    <t>Move POS material to digital screens</t>
  </si>
  <si>
    <t xml:space="preserve"> Substitute materials/processes (digital)</t>
  </si>
  <si>
    <t>Traditional Media</t>
  </si>
  <si>
    <t>For TV and radio campaigns - what % of target audience (by spend behind the TA) experienced defintion change since last pitch (affecting rate commitments)?</t>
  </si>
  <si>
    <t>&gt;50%</t>
  </si>
  <si>
    <t>50-30%</t>
  </si>
  <si>
    <t>30-10%</t>
  </si>
  <si>
    <t>&lt;10%</t>
  </si>
  <si>
    <t>Ensure rate commitments for all pursued target audiences in TV/radio.</t>
  </si>
  <si>
    <t xml:space="preserve"> Ensure rate commitments</t>
  </si>
  <si>
    <t>For what share of spend is order modality (e.g. MOQ, batch size, scale pricing) regularly reviewed?</t>
  </si>
  <si>
    <t>&lt;25%</t>
  </si>
  <si>
    <t>25-50%</t>
  </si>
  <si>
    <t>50-75%</t>
  </si>
  <si>
    <t>75-100%</t>
  </si>
  <si>
    <t>This organization is characterized by the permanent concentration of decision makers in one place plus a dynamic planning process. Via improved information flow, disruption costs are avoided.</t>
  </si>
  <si>
    <t xml:space="preserve"> Improve information flow/centralize planning</t>
  </si>
  <si>
    <t>For what share of your SKUs % are specifications available in a central repository?</t>
  </si>
  <si>
    <t>Classification of all material/ supplier master data through standardized logic, consistent link-up of master data to the ordering system and avoidance of loosely worded purchase orders.</t>
  </si>
  <si>
    <t xml:space="preserve"> Standardize master data/ordering processes</t>
  </si>
  <si>
    <t>Furlough: Do you have a mandatory period defined, where no temp labour staff can be employed, e.g. outside at regular holidays, no overtime (as it is especially expensive)</t>
  </si>
  <si>
    <t xml:space="preserve">If the factory is closed (e.g. over Christmas) no temp labour is used </t>
  </si>
  <si>
    <t>Furlough is globally defined, but not implemented extensivly</t>
  </si>
  <si>
    <t>Yes- Furlough is defined and implemented where legally possible. The MSP tracks this closely.</t>
  </si>
  <si>
    <t>Temp labour policy to include Furlough (no temp labour during holiday season, no overtime)</t>
  </si>
  <si>
    <t xml:space="preserve"> Optimize labor utilization/policy</t>
  </si>
  <si>
    <t>Have you implemented measures to control dispensing (e.g. dispensing machines)?</t>
  </si>
  <si>
    <t>No, but planned within next 2 years</t>
  </si>
  <si>
    <t>Yes, currently being implemented</t>
  </si>
  <si>
    <t>Dispensing controls, like dispensing machines, effectively reduce the need for tools and PPE products. Authorized employees use a card to record and charge each withdrawal to the cost center, significantly reducing material removal and consumption.</t>
  </si>
  <si>
    <t xml:space="preserve"> Implement usage controls/dispensing machines</t>
  </si>
  <si>
    <t>Ad Production</t>
  </si>
  <si>
    <t>How are copy adaptations managed?</t>
  </si>
  <si>
    <t xml:space="preserve">All adaptations managed by respective brands creative agencies; no adaptation agency  </t>
  </si>
  <si>
    <t>Global productions adapted centrally; local productions adapted locally</t>
  </si>
  <si>
    <t>There is one adaptation agency with one set of ratecards globally</t>
  </si>
  <si>
    <t>All adaptations managed by one adaptation agency selected in less than 1 year ago with ratecards by geography</t>
  </si>
  <si>
    <t>Centralize all adaptation funding under a single agency.</t>
  </si>
  <si>
    <t xml:space="preserve"> Consolidate agency spend</t>
  </si>
  <si>
    <t>How are Recruiting sourced?</t>
  </si>
  <si>
    <t>The relevant employee reaches out to a recruiting service.</t>
  </si>
  <si>
    <t>The relevant employee highlights which recruiting would be needed and the Procurement department negotiates with the provider.</t>
  </si>
  <si>
    <t>The HR department creates an overview of all available recruiters. Starting with this, negotiations are conducted</t>
  </si>
  <si>
    <t xml:space="preserve">There is a tender process where specfically named recruiters are sourced &amp; compared to each other. </t>
  </si>
  <si>
    <t>Adopting global strategies for recruiting ensures the selection of the most competitive suppliers, leading to higher quality hires and cost-effective recruitment processes.</t>
  </si>
  <si>
    <t xml:space="preserve"> Global sourcing (recruiting)</t>
  </si>
  <si>
    <t>How are specifications and profiles created?</t>
  </si>
  <si>
    <t>Specifications and profiles are in place since years - they are defined in accordance to the years of experience and the education level an individual has</t>
  </si>
  <si>
    <t>Specifications and profiles are challenged by procurement together with the demand organization within a certain interval (half years) to ensure that just the really needed skills are requested</t>
  </si>
  <si>
    <t>Specifications are defined in accordance to the real need and the tasks of the skill</t>
  </si>
  <si>
    <t>Challenging of the spec and updating occurs on a regular basis</t>
  </si>
  <si>
    <t>Challenging of the spec and updating occurs on a regular basis.</t>
  </si>
  <si>
    <t xml:space="preserve"> Optimize Specifications</t>
  </si>
  <si>
    <t xml:space="preserve"> Challenge and update specifications</t>
  </si>
  <si>
    <t>How are specifications defined for company fleet (based on which budget for fleet is defined)?</t>
  </si>
  <si>
    <t>Cars come in a large variety, depending who orders them</t>
  </si>
  <si>
    <t>Specs are defined as needed with small limitations</t>
  </si>
  <si>
    <t>Standard options are possible for the car</t>
  </si>
  <si>
    <t>Choice of specification is clearly defined, max. engine power, personal contribution is defined</t>
  </si>
  <si>
    <t>The ideal job car should be reliable, fuel-efficient, and comfortable, with ample storage space and advanced safety features.</t>
  </si>
  <si>
    <t xml:space="preserve"> Define optimal specifications (fleet)</t>
  </si>
  <si>
    <t>How are trainings sourced?</t>
  </si>
  <si>
    <t>The employee names the cost of the training towards the company.</t>
  </si>
  <si>
    <t>The employee highlights which training would be needed and the Procurement department negotiates with the provider.</t>
  </si>
  <si>
    <t>The HR department creates an overview of all available trainings per department. Starting with this, negotiations are conducted</t>
  </si>
  <si>
    <t>There is a tender process where specfically named trainings are sourced &amp; compared to each other. In many cases an online platform is sourced, where trainings are available.</t>
  </si>
  <si>
    <t>Selecting the most competitive training suppliers from a global pool enhances training quality and cost efficiency, overcoming regional supply limitations</t>
  </si>
  <si>
    <t xml:space="preserve"> Global sourcing (training)</t>
  </si>
  <si>
    <t>How are you managing your internal demand to allocate the right service level based on actual need?</t>
  </si>
  <si>
    <t>some asks to business side to consider more cost effective options</t>
  </si>
  <si>
    <t>some rules and approval needed to restrict the ordering process</t>
  </si>
  <si>
    <t>approval process in place and regular review of nature of demand</t>
  </si>
  <si>
    <t>Optimize service levels by aligning demand with value-based sourcing categories.</t>
  </si>
  <si>
    <t xml:space="preserve"> Optimize Service Levels</t>
  </si>
  <si>
    <t xml:space="preserve"> Align service levels with demand</t>
  </si>
  <si>
    <t>Events</t>
  </si>
  <si>
    <t>How dilligent is discipline of evaluating events by ROI they generate?</t>
  </si>
  <si>
    <t>None</t>
  </si>
  <si>
    <t>Occassional</t>
  </si>
  <si>
    <t>Quite disciplined</t>
  </si>
  <si>
    <t>Very disciplined</t>
  </si>
  <si>
    <t>Use ROI analysis to enhance event demand.</t>
  </si>
  <si>
    <t xml:space="preserve"> Manage Demand</t>
  </si>
  <si>
    <t xml:space="preserve"> Use ROI analysis for demand</t>
  </si>
  <si>
    <t>How do you approach the topic of automation (self-services)?</t>
  </si>
  <si>
    <t>This has not been one of our focus topics in the past</t>
  </si>
  <si>
    <t>We analyze the reasons for ticket and ask the supplier what to do</t>
  </si>
  <si>
    <t>Based on the top reasons for ticketing, we create self-help/ FAQ answers</t>
  </si>
  <si>
    <t>We regularly do process reviews and understand how e.g. Password reset can be done</t>
  </si>
  <si>
    <t>Utilize automation for tasks like password resets to enhance efficiency.</t>
  </si>
  <si>
    <t xml:space="preserve"> Automate routine tasks</t>
  </si>
  <si>
    <t>How do you define an individuals eligibility for a company car?</t>
  </si>
  <si>
    <t>People receive cars according to an established old standard</t>
  </si>
  <si>
    <t>It is relativly easy to receive a car within the company</t>
  </si>
  <si>
    <t>Superior needs to decide who needs a car</t>
  </si>
  <si>
    <t>The employee needs to prove he needs a car for daily interaction, otherwise he can chose a car from the car park</t>
  </si>
  <si>
    <t>The Optimal Cross-Functional Car Policy ensures efficient vehicle use and maintenance across departments, promoting cost-effectiveness, safety, sustainability, and compliance with organizational goals.</t>
  </si>
  <si>
    <t xml:space="preserve"> Implement optimal car policy</t>
  </si>
  <si>
    <t>How do you measure and monitor the performance of consulting providers? Do you have a system for evaluating service quality, adherence to SLAs, and overall return on investment? Eg. ROI, Adherence to budget, adherence to timeline</t>
  </si>
  <si>
    <t>No formal process to measure and monitor performance</t>
  </si>
  <si>
    <t>Performance measured on basic criteria, with infrequent or inconsistent feedback</t>
  </si>
  <si>
    <t>Defined process measures performance against KPIs and SLAs for consulting providers, with regular feedback mechanisms</t>
  </si>
  <si>
    <t>Comprehensive performance management framework includes regular reviews, feedback mechanisms, and continuous improvement initiatives for consulting providers. Feedback is stored centrally and can be reviwed at next tender.</t>
  </si>
  <si>
    <t>Implementing a robust performance monitoring system for consulting providers ensures adherence to service agreements and budget, resulting in high-quality service delivery and maximizing return on investment.</t>
  </si>
  <si>
    <t xml:space="preserve"> Monitor supplier performance/SLAs</t>
  </si>
  <si>
    <t>Facility Management</t>
  </si>
  <si>
    <t>How do you rate the degree of transparency of the individual demands for Soft Services?</t>
  </si>
  <si>
    <t>&lt;20%</t>
  </si>
  <si>
    <t>20-60%</t>
  </si>
  <si>
    <t>60-80%</t>
  </si>
  <si>
    <t>80-100%</t>
  </si>
  <si>
    <t>Ensure comprehensive transparency in demands and needs for soft services to achieve harmonized SLAs and maintain controlled spending, enhancing service provider monitoring.</t>
  </si>
  <si>
    <t xml:space="preserve"> Ensure transparency in demand/SLAs</t>
  </si>
  <si>
    <t xml:space="preserve">How do you select suppliers - so that the qualitative &amp; commercially best supplier wins? </t>
  </si>
  <si>
    <t>Consulting companies are directly chosen by the requestor</t>
  </si>
  <si>
    <t>Ruleset per se requires the company to do tenders, but especially C-Suite is not acting upon it</t>
  </si>
  <si>
    <t>Tenders are conducted across all levels, but decision makers in the end chose the party they prefer, regardless of pricing</t>
  </si>
  <si>
    <t>Clear &amp; transparent tender process conducted. A pre-defined scorecard defines the winner of the bid.</t>
  </si>
  <si>
    <t>To select suppliers, a RFP must be set-up where commercial has a min. relevance of 40%</t>
  </si>
  <si>
    <t xml:space="preserve"> Define RFP criteria (commercial weighting)</t>
  </si>
  <si>
    <t>How do you set service level that is fleet lifecycle holding cost
commercially suitable and utilizes the minimum number of assets possible</t>
  </si>
  <si>
    <t>We take what the main client wants from us, average lifecycle for cars is 3 years</t>
  </si>
  <si>
    <t>Certain service levels are standardized, compliance is not tracked</t>
  </si>
  <si>
    <t>KPIs and SLAs exist but are different per different country</t>
  </si>
  <si>
    <t>KPIs and SLAs in place, 100% compliance - lifecycle is between 4-5 years for cars.</t>
  </si>
  <si>
    <t>Setting service levels based on comprehensive price comparison and contract terms helps ensure that fleet lifecycle costs are commercially suitable. This method allows for the utilization of the minimum number of assets necessary, optimizing costs and maintaining high service standards.</t>
  </si>
  <si>
    <t>Set Service levels based on cost/value</t>
  </si>
  <si>
    <t>How frequently do you negotiate prices with your suppliers?</t>
  </si>
  <si>
    <t>Every 5+ years</t>
  </si>
  <si>
    <t>Every 4 years</t>
  </si>
  <si>
    <t>Every 2 years</t>
  </si>
  <si>
    <t>Annually or more frequently</t>
  </si>
  <si>
    <t>Expressive bidding refers to obtaining supplier offers while allowing for “if-then” conditions (e.g. delivery period, service levels).</t>
  </si>
  <si>
    <t>How high is the share of specs, that are standardized group-wide?</t>
  </si>
  <si>
    <t>Aim for high standardization across sites, using a tiered system if needed, to categorize buildings for applicable standards.</t>
  </si>
  <si>
    <t xml:space="preserve"> Standardize across sites</t>
  </si>
  <si>
    <t>How high is the share of spend that is already purchased via distributors with competitive framework agreements (e.g. year-to-year savings, volume discount)?</t>
  </si>
  <si>
    <t>20-30%</t>
  </si>
  <si>
    <t>30-40%</t>
  </si>
  <si>
    <t>&gt;40%</t>
  </si>
  <si>
    <t>Distributors can meet much of the MRO demand with their broad white-label portfolio and support their implementation. For the "Other" product group, 40% coverage is assumed.</t>
  </si>
  <si>
    <t xml:space="preserve"> Use white-label/private label products (MRO)</t>
  </si>
  <si>
    <t>How high is the share of white label per category?</t>
  </si>
  <si>
    <t>&lt;15%</t>
  </si>
  <si>
    <t>15-25%</t>
  </si>
  <si>
    <t>25-35%</t>
  </si>
  <si>
    <t>&gt;35%</t>
  </si>
  <si>
    <t>White-label products offer a budget-friendly option compared to OEM parts, but ensuring their technical equivalence is crucial. The approval process for these products requires urgent review and optimization. Distributors are in a position to initiate and oversee this improvement.</t>
  </si>
  <si>
    <t>Standardize Specifications</t>
  </si>
  <si>
    <t>Use white-label/private label products (with technical review)</t>
  </si>
  <si>
    <t>How integrated are you with carriers to reduce manual workload through digitization?</t>
  </si>
  <si>
    <t>Minor integrations</t>
  </si>
  <si>
    <t>Important interfaces are integrated</t>
  </si>
  <si>
    <t>Fully integrated with all partners</t>
  </si>
  <si>
    <t>Firms often have multiple supplier rate cards, with varying prices for different weight buckets or service levels. A system recommending the best option for each shipment can optimize costs and efficiency.</t>
  </si>
  <si>
    <t xml:space="preserve"> Optimize rate card selection</t>
  </si>
  <si>
    <t>How is demand derived for temp labour?</t>
  </si>
  <si>
    <t>Every BU can freely request temp labour profiles</t>
  </si>
  <si>
    <t>A budget for temp labour is defined in advance and challenged on a regular basis (e.g. department has to re-justify why demand exists)</t>
  </si>
  <si>
    <t>Insourcing of an external resource is tested after a 9 month period (accordance to strategic importance and cost aspects)</t>
  </si>
  <si>
    <t>Workforce planning is conducted by HR in accordance with the respective departments (incl. FTE role vs. temp labor, policy/guideline/ governance)</t>
  </si>
  <si>
    <t>Pre-define the strategy regarding temps vs. perms. Ensure departments adhere to their budgets</t>
  </si>
  <si>
    <t xml:space="preserve"> Optimize Labor Mix</t>
  </si>
  <si>
    <t xml:space="preserve"> Define temp vs. perm strategy</t>
  </si>
  <si>
    <t>How is demand derived?</t>
  </si>
  <si>
    <t>Every individual can freely chose a training program &amp; the company pays for this</t>
  </si>
  <si>
    <t>There are general frames to which extend trainings can be chosen</t>
  </si>
  <si>
    <t>There is a larger list of pre-negotiated trainings the indivudual can chose from</t>
  </si>
  <si>
    <t>Just minimum required trainings are conducted, e.g. safety training</t>
  </si>
  <si>
    <t>Conduct demand management: reduce not obligatory trainings.</t>
  </si>
  <si>
    <t xml:space="preserve"> Manage non-obligatory demand</t>
  </si>
  <si>
    <t>How is temp labour sourcing conducted?</t>
  </si>
  <si>
    <t>Every site/ BU sources their temp labour agencies individually</t>
  </si>
  <si>
    <t>BU bundle their volumes so that truly global volumes are put on the market</t>
  </si>
  <si>
    <t>Next to hourly rate and multiplier also other benefits are requested, e.g. free trainings, additional ideas to circumvent high payment</t>
  </si>
  <si>
    <t>Global RFPs are conducted and additional ideas for savings are requested (e.g. reduction of equal pay in Germany)</t>
  </si>
  <si>
    <t>Global RFPs are conducted every 2-3 years, requesting additional savings ideas (e.g., reducing equal pay in Germany).</t>
  </si>
  <si>
    <t xml:space="preserve"> Conduct global RFPs (regularly)</t>
  </si>
  <si>
    <t>How is the approval process for training set-up?</t>
  </si>
  <si>
    <t>The employees does the training he wishes for</t>
  </si>
  <si>
    <t>The employee needs to discuss the trainings with his boss</t>
  </si>
  <si>
    <t>There is a rigorous approval process for trainings outside of prescribed catalogue and preferred partner network</t>
  </si>
  <si>
    <t>Streamlining the training approval process and ensuring adherence to guidelines results in efficient procurement and cost savings</t>
  </si>
  <si>
    <t xml:space="preserve"> Streamline approval processes</t>
  </si>
  <si>
    <t>End user/ Workplace Hardware</t>
  </si>
  <si>
    <t>How is the specification of the HW defined?</t>
  </si>
  <si>
    <t>The specification is defined according to what the employees ask for.</t>
  </si>
  <si>
    <t>Employee's needs are assessed and based on the relevant user group the specification is assigned to.</t>
  </si>
  <si>
    <t>Within a collaborative optimization the features are evaluated in monetary terms and decisions are based on them.</t>
  </si>
  <si>
    <t>Standardized hardware specifications / product variants. This enables more efficient sourcing &amp; buying, along with better consistency and more streamlined support processes.</t>
  </si>
  <si>
    <t xml:space="preserve"> Standardize hardware specifications</t>
  </si>
  <si>
    <t>How is your facility management organized?</t>
  </si>
  <si>
    <t>Not organized</t>
  </si>
  <si>
    <t>Local</t>
  </si>
  <si>
    <t>Regional</t>
  </si>
  <si>
    <t>Central</t>
  </si>
  <si>
    <t>Establish a central Facility Management organization for easier service provider monitoring, increased transparency, and better control over categories and services.</t>
  </si>
  <si>
    <t xml:space="preserve"> Centralize FM organization</t>
  </si>
  <si>
    <t>Travel Management Agency</t>
  </si>
  <si>
    <t>How many active travel agencies are you working with?</t>
  </si>
  <si>
    <t>Every country has its own</t>
  </si>
  <si>
    <t>30% spend bundled to one agency</t>
  </si>
  <si>
    <t>60% spend bundled to one agency</t>
  </si>
  <si>
    <t>Close to 100% bundled to one agency</t>
  </si>
  <si>
    <t>Consolidating travel agencies leverages volume bundling, reducing costs through economies of scale.</t>
  </si>
  <si>
    <t>How many carriers did participate in the last tender?</t>
  </si>
  <si>
    <t>&lt;5</t>
  </si>
  <si>
    <t>5-10</t>
  </si>
  <si>
    <t>10-25</t>
  </si>
  <si>
    <t>&gt;25</t>
  </si>
  <si>
    <t>In the current market, carriers can cherry-pick customers and loads, so it's crucial to become a shipper of choice by enhancing warehouse infrastructure and improving communication with carriers.</t>
  </si>
  <si>
    <t xml:space="preserve"> Become shipper of choice</t>
  </si>
  <si>
    <t>10-15</t>
  </si>
  <si>
    <t>&gt;15</t>
  </si>
  <si>
    <t>Leveraging carrier participation for competitive ocean freight rates.</t>
  </si>
  <si>
    <t xml:space="preserve"> Leverage carrier participation</t>
  </si>
  <si>
    <t>How many carriers do you have on your contact longlist?</t>
  </si>
  <si>
    <t>&gt;50</t>
  </si>
  <si>
    <t>25-50</t>
  </si>
  <si>
    <t>25-10</t>
  </si>
  <si>
    <t>&lt;10</t>
  </si>
  <si>
    <t>Transportation is often managed by a long-term partner with premium rates, but regularly seeking multiple quotes for large volumes helps identify alternatives and true market rates.</t>
  </si>
  <si>
    <t xml:space="preserve"> Benchmark and seek multiple quotes</t>
  </si>
  <si>
    <t>10-20</t>
  </si>
  <si>
    <t>20-30</t>
  </si>
  <si>
    <t>&gt;30</t>
  </si>
  <si>
    <t>Optimize carrier network by consolidating suppliers into specific categories.</t>
  </si>
  <si>
    <t xml:space="preserve"> Optimize carrier network/consolidate suppliers</t>
  </si>
  <si>
    <t>How many KPIs do you have in place to monitor the performance of the facility management providers?</t>
  </si>
  <si>
    <t>No KPIs defined</t>
  </si>
  <si>
    <t>Track and monitor a critical number of KPIs for effective governance; avoid too few or too many (over 15) KPIs to manage monitoring efforts efficiently.</t>
  </si>
  <si>
    <t xml:space="preserve"> Implement effective KPI monitoring</t>
  </si>
  <si>
    <t xml:space="preserve">How much flexibility does your department require when travelling? </t>
  </si>
  <si>
    <t>Complete flexibility</t>
  </si>
  <si>
    <t>Limited flexibility within predefined policies</t>
  </si>
  <si>
    <t>Strict adherence to policies</t>
  </si>
  <si>
    <t>Case-by-case flexibility based on approval</t>
  </si>
  <si>
    <t>Evaluating travel flexibility balances cost control with business needs, optimizing travel spend.</t>
  </si>
  <si>
    <t xml:space="preserve"> Evaluate travel flexibility</t>
  </si>
  <si>
    <t>Software licenses</t>
  </si>
  <si>
    <t>How much of your license spend is with preferred suppliers?</t>
  </si>
  <si>
    <t>Reduce the number of software license providers to enhance bargaining power.</t>
  </si>
  <si>
    <t xml:space="preserve"> Reduce number of software license providers</t>
  </si>
  <si>
    <t>How much of your packaging spend is purchased from distributors?</t>
  </si>
  <si>
    <t>&gt;75%</t>
  </si>
  <si>
    <t>75-50%</t>
  </si>
  <si>
    <t>50-25%</t>
  </si>
  <si>
    <t>How much spend is reviewed every year for budgeting?</t>
  </si>
  <si>
    <t>&lt;40%</t>
  </si>
  <si>
    <t>40-60%</t>
  </si>
  <si>
    <t>Setting up budgets for consultancy is a base step in establising a forecast and ensure Procurement can create meaningful framework contracts.</t>
  </si>
  <si>
    <t xml:space="preserve"> Set up budgets/forecasts (consultancy)</t>
  </si>
  <si>
    <t xml:space="preserve">How much spend volume was tendered and renegotiated in the last 12 month? </t>
  </si>
  <si>
    <t>Annually tender or renegotiate a high volume to benefit from market innovations and maintain high performance pressures on service providers.</t>
  </si>
  <si>
    <t xml:space="preserve"> Annual tendering/renegotiation</t>
  </si>
  <si>
    <t>How much time per week do you spend on market screening to stay on top of developments?</t>
  </si>
  <si>
    <t>&lt;5%</t>
  </si>
  <si>
    <t>5-10%</t>
  </si>
  <si>
    <t>&gt;10%</t>
  </si>
  <si>
    <t>A large supplier list doesn't guarantee higher savings and requires manual effort for communication and follow-ups, but greater participation increases competitive pressure and improves rates.</t>
  </si>
  <si>
    <t xml:space="preserve"> Optimize supplier participation in tenders</t>
  </si>
  <si>
    <t>How often is rate card negotiated with Preferred hotels?</t>
  </si>
  <si>
    <t>Never</t>
  </si>
  <si>
    <t>Every 3-5 years</t>
  </si>
  <si>
    <t>Every 2-3 years</t>
  </si>
  <si>
    <t>Annually</t>
  </si>
  <si>
    <t>Regularly negotiating hotel rate cards ensures competitive pricing and better deals.</t>
  </si>
  <si>
    <t xml:space="preserve"> Regular negotiation of rate cards</t>
  </si>
  <si>
    <t>How refreshed and relevant is the current roster of ad production suppliers?</t>
  </si>
  <si>
    <t>non-existing as agency is managing production</t>
  </si>
  <si>
    <t>Roster exists but loose discipline was applied when creating it a long time ago</t>
  </si>
  <si>
    <t>There is a focused roster but with ratecards updated more than 2 years ago</t>
  </si>
  <si>
    <t>Updated via pitch in &lt;1 year ago plus has LCC on the list</t>
  </si>
  <si>
    <t>Decouple production from creative agency and establish roster of production houses</t>
  </si>
  <si>
    <t xml:space="preserve"> Decouple services/diversify suppliers</t>
  </si>
  <si>
    <t>How to do you manage the reporting? How often do you send out policy compliance report across the org ?</t>
  </si>
  <si>
    <t>No reporting</t>
  </si>
  <si>
    <t>Ad-hoc reporting</t>
  </si>
  <si>
    <t>Quarterly reporting</t>
  </si>
  <si>
    <t>Monthly reporting</t>
  </si>
  <si>
    <t>Regular compliance reporting identifies deviations, ensuring cost-effective travel management.</t>
  </si>
  <si>
    <t xml:space="preserve"> Regular compliance reporting (travel)</t>
  </si>
  <si>
    <t>Real estate</t>
  </si>
  <si>
    <t>How to prepare negotiations with the landlord?</t>
  </si>
  <si>
    <t>Walk into it &amp; ask for a price reduction</t>
  </si>
  <si>
    <t>Walk into it &amp; ask for a price reduction &amp; in addition free month of rent</t>
  </si>
  <si>
    <t xml:space="preserve">Understand the m2 prices for similar properties to base the request, ask for free month of rent, </t>
  </si>
  <si>
    <t>Understand the m2 prices for similar properties &amp; have real alternatives at hand for a switch-over</t>
  </si>
  <si>
    <t>Conducting an in-depth analysis of existing data helps identify savings potential and prepares you for negotiations. Comparing discount rates and other factors ensures that you secure the best possible terms, optimizing costs and maximizing value</t>
  </si>
  <si>
    <t xml:space="preserve"> Data analysis for negotiation</t>
  </si>
  <si>
    <t>How well is global production market explored to capture production houses from low cost countries?</t>
  </si>
  <si>
    <t>Good potential</t>
  </si>
  <si>
    <t>Some potential</t>
  </si>
  <si>
    <t>Low potential</t>
  </si>
  <si>
    <t>Utilize cost-effective production sites.</t>
  </si>
  <si>
    <t xml:space="preserve"> Global Sourcing</t>
  </si>
  <si>
    <t xml:space="preserve"> Utilize low-cost production sites</t>
  </si>
  <si>
    <t>How well optimized are current media specs?</t>
  </si>
  <si>
    <t>Agency recommends mixes on ad hoc basis - mix was not fixed during tender</t>
  </si>
  <si>
    <t>Some agency recommendations for campaign mix references the mixes from tender</t>
  </si>
  <si>
    <t>Majority of agency recommendations for campaign mix references the mixes from tender</t>
  </si>
  <si>
    <t>For most campaigns, agency uses the deal type / station / daypart  / title as per the parameters fixed during tender (unless there is solid rationalle to deviate)</t>
  </si>
  <si>
    <t>Optimize specs: R/F goals, deal-time mix, station mix, daypart mix, title mix.</t>
  </si>
  <si>
    <t xml:space="preserve"> Optimize media specifications</t>
  </si>
  <si>
    <t>If relevant spend in meetings: Are contracts in place/ are meeting locations negotiated and do people have access to these pre-defined rates?</t>
  </si>
  <si>
    <t>There are no pre-defined rates</t>
  </si>
  <si>
    <t>An assistent has the rates and needs to be contacted for them - which most people do not do</t>
  </si>
  <si>
    <t>Online via sharepoint/a tool</t>
  </si>
  <si>
    <t>Policy in place, which states whether a meeting is really physically necessary</t>
  </si>
  <si>
    <t>Ensuring contracts for meeting locations controls expenses and optimizes facility use.</t>
  </si>
  <si>
    <t xml:space="preserve"> Contract management (meeting locations)</t>
  </si>
  <si>
    <t>Ink/printer cartridges: Is the colour limited to black and white?</t>
  </si>
  <si>
    <t>Savings on IT expendables can be tough due to quantity estimation challenges. Opting for no-name cartridges from reputable makers like Pelikan is a viable solution. They often oversee production and offer warranties for capacity and reliability. Replacing faulty hardware with these cartridges is common practice.</t>
  </si>
  <si>
    <t>Use generic/compatible products</t>
  </si>
  <si>
    <t>Is a system in place that monitors if developments can be used project overarching?</t>
  </si>
  <si>
    <t>Use standard applications instead of entirely new developments (home-brewn solution).</t>
  </si>
  <si>
    <t xml:space="preserve"> Use standard/off-the-shelf applications</t>
  </si>
  <si>
    <t>Is agency using the TCOC targets established during pitch for campaign planning?</t>
  </si>
  <si>
    <t>For some campaigns</t>
  </si>
  <si>
    <t>For most campaigns</t>
  </si>
  <si>
    <t>Always</t>
  </si>
  <si>
    <t>For TV/radio, secure agency commitments based on the total campaign cost rather than just the price per unit.
Secure agency commitments for TV/radio based on total campaign cost, not just unit price.</t>
  </si>
  <si>
    <t>Secure total campaign cost commitments</t>
  </si>
  <si>
    <t>Is an POS Material&amp; Print supplier in place</t>
  </si>
  <si>
    <t>Partially, some other agencies  exists</t>
  </si>
  <si>
    <t xml:space="preserve">Yes </t>
  </si>
  <si>
    <t>Define one integrator, who takes care of the whole SC and demand management of POS material</t>
  </si>
  <si>
    <t xml:space="preserve"> Appoint single integrator (POS)</t>
  </si>
  <si>
    <t>Is the standard of these Soft services determined centrally or decentrally?</t>
  </si>
  <si>
    <t>Determined by demand owners individually</t>
  </si>
  <si>
    <t>Centralize service standards for better SLA control and harmonization across locations, simplifying service provider management.</t>
  </si>
  <si>
    <t xml:space="preserve"> Centralize service standards/SLAs</t>
  </si>
  <si>
    <t>Is there a group-wide framework agreement existing within the company, including all Business entities? If yes, what is included in the framework agreement?</t>
  </si>
  <si>
    <t>No framework agreements/ Lose agreement of collaboration</t>
  </si>
  <si>
    <t>In the framework agreement there is loosly described how the charges are calculated</t>
  </si>
  <si>
    <t>Regional &amp; national bonus/ Signing bonus</t>
  </si>
  <si>
    <t>Regional &amp; national bonus/ Signing bonus, Interest rate, for shorter duration: OEM discount, service cost, fuel card bonus (if included over leasing company)</t>
  </si>
  <si>
    <t>Expand fixed elements in framework agreements for better structure and clarity.</t>
  </si>
  <si>
    <t xml:space="preserve"> Expand fixed elements in framework agreements</t>
  </si>
  <si>
    <t>Is there a policy in place defining the size of the car. If yes, how compliant is the proces?</t>
  </si>
  <si>
    <t>There is no policy in place, the employee takes what he considers suitable.</t>
  </si>
  <si>
    <t>There is a vague policy in place, adherence is not tracked.</t>
  </si>
  <si>
    <t>Policy is in place - but the adherence is not tracked.</t>
  </si>
  <si>
    <t>There is a clear definition in place which car to take in which situation. The policy is quite strict &amp; adherence is monitored quite strictly.</t>
  </si>
  <si>
    <t>Defining car size policies and ensuring compliance controls rental costs and optimizes resource use.</t>
  </si>
  <si>
    <t xml:space="preserve"> Define and enforce car size policies</t>
  </si>
  <si>
    <t>Is there a process for approving alternative products?</t>
  </si>
  <si>
    <t>No, but discussions ongoing</t>
  </si>
  <si>
    <t>Yes, but rarely implemented</t>
  </si>
  <si>
    <t>The approach critically evaluates current specifications and asking whether they are in fact useful or merely increase cost and complexity. Specifications that are not necessary are discarded.</t>
  </si>
  <si>
    <t xml:space="preserve"> Challenge and optimize specifications</t>
  </si>
  <si>
    <t>Is there a strict &amp; rigorious definition when to travel?</t>
  </si>
  <si>
    <t>No restriction - people travel when they feel the need to</t>
  </si>
  <si>
    <t>Definition of critical and non critical</t>
  </si>
  <si>
    <t>Amount of people restricted by travel activity</t>
  </si>
  <si>
    <t>Number 2 &amp; 3 - and definition thoroughly checked</t>
  </si>
  <si>
    <t>Strict travel guidelines ensure necessary travel only, reducing unnecessary trips and costs.</t>
  </si>
  <si>
    <t xml:space="preserve"> Implement strict travel guidelines</t>
  </si>
  <si>
    <t>Is there an existing travel cost policy?</t>
  </si>
  <si>
    <t>Yes, but not communicated</t>
  </si>
  <si>
    <t>Yes, but only as a document</t>
  </si>
  <si>
    <t>Yes and implemented systemically</t>
  </si>
  <si>
    <t>Implement a travel cost guideline to ensure cost-conscious booking within company restrictions.</t>
  </si>
  <si>
    <t xml:space="preserve"> Implement travel cost guidelines</t>
  </si>
  <si>
    <t>Is tripple bidding in place?</t>
  </si>
  <si>
    <t>Sometimes</t>
  </si>
  <si>
    <t>Almost always</t>
  </si>
  <si>
    <t>Enhance process efficiency by streamlining and optimizing existing workflows and procedures.</t>
  </si>
  <si>
    <t xml:space="preserve"> Streamline/optimize workflows</t>
  </si>
  <si>
    <t>Master Vendor: if spend on specific sites is larger, are master vendor programs tested? (a master vendor is a supplier who guarantees a multiplier and subcontracts other agencies when he does not have sufficient staff)</t>
  </si>
  <si>
    <t>No - at sites with large spend, several suppliers are engaged</t>
  </si>
  <si>
    <t xml:space="preserve"> It is tested but decided against due to different reasons</t>
  </si>
  <si>
    <t>There is a master vendor program in place, where the MV is requesting staff from other agencies from time-to-time</t>
  </si>
  <si>
    <t>There is a MV in place where the MV is also taking over the HR role and manage staff with additional targets to reduce costs</t>
  </si>
  <si>
    <t>For larger spend in several locations:consider a master vendor. A master vendor is a supplier who guarantees a fixed multiplier, subcontracts other agencies when needed, and may take over HR and operations tasks; they often offer reduced multipliers for large temp labor demands, balancing cost reduction with the risk of single-supplier dependence.</t>
  </si>
  <si>
    <t>Rationalize Supply Base</t>
  </si>
  <si>
    <t>Utilize master vendors (temp labor)</t>
  </si>
  <si>
    <t>Need for real estate: how is demand for real estate derived?</t>
  </si>
  <si>
    <t>Real estate demand is currently existing locations.</t>
  </si>
  <si>
    <t>Real estate demand is defined through the future target picture of how many people the company might have + a certain assumption about home office. No tracking of people in the office is possible.</t>
  </si>
  <si>
    <t>Real estate demand is derived from future expecations + future analysis</t>
  </si>
  <si>
    <t xml:space="preserve">Real estate demand is optimzed, in accordance to the analyzed need: how many employees really come to the office,  home office policy, co-sharing of desks, decrease of common rooms, </t>
  </si>
  <si>
    <t>Continuously monitoring potential areas of value loss, such as unutilized payment terms, ensures that real estate demand is accurately assessed. This proactive approach helps optimize space usage and reduce unnecessary costs</t>
  </si>
  <si>
    <t xml:space="preserve"> Monitor value loss/optimize space usage</t>
  </si>
  <si>
    <t>Office material: What is the % of white label products to the total spend?</t>
  </si>
  <si>
    <t>20%</t>
  </si>
  <si>
    <t>40%</t>
  </si>
  <si>
    <t>60%</t>
  </si>
  <si>
    <t>Past three years, regarding introduction of new software: What is the degree of commercial off-the-shelf software compared to total software (counted in SW products)?</t>
  </si>
  <si>
    <t>Align internal processes with industry standards to leverage out-of-the-box solutions.</t>
  </si>
  <si>
    <t xml:space="preserve"> Align processes with industry standards</t>
  </si>
  <si>
    <t>To what degree do you use bundled license providers, e.g., SoftwareOne, to utilise economies of scale?</t>
  </si>
  <si>
    <t>&gt;20%</t>
  </si>
  <si>
    <t>Using bundled license providers consolidates suppliers, achieving economies of scale, reducing costs.</t>
  </si>
  <si>
    <t xml:space="preserve"> Bundle license providers</t>
  </si>
  <si>
    <t>To what degree is the purchasing department integrated in the procurement of legal advice?</t>
  </si>
  <si>
    <t>Sourcing is conducted by legal department</t>
  </si>
  <si>
    <t>Partially integrated (e.g. market screening of law/audit firms)</t>
  </si>
  <si>
    <t>Extended integrated (e.g. price negotiations)</t>
  </si>
  <si>
    <t>Procurement conducts the RFP, creates a panel of legal companies and negotiates the lawyers</t>
  </si>
  <si>
    <t>Specialist departments lead in commissioning legal and auditing services, while involving the purchasing department in critical processes like price negotiation can yield additional savings.</t>
  </si>
  <si>
    <t xml:space="preserve"> Involve purchasing in critical processes</t>
  </si>
  <si>
    <t>To what extent are SLAs and requirements standardized across sites / BUs?</t>
  </si>
  <si>
    <t>Somewhat</t>
  </si>
  <si>
    <t>To a large extent</t>
  </si>
  <si>
    <t>Fully standardized</t>
  </si>
  <si>
    <t>Most shipments are prioritized for fast delivery, but many could be slower and cheaper without impacting needs. A data-driven discussion with the business side is essential to highlight this opportunity.</t>
  </si>
  <si>
    <t xml:space="preserve"> Optimize delivery speed vs. cost</t>
  </si>
  <si>
    <t>To what extent are you investing resources and efforts in becoming a shipper of choice, e.g., through a strategic SRM program?</t>
  </si>
  <si>
    <t>As little as needed to keep operations running</t>
  </si>
  <si>
    <t>We selectively invest in partner to increase competition</t>
  </si>
  <si>
    <t>All the time - competition is key for optimal rates</t>
  </si>
  <si>
    <t>Strategic SRM program enhances shipper status via collaborative capacity management.</t>
  </si>
  <si>
    <t xml:space="preserve"> Implement Strategic SRM</t>
  </si>
  <si>
    <t>To what extent are you investing time and money to build new carriers to challenge existing partners?</t>
  </si>
  <si>
    <t>To what extent are you investing time and money to build new suppliers to challenge existing partners</t>
  </si>
  <si>
    <t>Investing in new suppliers to challenge and diversify existing partnerships.</t>
  </si>
  <si>
    <t xml:space="preserve"> Introduce new suppliers</t>
  </si>
  <si>
    <t>To what extent do you use expressive bidding elements (alternative bids, bundle / volume discounts, etc.) during RFPs?</t>
  </si>
  <si>
    <t>Tried in past but didn't work</t>
  </si>
  <si>
    <t>Ocassionally</t>
  </si>
  <si>
    <t>Everytime</t>
  </si>
  <si>
    <t>Centralizing transportation spend increases leverage and reduces fragmented local solutions.</t>
  </si>
  <si>
    <t xml:space="preserve"> Centralize transportation spend</t>
  </si>
  <si>
    <t>Expressive bidding with categories enhances flexibility and competitive supplier proposals.</t>
  </si>
  <si>
    <t xml:space="preserve"> Expressive bidding (categorized)</t>
  </si>
  <si>
    <t>To what extent do you use expressive bidding elements (alternative contract lenghts / sailing time, bundle / volume discounts, etc.)?</t>
  </si>
  <si>
    <t>Exclusively</t>
  </si>
  <si>
    <t>Most firms' spend isn't large enough to attract CEP providers, but a purchasing consortium like CoreTrust bundles volumes from multiple participants to negotiate significant savings, with no major prerequisites besides joining the pool.</t>
  </si>
  <si>
    <t xml:space="preserve"> Utilize purchasing consortia</t>
  </si>
  <si>
    <t>To what extent do you use game-theoretical elements during RFPs?</t>
  </si>
  <si>
    <t>Incorporate strategic bidding to optimize supplier selection and pricing.</t>
  </si>
  <si>
    <t xml:space="preserve"> Strategic bidding</t>
  </si>
  <si>
    <t>To which degree are demand measures implemented?</t>
  </si>
  <si>
    <t>No definition of demand measures, employees can take all items they wish</t>
  </si>
  <si>
    <t>Request only through assistants for various matters</t>
  </si>
  <si>
    <t>People are advised to write notes on laptops rather to print on papers</t>
  </si>
  <si>
    <t>Strict demand management - per year ZBB levers are applied and target of reducing spend/ material is further given</t>
  </si>
  <si>
    <t>Reducing demand by changing the setup and perception of office material use is a powerful way to save money. This can include reducing office printers, eliminating paper waste baskets, implementing a policy requiring signatures, and training employees to use laptops instead of pen and paper.</t>
  </si>
  <si>
    <t>Reduce Consumption</t>
  </si>
  <si>
    <t>Implement demand reduction policies</t>
  </si>
  <si>
    <t>Travel agency: When was the last time travel agency was tendered?</t>
  </si>
  <si>
    <t>&gt; 5 years ago</t>
  </si>
  <si>
    <t>&gt;2 years ago</t>
  </si>
  <si>
    <t>Last year</t>
  </si>
  <si>
    <t>Tender travel agencies every 2-3 years for competitiveness or benchmark after 5 years and negotiate.</t>
  </si>
  <si>
    <t xml:space="preserve"> Regular tendering/benchmarking (travel agencies)</t>
  </si>
  <si>
    <t>Travel agency: Which of the following pricing agreements are included in the contract?</t>
  </si>
  <si>
    <t>Online &amp; offline rates</t>
  </si>
  <si>
    <t>No. 1 &amp; Volume discount and signing fee</t>
  </si>
  <si>
    <t>No. 2 &amp; Guaranteed online bookings (ca. 80%)</t>
  </si>
  <si>
    <t xml:space="preserve">all of before + free negotiation of the modes </t>
  </si>
  <si>
    <t>Choosing the right pricing agreements aligns costs with usage, optimizing travel expenses.</t>
  </si>
  <si>
    <t xml:space="preserve"> Optimize pricing agreements (travel)</t>
  </si>
  <si>
    <t>Server &amp; Storage</t>
  </si>
  <si>
    <t>What %  of server &amp; storage do you have a clear classification set up in regards to SLAs?</t>
  </si>
  <si>
    <t>Define a cost model for SLA/service catalogue to prevent inflationary use by the business by reducing service levels.</t>
  </si>
  <si>
    <t xml:space="preserve"> Define cost model for SLAs</t>
  </si>
  <si>
    <t>What % (by spend) of current events can be moved to virtual setting?</t>
  </si>
  <si>
    <t>30-50%</t>
  </si>
  <si>
    <t>10-20%</t>
  </si>
  <si>
    <t>Transition in-person events to online formats.</t>
  </si>
  <si>
    <t xml:space="preserve"> Shift to online formats (events)</t>
  </si>
  <si>
    <t>What % (in terms of spend behind) of pursued audiences have CPMs provided during pitch?</t>
  </si>
  <si>
    <t>Some (~50%)</t>
  </si>
  <si>
    <t>Majority (~75%)</t>
  </si>
  <si>
    <t>All (there was no change of pursued audiences since last pitch)</t>
  </si>
  <si>
    <t>Are all targeted audiences and their corresponding CPM rates specified by the agency upfront?</t>
  </si>
  <si>
    <t xml:space="preserve"> Ensure upfront rate transparency (media)</t>
  </si>
  <si>
    <t>What % of agency fee is linked to pre-established and competitively priced work packages, created with should cost behind it under competitve pressure?</t>
  </si>
  <si>
    <t>Low (&lt;25% of agency spend)</t>
  </si>
  <si>
    <t>Some (25%-40%)</t>
  </si>
  <si>
    <t>Good amount (40%-60%)</t>
  </si>
  <si>
    <t>Significant (&gt;60%)</t>
  </si>
  <si>
    <t>Output-based work packages focus on delivering specific results or outcomes rather than just completing tasks, ensuring that the work is aligned with the desired end goals.</t>
  </si>
  <si>
    <t xml:space="preserve"> Implement output-based work packages</t>
  </si>
  <si>
    <t>What % of agency-managed events (by spend) are sourced in 2 steps: step 1: for the activation idea, step 2: for execution?</t>
  </si>
  <si>
    <t>Separate the planning and brainstorming of events from their actual implementation.</t>
  </si>
  <si>
    <t xml:space="preserve"> Separate planning from implementation (events)</t>
  </si>
  <si>
    <t>Digital Agencies</t>
  </si>
  <si>
    <t>What % of current digital agencies scope can be transferred to other agencies (e.g. creative or media agencies)?</t>
  </si>
  <si>
    <t>50-40%</t>
  </si>
  <si>
    <t>40-30%</t>
  </si>
  <si>
    <t>30-20%</t>
  </si>
  <si>
    <t>Combine digital agency expenditures with those of creative or media agencies.</t>
  </si>
  <si>
    <t xml:space="preserve"> Combine agency expenditures</t>
  </si>
  <si>
    <t>What % of production spend could be in-sourced to own studio?</t>
  </si>
  <si>
    <t>In-source selected creative assets production</t>
  </si>
  <si>
    <t xml:space="preserve"> Insourcing (creative assets)</t>
  </si>
  <si>
    <t>What % of server &amp; storage is virtualized?</t>
  </si>
  <si>
    <t>Implement virtualization to minimize physical servers and reduce the number of databases and middleware in operation.</t>
  </si>
  <si>
    <t xml:space="preserve"> Implement virtualization</t>
  </si>
  <si>
    <t>What % of total agency fee is linked to agency performance?</t>
  </si>
  <si>
    <t>20-40%</t>
  </si>
  <si>
    <t>Implement a P4P scheme that rewards employees for exceeding delivery standards.</t>
  </si>
  <si>
    <t xml:space="preserve"> Implement Pay-for-Performance (P4P)</t>
  </si>
  <si>
    <t>Implement an effective pay-for-performance (P4P) scheme that rewards employees for good performance.
Introduce a P4P scheme that effectively rewards good performance.</t>
  </si>
  <si>
    <t>What % of used software are SaaS or IaaS-based?</t>
  </si>
  <si>
    <t>Leverage SaaS/IaaS based solutions to the fullest, especially for standard functionalities that can be catered-to by third party SaaS/Iaas providers. This helps reduce costs associated with software maintenance, upgrades etc.</t>
  </si>
  <si>
    <t xml:space="preserve"> Leverage SaaS/IaaS solutions</t>
  </si>
  <si>
    <t>What approach do you use to decide the contractual agreement to be used?</t>
  </si>
  <si>
    <t>We tender via asking the supplier for their best price via email</t>
  </si>
  <si>
    <t>We challenge the supplier with at least one other provider</t>
  </si>
  <si>
    <t>We separately negotiate the suppliers in various rounds</t>
  </si>
  <si>
    <t>Highly competitive either via a supplier-days or an auctions</t>
  </si>
  <si>
    <t>As a standard use Game-theory based methods e.g. auctions or supplier-days. Ensure that the teams are regularly trained in these methods.</t>
  </si>
  <si>
    <t xml:space="preserve"> Use game-theory based methods (auctions/supplier days)</t>
  </si>
  <si>
    <t>What could be the extra efficiency gained by earlier inventory booking?</t>
  </si>
  <si>
    <t>Moderate</t>
  </si>
  <si>
    <t>Small</t>
  </si>
  <si>
    <t>Enhance WOW by leveraging 'first-to-book media' efficiencies for optimal results.</t>
  </si>
  <si>
    <t xml:space="preserve"> Enhance efficiency through early booking (media)</t>
  </si>
  <si>
    <t>What granularity of AVBs is in place?</t>
  </si>
  <si>
    <t>No AVBs provided</t>
  </si>
  <si>
    <t>Aggregated AVB number for all media provided</t>
  </si>
  <si>
    <t>Average AVBs per media type provided</t>
  </si>
  <si>
    <t>By vendor by spend range for all vendors</t>
  </si>
  <si>
    <t>Get AVB transparency by vendor</t>
  </si>
  <si>
    <t xml:space="preserve"> Ensure vendor transparency (AVB)</t>
  </si>
  <si>
    <t>Obtain AVB transparency specific to each vendor.</t>
  </si>
  <si>
    <t>Creative Agencies</t>
  </si>
  <si>
    <t>What is current level of agency services provided by strategic creative agencies that can be transferred out to cheaper agencies?</t>
  </si>
  <si>
    <t>Outsource non-strategic services like DTP, BTL adaptation, and translation to more cost-effective agencies.</t>
  </si>
  <si>
    <t xml:space="preserve"> Outsourcing</t>
  </si>
  <si>
    <t xml:space="preserve"> Outsource non-strategic services</t>
  </si>
  <si>
    <t>What is current level of agency services that can be insourced (for every Euro of activities that can be transferred savings could be 40% on average)?</t>
  </si>
  <si>
    <t>25-20%</t>
  </si>
  <si>
    <t>20-15%</t>
  </si>
  <si>
    <t>15-10%</t>
  </si>
  <si>
    <t>The selected agency oversees in-source activities, including project management, resource allocation, and performance evaluation.</t>
  </si>
  <si>
    <t xml:space="preserve"> Agency-managed insourcing</t>
  </si>
  <si>
    <t>What is current level of agency services that can be insourced (for every Euro of actvivities that can be transferred savings could be 40% on average)?</t>
  </si>
  <si>
    <t>The Lever Description outlines activities managed by the selected agency for in-sourcing</t>
  </si>
  <si>
    <t>Online Media</t>
  </si>
  <si>
    <t>What is current share of digital display spend that goes via the biggest agency?</t>
  </si>
  <si>
    <t>Streamline digital banner expenditures and unify media agency efforts.</t>
  </si>
  <si>
    <t xml:space="preserve"> Streamline digital media spend</t>
  </si>
  <si>
    <t>What is current share of spend that goes via the biggest spend agency?</t>
  </si>
  <si>
    <t>Streamline media expenditures and agency partnerships.</t>
  </si>
  <si>
    <t xml:space="preserve"> Streamline media spend/partnerships</t>
  </si>
  <si>
    <t>Ensure clear visibility and accountability throughout the digital value chain.</t>
  </si>
  <si>
    <t xml:space="preserve"> Ensure digital value chain transparency</t>
  </si>
  <si>
    <t>What is current share of total agency spend of the biggest agency?</t>
  </si>
  <si>
    <t>Merge multiple agencies into one streamlined, efficient organization.</t>
  </si>
  <si>
    <t xml:space="preserve"> Merge agencies</t>
  </si>
  <si>
    <t>Merge multiple agencies into a single entity to streamline operations and improve efficiency.</t>
  </si>
  <si>
    <t>What is judged level of opportunity to optimize POS specifications?</t>
  </si>
  <si>
    <t>Significant - idea not looked at in last 5 years</t>
  </si>
  <si>
    <t>Optimize (harmonize, simplify etc) POS material</t>
  </si>
  <si>
    <t xml:space="preserve"> Optimize POS material</t>
  </si>
  <si>
    <t>What is potential to consolidate suppliers?</t>
  </si>
  <si>
    <t>Significant - several providers</t>
  </si>
  <si>
    <t>Consolidate POS production inlcuding bringing an integrator</t>
  </si>
  <si>
    <t xml:space="preserve"> Consolidate POS production</t>
  </si>
  <si>
    <t>What is potential to pool productions?</t>
  </si>
  <si>
    <t>Pool productions is a versatile and efficient system designed to streamline and optimize production processes, ensuring maximum productivity and minimal waste.</t>
  </si>
  <si>
    <t xml:space="preserve"> Implement production pooling</t>
  </si>
  <si>
    <t>What is suppliers consolidation potential?</t>
  </si>
  <si>
    <t>Significant (silo approach across BUs, many providers, no aligned rosters)</t>
  </si>
  <si>
    <t>Some</t>
  </si>
  <si>
    <t>Small (spend already consolidated to a few suppliers)</t>
  </si>
  <si>
    <t>Organize event providers and categorize suppliers by type into rosters.</t>
  </si>
  <si>
    <t xml:space="preserve"> Categorize/roster event suppliers</t>
  </si>
  <si>
    <t>What is the % of agency fee linked menu-based pricing (in work packages) established under competitve pressure?</t>
  </si>
  <si>
    <t>Good amount</t>
  </si>
  <si>
    <t>Significant (60%-80%)</t>
  </si>
  <si>
    <t>Implement an output-based fee structure supported by a should-cost model.</t>
  </si>
  <si>
    <t xml:space="preserve"> Implement output-based fee structure</t>
  </si>
  <si>
    <t>Significant (&gt;60%&lt;80%)</t>
  </si>
  <si>
    <t>Implement an output-based fee structure supported by a should-cost model</t>
  </si>
  <si>
    <t>Implement DAM to reduce duplication</t>
  </si>
  <si>
    <t>What is the current compliance for Advance Air travel booking based on company policy?</t>
  </si>
  <si>
    <t>Less than 50%</t>
  </si>
  <si>
    <t>Above 90%</t>
  </si>
  <si>
    <t>Monitoring advance booking compliance ensures cost savings and efficient travel planning.</t>
  </si>
  <si>
    <t xml:space="preserve"> Monitor advance booking compliance</t>
  </si>
  <si>
    <t>What is the current compliance for Hotel booking via the TMC OBT (online booking tools)?</t>
  </si>
  <si>
    <t>Ensuring compliance with hotel booking policies optimizes travel spend and adherence to negotiated rates.</t>
  </si>
  <si>
    <t xml:space="preserve"> Ensure hotel booking policy compliance</t>
  </si>
  <si>
    <t>What is the current policy guidelines for Advance Air travel booking?</t>
  </si>
  <si>
    <t>No guidelines specified</t>
  </si>
  <si>
    <t>Book at least 2 (14 days) weeks in advance</t>
  </si>
  <si>
    <t>Book at least 3 weeks (21 days) in advance</t>
  </si>
  <si>
    <t>Book at least 1 month in advance</t>
  </si>
  <si>
    <t>Advance booking guidelines secure lower fares and reduce last-minute booking costs.</t>
  </si>
  <si>
    <t xml:space="preserve"> Implement advance booking guidelines</t>
  </si>
  <si>
    <t>What is the eCatalog coverage of the portfolio?</t>
  </si>
  <si>
    <t>No info available</t>
  </si>
  <si>
    <t>&gt; 60% of the articles are covered in an e-catalog</t>
  </si>
  <si>
    <t>&gt; 80% of the articles are covered in an e-catalog</t>
  </si>
  <si>
    <t>100% of the demand is covered by the e-catalog, otherwise ordered articles are not accepted</t>
  </si>
  <si>
    <t>Allow employees to oder from an eCatalog, to ensure a simple and cost efficient process is used</t>
  </si>
  <si>
    <t xml:space="preserve"> Implement e-catalogs/self-ordering</t>
  </si>
  <si>
    <t>What is the general setup of the temp labour suppliers?</t>
  </si>
  <si>
    <t>Suppliers are in place since years, Bus hold relationships with them and provide the profile requests directly to them</t>
  </si>
  <si>
    <t>Suppliers are bundled on a VMS platform, where profiles are provided centrally to a certain set of suppliers</t>
  </si>
  <si>
    <t>Master Service Providers (MSP) are invited for RFPs on a regular basis and their capabilities are fully understood as well as preferential pricing</t>
  </si>
  <si>
    <t>Suppliers are split in a Prio 1 and Prio 2 set- where Prio 1 suppliers receive profiles earlier and have change to bid earlier for them against the promise of an improved multiplier</t>
  </si>
  <si>
    <t>In a VMS tool, profiles are made available for suppliers to quote on, with Prio 1 suppliers receiving profiles earlier and bidding sooner in exchange for an improved multiplier.</t>
  </si>
  <si>
    <t xml:space="preserve"> Implement VMS with tiered bidding</t>
  </si>
  <si>
    <t>What is the guarantee type for price commitments?</t>
  </si>
  <si>
    <t>No guarantee</t>
  </si>
  <si>
    <t>only 'target' rates but not commitents</t>
  </si>
  <si>
    <t>Hard commitment with compensation mechanizm good</t>
  </si>
  <si>
    <t>All cost conditions are hard commitments</t>
  </si>
  <si>
    <t>Ensure cost guarantees with a transparent compensation mechanism.</t>
  </si>
  <si>
    <t xml:space="preserve"> Ensure cost guarantees/transparent compensation</t>
  </si>
  <si>
    <t>What is the level of granurality for media rates commitments?</t>
  </si>
  <si>
    <t xml:space="preserve">No rates/discounts commitments </t>
  </si>
  <si>
    <t>Only payrates committed (i.e. discounts off list price)</t>
  </si>
  <si>
    <t>Good granularity of rates - but not fully granular level</t>
  </si>
  <si>
    <t>High - all rates are on most possible granular level</t>
  </si>
  <si>
    <t>Establish media rate commitments with detailed breakdowns of all price components, avoiding averages, at the most granular level.</t>
  </si>
  <si>
    <t xml:space="preserve"> Establish granular media rate commitments</t>
  </si>
  <si>
    <t>Set detailed CPM rate commitments at a highly granular level.</t>
  </si>
  <si>
    <t xml:space="preserve"> Set granular CPM rate commitments</t>
  </si>
  <si>
    <t>What is the level of opportunity to share booths/ activation costs with other players?</t>
  </si>
  <si>
    <t>Significant (over 50% of events by spend could do it)</t>
  </si>
  <si>
    <t>Good (30-50%)</t>
  </si>
  <si>
    <t>Moderate (10-30%)</t>
  </si>
  <si>
    <t>Small (below 10% of events by spend could do it)</t>
  </si>
  <si>
    <t xml:space="preserve">Share booths with other players. 
</t>
  </si>
  <si>
    <t>Share resources</t>
  </si>
  <si>
    <t>What is the opportunity to limit production duplication by encouraging more effective use of DAM system?</t>
  </si>
  <si>
    <t>Implement a user-friendly DAM system to minimize duplication.</t>
  </si>
  <si>
    <t xml:space="preserve"> Implement DAM to reduce duplication</t>
  </si>
  <si>
    <t>What is the opportunity to optimize WOW (process/roles/tools) between client and agencies?</t>
  </si>
  <si>
    <t xml:space="preserve">Significant (lack of established cooperation process, loose briefs etc) </t>
  </si>
  <si>
    <t xml:space="preserve">little (processes for all types of campaigns development well established and followed, amount of 'free' agency iterations fixed, all agency feedback to agencies well coordinated) </t>
  </si>
  <si>
    <t>Enhance WOW with agency through improved processes, briefs, tools, capabilities, and P4P schemes.</t>
  </si>
  <si>
    <t xml:space="preserve"> Improve agency collaboration/processes</t>
  </si>
  <si>
    <t>What is the potential for further decoupling and building rosters of post-production houses and directors?</t>
  </si>
  <si>
    <t>Further separate and expand the list of production providers, including post-production houses and directors.</t>
  </si>
  <si>
    <t xml:space="preserve"> Expand production provider list</t>
  </si>
  <si>
    <t>What is the pricing mechansim of your contracts (e.g. time &amp; material or fixed price)?</t>
  </si>
  <si>
    <t>Majorly time &amp; material</t>
  </si>
  <si>
    <t>Time &amp; material/ fixed price</t>
  </si>
  <si>
    <t>Majorly fixed price</t>
  </si>
  <si>
    <t>In-source labor with permanent contracts for consistent and reliable workforce integration.</t>
  </si>
  <si>
    <t xml:space="preserve"> Insourcing (permanent contracts)</t>
  </si>
  <si>
    <t>What is the procedure when too much empty space is found?</t>
  </si>
  <si>
    <t xml:space="preserve">Wait until the period comes up, when to exit the lease contract. </t>
  </si>
  <si>
    <t>Ask the landlord to reduce the time to exit the rental agreement for this space</t>
  </si>
  <si>
    <t>Re-negotiate with the landlord and ask for a sooner date to exit the agreement, also with the help ofthe board. If not agreement could be found: sub-lease the ground</t>
  </si>
  <si>
    <t>Centralizing decision-making and improving information flow allows for a dynamic planning process to address excess space. This helps avoid disruption costs and enables more efficient space utilization, leading to cost savings</t>
  </si>
  <si>
    <t xml:space="preserve"> Centralize decision-making/optimize space utilization</t>
  </si>
  <si>
    <t>What is the share of Facility Management services conducted in-house by your organization?</t>
  </si>
  <si>
    <t>Outsourcing FM activities is a growing trend to reduce FM spending, decreasing in-house work proportion.</t>
  </si>
  <si>
    <t xml:space="preserve"> Outsource FM activities</t>
  </si>
  <si>
    <t>What is the share of spend from the largest supplier in the Facility Management area?</t>
  </si>
  <si>
    <t>The share of the largest supplier shows consolidation and bundling potential. Aim to work with one or a few large providers covering all required categories and services.</t>
  </si>
  <si>
    <t xml:space="preserve"> Consolidate with large providers</t>
  </si>
  <si>
    <t>What is the standard lifetime of a laptop?</t>
  </si>
  <si>
    <t>2 years and less</t>
  </si>
  <si>
    <t>2-5 years</t>
  </si>
  <si>
    <t>5+ years</t>
  </si>
  <si>
    <t>Extend desktop hardware lifespan to reduce replacement costs; phase out high-maintenance / outdated devices.</t>
  </si>
  <si>
    <t xml:space="preserve"> Extend asset lifespan</t>
  </si>
  <si>
    <t>What is the upper limit for hotel accommodation (per night)?</t>
  </si>
  <si>
    <t>There is a flat rate</t>
  </si>
  <si>
    <t>There is a dynamic rate</t>
  </si>
  <si>
    <t>The travel agency defines it according to their average - in alignment with travel</t>
  </si>
  <si>
    <t>Set hotel rate caps per city based on booking experience, accounting for peak demand times.</t>
  </si>
  <si>
    <t xml:space="preserve"> Set hotel rate caps by city</t>
  </si>
  <si>
    <t>What is the volume share of the defined leasing company (defined means tendered, negotiated and contracted leasing car company)</t>
  </si>
  <si>
    <t>Within a tender pre-define 1-2 commercially most attractive leasing car companies. They provide vehicles to customers for a set period and monthly fee, offering an alternative to buying a car outright.</t>
  </si>
  <si>
    <t xml:space="preserve"> Pre-define preferred leasing companies</t>
  </si>
  <si>
    <t>Datacenter &amp; Network</t>
  </si>
  <si>
    <t>What is your charging model?</t>
  </si>
  <si>
    <t>Flat fee/unit cost</t>
  </si>
  <si>
    <t>Consumption based fee</t>
  </si>
  <si>
    <t>Shift from flat fee/unit cost to consumption-based pricing to enhance negotiation leverage; review and refine SLAs for voice/data networks.</t>
  </si>
  <si>
    <t xml:space="preserve"> Shift to consumption-based pricing</t>
  </si>
  <si>
    <t>What is your degree of offshored FTEs for helpdesk compared to total FTEs (1st and 2nd line)?</t>
  </si>
  <si>
    <t>Utilize off-shoring for commodity tasks to capitalize on lower costs in typical shoring countries.</t>
  </si>
  <si>
    <t xml:space="preserve"> Utilize offshoring for commodity tasks</t>
  </si>
  <si>
    <t>What is your degree of virtualization (number of server-based applications on IaaS, PaaS, SaaS compared to total software)?</t>
  </si>
  <si>
    <t>Integrate/consolidate data centers to leverage economies of scale.</t>
  </si>
  <si>
    <t xml:space="preserve"> Consolidate data centers</t>
  </si>
  <si>
    <t>What methods are used in the negotiation?</t>
  </si>
  <si>
    <t>Direct negotiations, buyers professionally ask suppliers to generally reduce the price a bit</t>
  </si>
  <si>
    <t>Clear price benchmarks are made and communicated to the supplier</t>
  </si>
  <si>
    <t>2 rounds of negotiations are conducted</t>
  </si>
  <si>
    <t>Game-theory based methods are used, e.g. auctions or supplier-days</t>
  </si>
  <si>
    <t>What opportunity exists to source events materials (e.g. boths) from low cost countries?</t>
  </si>
  <si>
    <t>Sourcing event materials from low-cost countries reduces overall expenses.</t>
  </si>
  <si>
    <t xml:space="preserve"> Source from low-cost countries (event materials)</t>
  </si>
  <si>
    <t>What percentage of legal matters are handled internally by the internal legal department?</t>
  </si>
  <si>
    <t>0%</t>
  </si>
  <si>
    <t>1-15%</t>
  </si>
  <si>
    <t>15-30%</t>
  </si>
  <si>
    <t>&gt;30%</t>
  </si>
  <si>
    <t>If there are manageable legal cases, they can be handled in-house instead of being outsourced.</t>
  </si>
  <si>
    <t xml:space="preserve"> Insourcing (legal cases)</t>
  </si>
  <si>
    <t>What percentage of network infrastructure is standardized?</t>
  </si>
  <si>
    <t>Standardize network and datacenter infrastructure (e.g. switches, routes, firewalls) and/or outsource complete maintenance and support.</t>
  </si>
  <si>
    <t xml:space="preserve"> Standardize infrastructure / Outsource maintenance</t>
  </si>
  <si>
    <t>What percentage of specifications is yearly challenged or optimized?</t>
  </si>
  <si>
    <t>Streamlining specifications, whether done internally or collaboratively with suppliers, cuts costs by minimizing material usage and simplifying processes. Additionally, harmonizing SKUs across plants consolidates volumes and drives economies of scale.</t>
  </si>
  <si>
    <t xml:space="preserve"> Streamline/harmonize specifications</t>
  </si>
  <si>
    <t>What percentage of the End user/ Workplace services is outsourced?</t>
  </si>
  <si>
    <t>Expand outsourcing and utilize shoring opportunities, such as for IMAC services.</t>
  </si>
  <si>
    <t xml:space="preserve"> Expand outsourcing/shoring (IMAC)</t>
  </si>
  <si>
    <t>What percentage of the software maintenance is outsourced?</t>
  </si>
  <si>
    <t>Outsource maintenance and support for enterprise applications such as SAP, Oracle etc. and re-negotiate SLA levels.</t>
  </si>
  <si>
    <t xml:space="preserve"> Outsource application maintenance/support</t>
  </si>
  <si>
    <t>What percentage of the spend is ordered via e-catalogue?</t>
  </si>
  <si>
    <t>&lt;30%</t>
  </si>
  <si>
    <t>50-60%</t>
  </si>
  <si>
    <t>Electronic and system orders reduce effort for both your company and the supplier. Besides internal process cost savings, suppliers often grant additional discounts if a certain proportion of orders are processed electronically.</t>
  </si>
  <si>
    <t xml:space="preserve"> Implement electronic/system orders</t>
  </si>
  <si>
    <t>What percentage of total category volume did you tender or negotiate last year?</t>
  </si>
  <si>
    <t>Existing data on a sourcing group is analyzed in depth to identify any savings potential. For instance, this may include comparing the discount rates within a corporate group.</t>
  </si>
  <si>
    <t xml:space="preserve"> Data analysis for savings potential</t>
  </si>
  <si>
    <t>What services are bundled within Facility Management?</t>
  </si>
  <si>
    <t>Few services in a plant</t>
  </si>
  <si>
    <t>All services (soft &amp; hard)</t>
  </si>
  <si>
    <t>High bundling across categories helps streamline the supplier landscape, leverage efficiencies, and gain volume discounts and improved services.</t>
  </si>
  <si>
    <t xml:space="preserve"> Bundle across categories</t>
  </si>
  <si>
    <t>What share of spend do you award on spot basis?</t>
  </si>
  <si>
    <t>Due to the market's fragmented nature, a comprehensive supplier list is crucial for the best rates, even though benefits diminish beyond the 100th carrier.</t>
  </si>
  <si>
    <t xml:space="preserve"> Maintain comprehensive supplier list</t>
  </si>
  <si>
    <t>What share of spend is allocated to carriers from countries with lower cost structure, e.g., Eastern Europe?</t>
  </si>
  <si>
    <t>CEP volume is awarded in regional or country packages, enabling game-theoretical negotiations. An RFP gathers rates, followed by an auction, creating supplier uncertainty and potentially lower rates or major discounts.</t>
  </si>
  <si>
    <t xml:space="preserve"> Game-theory based negotiations (CEP)</t>
  </si>
  <si>
    <t>What share of total spend do you reallocate from incumbent(s) to new partners on an annual basis?</t>
  </si>
  <si>
    <t>Reallocate spend to new partners, consolidating suppliers for efficiency.</t>
  </si>
  <si>
    <t xml:space="preserve"> Reallocate spend to new partners</t>
  </si>
  <si>
    <t>What share of total spend do you reallocate from the incumbent(s) to new partners on an annual basis?</t>
  </si>
  <si>
    <t>Reallocate annual spend from incumbents to new partners for optimization.</t>
  </si>
  <si>
    <t xml:space="preserve"> Reallocate spend from incumbents</t>
  </si>
  <si>
    <t>What share of total transportation spend is managed by logistics procurement?</t>
  </si>
  <si>
    <t>Standard tenders focus on collecting and negotiating quotes, addressing supplier margins. Expressive bidding also considers systemic costs, allowing carriers to offer volume and bundle discounts, and alternative bids, leading to cost reductions and lower rates.</t>
  </si>
  <si>
    <t>Competitive Bidding</t>
  </si>
  <si>
    <t>Expressive bidding</t>
  </si>
  <si>
    <t>&lt;60%</t>
  </si>
  <si>
    <t>60-70%</t>
  </si>
  <si>
    <t>70-80%</t>
  </si>
  <si>
    <t>Most firms use long-term suppliers who provide excellent but costly service. Shifting to new suppliers requires initial effort but signals flexibility, increasing competitive threat and supplier interest.</t>
  </si>
  <si>
    <t xml:space="preserve"> Introduce new suppliers to challenge incumbents</t>
  </si>
  <si>
    <t>Optimizes costs by managing transportation spend through strategic procurement.</t>
  </si>
  <si>
    <t xml:space="preserve"> Strategic Sourcing</t>
  </si>
  <si>
    <t xml:space="preserve"> Strategic transportation spend management</t>
  </si>
  <si>
    <t>What share of your packaging spend in % is covered by your Top 3 suppliers?</t>
  </si>
  <si>
    <t>Supplier tiering can work bi-directional: either key suppliers are used to bundle upstream tier-2 suppliers thus relieving the company of managing a large number of suppliers; or tier-1 suppliers are bypassed.</t>
  </si>
  <si>
    <t xml:space="preserve"> Implement supplier tiering</t>
  </si>
  <si>
    <t>What standardization has been applied for end user devices (laptops, desktops, printers, phones)?</t>
  </si>
  <si>
    <t>The user can choose the handheld devices and the number of devices he wants to have</t>
  </si>
  <si>
    <t>The user groups are grouped together - the basic employee receives a standard phone and clearly defined user groups have the option to purchase additional devices.</t>
  </si>
  <si>
    <t>Implement workplace standards to define guardrails that limit hardware settings based on user-types. Avoid 'status symbol' devices/accounts and monitor device usage.</t>
  </si>
  <si>
    <t xml:space="preserve"> Implement workplace standards/usage monitoring</t>
  </si>
  <si>
    <t>What strategies do you use to ensure you are getting the best value when contracting for services across different subcategories? (e.g., using a range of pricing models like fixed fees, transaction-based fees, or success-based incentives)</t>
  </si>
  <si>
    <t>Reliance on traditional fixed fee models</t>
  </si>
  <si>
    <t>Limited use of alternative pricing models</t>
  </si>
  <si>
    <t>Use of a mix of pricing models (fixed fees, transaction-based fees) to optimize costs</t>
  </si>
  <si>
    <t>Strategic use of a variety of pricing models (fixed fees, transaction-based fees, success-based incentives) to ensure best value across different service categories</t>
  </si>
  <si>
    <t>Ideally a certain % of the remuneration can be tied back to variable components (e.g. satisfaction, savings etc.)</t>
  </si>
  <si>
    <t xml:space="preserve"> Implement variable remuneration/KPI-based</t>
  </si>
  <si>
    <t>What was the average savings in % of the last total category volume RFP</t>
  </si>
  <si>
    <t>No RFP/ No savings</t>
  </si>
  <si>
    <t>0-5%</t>
  </si>
  <si>
    <t>When contracting, are you leveraging mutually binding agreements with guaranteed volume?</t>
  </si>
  <si>
    <t>Carriers may promise attractive rates but fail to meet expectations due to the manual efforts required for onboarding and implementation. Increasing these efforts can improve success rates and realize savings.</t>
  </si>
  <si>
    <t xml:space="preserve"> Improve supplier onboarding/implementation</t>
  </si>
  <si>
    <t>When did you last conduct a review of your WAN setup?</t>
  </si>
  <si>
    <t>2 years ago</t>
  </si>
  <si>
    <t>last year</t>
  </si>
  <si>
    <t>Switch to SD-WAN / right-spec WAN per location.</t>
  </si>
  <si>
    <t xml:space="preserve"> Implement SD-WAN/right-spec WAN</t>
  </si>
  <si>
    <t>When did you last update your fleet policy?</t>
  </si>
  <si>
    <t>The fleet policy is unchanged within the company since years and gives a high-level frame</t>
  </si>
  <si>
    <t>The policy was updated together when we recently tendered cars, as we included most recent pricing development</t>
  </si>
  <si>
    <t>Policies should be updated together with the RFP, at least every 2-3 years.</t>
  </si>
  <si>
    <t xml:space="preserve"> Regular policy updates (with RFP)</t>
  </si>
  <si>
    <t>When did you review your IT landscape regarding elimination of redundant functionality/ IT tools?</t>
  </si>
  <si>
    <t>Opt for a service-oriented architecture (SOA) to enhance business process flexibility by leveraging  modularity of applications / solutions. This helps avoid high costs &amp; limited benefits associated with bespoke / standalone tools &amp; functionalities.</t>
  </si>
  <si>
    <t>Reduce Complexity</t>
  </si>
  <si>
    <t>Implement service-oriented architecture</t>
  </si>
  <si>
    <t>When was tender done last time? (important to account for % of spend that was addressed)</t>
  </si>
  <si>
    <t>&gt;5 years ago</t>
  </si>
  <si>
    <t>&gt;4 years ago</t>
  </si>
  <si>
    <t>&gt;3 years ago</t>
  </si>
  <si>
    <t>Improve quality and cost conditions through a competitive RFP process.</t>
  </si>
  <si>
    <t xml:space="preserve"> Conduct competitive RFP</t>
  </si>
  <si>
    <t>Achieve improved quality and cost efficiency through a competitive RFP process.</t>
  </si>
  <si>
    <t>Get better quality and cost conditions via competitive RFP</t>
  </si>
  <si>
    <t>Choose production providers through a competitive RFP process.</t>
  </si>
  <si>
    <t>Issue a comprehensive RFP to reduce costs.</t>
  </si>
  <si>
    <t xml:space="preserve"> Issue comprehensive RFP</t>
  </si>
  <si>
    <t>When was the IT help desk demand last strategically reviewed? (# calls per month,etc.)?</t>
  </si>
  <si>
    <t>Promote self-service and shorten SLA for non-critical business needs.</t>
  </si>
  <si>
    <t xml:space="preserve"> Promote self-service/optimize SLAs</t>
  </si>
  <si>
    <t>When was the last review of all outsourced labor contracts?</t>
  </si>
  <si>
    <t>Establish, prioritize and monitor software development demand across different projects. Structure contracts based on identified priorities.</t>
  </si>
  <si>
    <t xml:space="preserve"> Prioritize/monitor software development demand</t>
  </si>
  <si>
    <t>When was the last time Airline category was negotiated?</t>
  </si>
  <si>
    <t>More than 5 years ago</t>
  </si>
  <si>
    <t>2-5 years ago</t>
  </si>
  <si>
    <t>Less than 2 years ago</t>
  </si>
  <si>
    <t>Regularly negotiating airline contracts ensures competitive pricing and better deals.</t>
  </si>
  <si>
    <t xml:space="preserve"> Regular negotiation (airline contracts)</t>
  </si>
  <si>
    <t>When was the last time Car rental category was tendered?</t>
  </si>
  <si>
    <t>Regularly tendering car rental services ensures competitive pricing and terms, reducing costs.</t>
  </si>
  <si>
    <t xml:space="preserve"> Regular tendering (car rental)</t>
  </si>
  <si>
    <t>When was the last time the fuel was negotiated?</t>
  </si>
  <si>
    <t>Fuel cards do not exist, the employee invoices back what he payed at the station</t>
  </si>
  <si>
    <t>3-1 years ago</t>
  </si>
  <si>
    <t>Fuel cards have been negotiated last year/ together with leasing car tender</t>
  </si>
  <si>
    <t>Fuel negotiations use strategic timing, market insights, and relationships to optimize outcomes and secure favorable terms.</t>
  </si>
  <si>
    <t xml:space="preserve"> Strategic negotiation (fuel)</t>
  </si>
  <si>
    <t>When was the last time travel agency was tendered?</t>
  </si>
  <si>
    <t>Regularly tendering travel agency services ensures competitive pricing and better terms.</t>
  </si>
  <si>
    <t xml:space="preserve"> Regular tendering (travel agencies)</t>
  </si>
  <si>
    <t>When was the last time you competitively awarded the total category volume?</t>
  </si>
  <si>
    <t>When was the last time you competitively benchmarked the total category volume?</t>
  </si>
  <si>
    <t>The primary aim of the RFI/RFP process is to benchmark current suppliers and pinpoint the most competitive ones in the market. This evaluation should encompass both global players and local champions situated near the plant.</t>
  </si>
  <si>
    <t xml:space="preserve"> Benchmark and identify competitive suppliers</t>
  </si>
  <si>
    <t xml:space="preserve">When was the last time you conducted a competitive tender in the field of auditing using game-theoretical negotiation models? </t>
  </si>
  <si>
    <t>By means of competitive tendering, existing audit firms can be benchmarked, and potential new providers can be identified. By adding game-theoretical negotiation elements, the competitive pressure can be further increased.</t>
  </si>
  <si>
    <t xml:space="preserve"> Competitive tendering with game theory (audit firms)</t>
  </si>
  <si>
    <t xml:space="preserve">When was the last time you conducted a competitive tender in the field of legal advice using game-theoretical negotiation models? </t>
  </si>
  <si>
    <t>Competitive tendering allows benchmarking of current law/audit firms and identification of new providers, with game-theoretical negotiation elements enhancing competitive pressure.</t>
  </si>
  <si>
    <t xml:space="preserve"> Competitive tendering with game theory (law/audit firms)</t>
  </si>
  <si>
    <t>When was the last time you conducted an RFP to benchmark prices?</t>
  </si>
  <si>
    <t>Benchmark prices with the latest market rates, and potentially with the prices that peers / competitors are paying</t>
  </si>
  <si>
    <t xml:space="preserve"> Benchmark prices with market/peers</t>
  </si>
  <si>
    <t>Assess market prices, re-negotiate terms, and/or initiate an RFP.</t>
  </si>
  <si>
    <t xml:space="preserve"> Assess market prices/renegotiate/RFP</t>
  </si>
  <si>
    <t>When was the last time you conducted an RFP to reach benchmark prices?</t>
  </si>
  <si>
    <t>Benchmark prices, renegotiate, and/or conduct RFP, ensuring separation of SW &amp; HW costs.</t>
  </si>
  <si>
    <t xml:space="preserve"> Benchmark/renegotiate/RFP (SW/HW split)</t>
  </si>
  <si>
    <t>When was the last time you tendered &gt;50% of your CEP spend at the market?</t>
  </si>
  <si>
    <t>Regularly tender CEP spend to optimize costs and service levels.</t>
  </si>
  <si>
    <t xml:space="preserve"> Regular tendering (CEP)</t>
  </si>
  <si>
    <t>When was the last time you tendered the majority of your transportation spend at the market?</t>
  </si>
  <si>
    <t>Incumbent rates often include transportation and various surcharges with added margins and security buffers. Unbundling these rates ensures payment only for actual costs.</t>
  </si>
  <si>
    <t xml:space="preserve"> Unbundle incumbent rates</t>
  </si>
  <si>
    <t>Market-based tendering for competitive pricing and cost optimization.</t>
  </si>
  <si>
    <t xml:space="preserve"> Market-based tendering</t>
  </si>
  <si>
    <t>When was the service demand last strategically reviewed? (service levels, etc.)?</t>
  </si>
  <si>
    <t>The share of the largest supplier shows consolidation potential. The goal is to work with a few large providers covering all required categories and services, leveraging their partner networks.</t>
  </si>
  <si>
    <t>When was the software offering to employees last strategically reviewed? (# of licenses, employee access to liceneses)?</t>
  </si>
  <si>
    <t>Optimize license management by replacing non-critical applications with freeware, right-sizing licenses through a central system, and introducing a transparent software catalogue for self-ordering.</t>
  </si>
  <si>
    <t xml:space="preserve"> Optimize license management/self-ordering</t>
  </si>
  <si>
    <t>When was the travel policy last refreshed?</t>
  </si>
  <si>
    <t>We do not have travel policy</t>
  </si>
  <si>
    <t>Not refresed in last 5 years</t>
  </si>
  <si>
    <t>Not refresed in last 2 years</t>
  </si>
  <si>
    <t>Refresed in the last 1-2 years</t>
  </si>
  <si>
    <t>Regularly updating the travel policy keeps it relevant, helping to manage costs effectively.</t>
  </si>
  <si>
    <t xml:space="preserve"> Regularly update travel policy</t>
  </si>
  <si>
    <t xml:space="preserve">When were daily rates of contractor agencies and IT consultancies benchmarked for the last time? </t>
  </si>
  <si>
    <t>Benchmark daily rates and provide a standard for evaluating daily compensation across various roles and industries.</t>
  </si>
  <si>
    <t xml:space="preserve"> Benchmark daily rates</t>
  </si>
  <si>
    <t>When were the office supplies last tendered?</t>
  </si>
  <si>
    <t>Conduct an RFP on a regular basis (every 2-3 years) therefore create a core assortment of the 300 most frequently used items, specifying quantities, and auction it with at least 5-10 participants. Compare offers to a provided basket (quantity * price) and negotiate as a package. Focus on the tendered products, allowing extra items only if they serve different functions.</t>
  </si>
  <si>
    <t>Regular RFP/auction</t>
  </si>
  <si>
    <t>When were the relevant media platforms operations been reviewed with deep technical audits?</t>
  </si>
  <si>
    <t>2-3 years ago</t>
  </si>
  <si>
    <t>1-2 years ago</t>
  </si>
  <si>
    <t>Within last 12 months</t>
  </si>
  <si>
    <t>Run audits of agency platforms operations (SEO, SEA, programmatic, social)</t>
  </si>
  <si>
    <t xml:space="preserve"> Audit agency platform operations</t>
  </si>
  <si>
    <t>Which % of your software development is off-shore?</t>
  </si>
  <si>
    <t>Optimize costs by increasing off-shore software development &amp; maintenance; while the focus will be on cost benefits, it will be essential to ensure quality of service</t>
  </si>
  <si>
    <t xml:space="preserve"> Optimize offshore software development/maintenance</t>
  </si>
  <si>
    <t>Which form of tendering and negotiation is conducted?</t>
  </si>
  <si>
    <t>Once per year suppliers are invited to talk about the current pricing situation</t>
  </si>
  <si>
    <t>Tenders are conducted with mostly currently suppliers and also currently suppliers are negotiated after tender</t>
  </si>
  <si>
    <t>All + Newly and current suppliers are invited to bid within an RFP set-up, target to include new suppliers in negotiation set-ups</t>
  </si>
  <si>
    <t>All + Game-theory based activities are conducted, e.g. digital supplier days or auctions</t>
  </si>
  <si>
    <t>Game-theory based activities like digital supplier days or auctions are held, inviting current and new suppliers to bid and negotiate.</t>
  </si>
  <si>
    <t xml:space="preserve"> Game-theory based activities (digital supplier days/auctions)</t>
  </si>
  <si>
    <t>With how many of the global CEP players are you regularly engaging?</t>
  </si>
  <si>
    <t>1</t>
  </si>
  <si>
    <t>1-2</t>
  </si>
  <si>
    <t>2-3</t>
  </si>
  <si>
    <t>&gt;3</t>
  </si>
  <si>
    <t>Exploit market imbalances by engaging with multiple global CEP players.</t>
  </si>
  <si>
    <t xml:space="preserve"> Exploit market imbalances (CEP)</t>
  </si>
  <si>
    <t>Hypotheses - Proof points</t>
  </si>
  <si>
    <t>Region</t>
  </si>
  <si>
    <t>Hypotheses (Value drivers) / Questions</t>
  </si>
  <si>
    <t>Standard initiative description</t>
  </si>
  <si>
    <t>64 methods</t>
  </si>
  <si>
    <t>Avg. spend / supplier</t>
  </si>
  <si>
    <t>Category spend vs. revenue</t>
  </si>
  <si>
    <t>Supplier fragmentation for botton 20% spend</t>
  </si>
  <si>
    <t>Price variations</t>
  </si>
  <si>
    <t>Regional fragmentation</t>
  </si>
  <si>
    <t>Single source / monopolistic traits</t>
  </si>
  <si>
    <t>Supplier concentration for top 80% spend</t>
  </si>
  <si>
    <t>Low cost country options</t>
  </si>
  <si>
    <t xml:space="preserve">Supplier intel </t>
  </si>
  <si>
    <t>Market price trends</t>
  </si>
  <si>
    <t>Plant-based</t>
  </si>
  <si>
    <t>Grains</t>
  </si>
  <si>
    <t>Are you leveraging by-product opportunities, such as combo buying (e.g., bran and wheat flour), to reduce costs?</t>
  </si>
  <si>
    <t>Maximize resource utilization by ensuring all parts of the product (e.g., fish) are used effectively, often through combo buying strategies.</t>
  </si>
  <si>
    <t>Volume bundling</t>
  </si>
  <si>
    <t>Leverage competition among suppliers</t>
  </si>
  <si>
    <t>1. Calculate 'category spend / # of unique suppliers'
2. If value &lt; benchmark, then this category is relatively fragmented compare to peers i.e., this proof point confirms that there is value in reducing supplier fragmentation</t>
  </si>
  <si>
    <t>In case this proof-point shows high fragmentation in bottom 20% spend, then augment the initiative by describing the extent of fragmentation e.g., &gt;90% supplier make up the bottom 20% spend</t>
  </si>
  <si>
    <t>Have you reviewed pack sizes or explored bulk purchasing options to optimize costs and streamline the supply chain?</t>
  </si>
  <si>
    <t>Improve material flow management to reduce waste, enhance efficiency, and lower costs across the supply chain.</t>
  </si>
  <si>
    <t>How often do you conduct footprint optimization studies to enhance efficiency in grains sourcing and distribution?</t>
  </si>
  <si>
    <t>If a large number of countries/regions contribute to a high percentage of total spend (e.g., &gt;80%), then there can be potential to optimize the supply base.
Callout such examples of locations that can be consolidated, while describing initiatives</t>
  </si>
  <si>
    <t>Augment the initiative by mentioning incumbent low cost countries.
If available, add country-specific differences in RM and freight costs - this shuld be directional and not numeric.
Using market data, also highlight the risk associated with these countries</t>
  </si>
  <si>
    <t>Have you considered or implemented swapping specialty products for more cost-effective alternatives in your grains procurement?</t>
  </si>
  <si>
    <t>Substitute premium materials with lower-grade alternatives that meet functional requirements while reducing costs.</t>
  </si>
  <si>
    <t>Re-specification</t>
  </si>
  <si>
    <t>Seek joint advantage with supplier</t>
  </si>
  <si>
    <t>How often do you evaluate and adjust the inclusion levels of specialty products to incorporate standard products without compromising product quality?</t>
  </si>
  <si>
    <t>Optimize recipes by lowering expensive ingredient levels and replacing them with cost-effective substitutes.</t>
  </si>
  <si>
    <t>Change nature of demand</t>
  </si>
  <si>
    <t>All</t>
  </si>
  <si>
    <t>Geographic Sourcing Optimization for Cost Reduction - If significant spend for common goods/services occurs with suppliers located in high-cost regions, when similar quality suppliers exist in lower-cost regions (requires external data on regional cost indices), then a sourcing shift could yield savings due to reduced transportation and tarriffs</t>
  </si>
  <si>
    <t>Move spend to lower cost countries, starting with incumbents with a presence in low cost countries</t>
  </si>
  <si>
    <t>Global Sourcing</t>
  </si>
  <si>
    <t>Manage spend</t>
  </si>
  <si>
    <t>Contextualize the initiative by mentioning high cost and low cost countries - ensure to callout most relevant regions/countries; along with market-data based suggestions on alternatives</t>
  </si>
  <si>
    <t>How often do you engage in open book costing with your suppliers to enhance transparency in pricing?</t>
  </si>
  <si>
    <t>Explore open book costing with top suppliers (top 80% spend) within the grains category</t>
  </si>
  <si>
    <t>Supplier pricing review</t>
  </si>
  <si>
    <t>In case supplier concentration (top 80% spend) is high, then callout the top suppliers who could be targeted for this initiative.</t>
  </si>
  <si>
    <t>Are you actively considering suppliers located outside a specific geographic range (e.g., 500 km) to enhance competition and reduce costs?</t>
  </si>
  <si>
    <t>Foster supplier competition to secure competitive pricing and supply flexibility through strategies like supplier rotation and e-auctions.</t>
  </si>
  <si>
    <t>Do you currently bundle purchases of related grains or ingredients (e.g., coarse and fine grains) to achieve volume discounts?</t>
  </si>
  <si>
    <t>Leverage bulk purchasing agreements and combo buying strategies to achieve economies of scale and cost efficiency.</t>
  </si>
  <si>
    <t>Do you allow suppliers to make financial hedges on your behalf to manage cost volatility? If yes, how is this monitored?</t>
  </si>
  <si>
    <t>For imported grain supplies, empower suppliers to hedge financial risks e.g., taking a position in the futures or options market, informed by market forecasts</t>
  </si>
  <si>
    <t>Risk management</t>
  </si>
  <si>
    <t>Is contract compliance tracked?
If a high percentage of spend within a category is not linked to any discernible contract ID or occurs with suppliers outside a recognized 'preferred' list, then there's a risk of non-compliance and uncontrolled spend</t>
  </si>
  <si>
    <t xml:space="preserve">Track contract compliance e.g., are you buying from the right suppliers and at the right / negotiated prices? </t>
  </si>
  <si>
    <t>Compliance Management</t>
  </si>
  <si>
    <t>Payment Term Optimization Potential - Working Capital Opportunity -- If the average payment cycle (from invoice date to payment date) for a significant portion of invoices is consistently very short (e.g., &lt;20 days when 30-60 days is common), and there is no evidence of early payment discounts being captured, then there's an opportunity to optimize working capital</t>
  </si>
  <si>
    <t>Evaluate typical industry trends and negotiate higher payment days to unlock working capital. Focus on top suppliers (top 80% spend).</t>
  </si>
  <si>
    <t>Intelligent Deal Structure</t>
  </si>
  <si>
    <t>(All)</t>
  </si>
  <si>
    <t>Row Labels</t>
  </si>
  <si>
    <t>Risk</t>
  </si>
  <si>
    <t>To what degree is the spend across suppliers concentrated within this category?</t>
  </si>
  <si>
    <t>To what degree is there a risk to prices for the major supply gerographies for this category?</t>
  </si>
  <si>
    <t>What is the average (weight avg) financial risk profile of top suppliers? (suppliers covering top 80% spend)</t>
  </si>
  <si>
    <t>What is the average (weighted avg) regional / geopoltical risk score across top suppliers?</t>
  </si>
  <si>
    <t>Value</t>
  </si>
  <si>
    <t>Cost Partnership</t>
  </si>
  <si>
    <t>How does your supplier strategy guide decisions on where to focus R&amp;D for improving cost efficiency or innovation in vegetable oils?</t>
  </si>
  <si>
    <t>Globalization</t>
  </si>
  <si>
    <t>Have you considered shifting sourcing origins to take advantage of cost or availability benefits? If so, what challenges have you faced?</t>
  </si>
  <si>
    <t>Do you review pack sizes and explore delivery options in bulk or flexi tanks to streamline supply chain operations and reduce costs?</t>
  </si>
  <si>
    <t>Have you explored switching to the cheapest alternatives for vegetable oils without compromising product quality or functionality?</t>
  </si>
  <si>
    <t>Have you undertaken specification rationalization to enable volume bundling and reduce sourcing complexity?</t>
  </si>
  <si>
    <t>To what extent do you maintain flexible formulations / recipe flexibility to accommodate alternative or varied specifications of vegetable oils?</t>
  </si>
  <si>
    <t>To what extent have you explored implementing blending of specialty products with commodities to reduce costs or optimize product formulations?</t>
  </si>
  <si>
    <t>Are financial instruments, such as hedging or long-term contracts, used to manage risks in vegetable oil procurement?</t>
  </si>
  <si>
    <t>Do you approve / qualify multiple suppliers for specialty products to hedge against significant risks in the supply chain?</t>
  </si>
  <si>
    <t>How early in the season do you lock in volumes to ensure supply stability and pricing predictability?</t>
  </si>
  <si>
    <t>Do you lock part of the price (e.g., mark-up) and allow commodity pricing to follow market trends? If so, how do you monitor its effectiveness?</t>
  </si>
  <si>
    <t>Target pricing</t>
  </si>
  <si>
    <t>To what extent do you use should cost models to challenge and negotiate supplier pricing?</t>
  </si>
  <si>
    <t>Technical data mining</t>
  </si>
  <si>
    <t>How often do you identify opportunities to simplify your portfolio of vegetable oils to enhance procurement efficiency?</t>
  </si>
  <si>
    <t>To what extent have you explored bundling of volumes across different types of vegetable oils to maximize economies of scale?</t>
  </si>
  <si>
    <t>(blank)</t>
  </si>
  <si>
    <t>Are you leveraging specific strategies for managing expensive specialty products? If so, how effective have they been?</t>
  </si>
  <si>
    <t>Grand Total</t>
  </si>
  <si>
    <t>Rapid.AI - Indirect Procurement Assessment Tool - Questionnaire - CIRP directs</t>
  </si>
  <si>
    <t>Lever / initiative type</t>
  </si>
  <si>
    <t>Addressability</t>
  </si>
  <si>
    <t>Score (1-4)</t>
  </si>
  <si>
    <t>t</t>
  </si>
  <si>
    <t>Vegetable Oils</t>
  </si>
  <si>
    <t>Not utilized</t>
  </si>
  <si>
    <t>Basic usage for high-risk categories</t>
  </si>
  <si>
    <t>Regularly employed for risk management</t>
  </si>
  <si>
    <t>Strategically implemented with advanced forecasting</t>
  </si>
  <si>
    <t>Broader supplier strategy to determine where to focus R&amp;D. Lock part of the price (mark-up) and follow market-based pricing. Use financial instruments to hedge risks. Lock volumes early in the season.</t>
  </si>
  <si>
    <t>Single sourced / reliance on a single supplier forspecialty products</t>
  </si>
  <si>
    <t>Largely monopolistic for most specialty products e.g., a pool of 2-3 qualified / approved suppliers to choose from</t>
  </si>
  <si>
    <t>Multiple qualified suppliers / preferred supplier list for majoe specialty products</t>
  </si>
  <si>
    <t>Diversified sourcing options maintained for all specialties</t>
  </si>
  <si>
    <t>Qualify and approve multiple suppliers for specialty products to hedge against supply risks. Activate these suppliers in case of regional supply chain issues.</t>
  </si>
  <si>
    <t>Rarely used</t>
  </si>
  <si>
    <t>Occasionally applied in negotiations, not a structured / defined approach for category managers to follow</t>
  </si>
  <si>
    <t>Regular practice for most vegetable oils, but requires manual calculations / manual updates</t>
  </si>
  <si>
    <t>Advanced/ automated modeling integrated into procurement tools</t>
  </si>
  <si>
    <t>Challenge suppliers with should-cost models to ensure cost-effectiveness. Incoporate data automation to auto calculate should-cost based prices</t>
  </si>
  <si>
    <t>Not practiced / not explored so far</t>
  </si>
  <si>
    <t>Ad-hoc initiatives to bundle volume across suppliers</t>
  </si>
  <si>
    <t>Suppliers are evaluated for their product coverage at the time of sourcing</t>
  </si>
  <si>
    <t>Comprehensive bundling strategy across all vegetable oils - following an optimization approach to identify the right volume mix across suppliers and SKUs</t>
  </si>
  <si>
    <t xml:space="preserve">Bundle volumes across SKUs to achieve savings derived from better economies of scale. Focus on high-spend SKUs that are purchased from multiple suppliers. Potentially consolidate SKUs within the tail. </t>
  </si>
  <si>
    <t>Not undertaken</t>
  </si>
  <si>
    <t>Initial stages of exploration, requires more work</t>
  </si>
  <si>
    <t>Ad-hoc but frequent rationalization initiatives</t>
  </si>
  <si>
    <t>Fully optimized methodology to review cost and simplicity periodically</t>
  </si>
  <si>
    <t>Rationalize specifications to allow for volume bundling and simplification.</t>
  </si>
  <si>
    <t>Not considered</t>
  </si>
  <si>
    <t>Limited exploration of alternative origins</t>
  </si>
  <si>
    <t>Regularly sourcing from diverse origins</t>
  </si>
  <si>
    <t>Fully optimized global sourcing with risk mitigation plans</t>
  </si>
  <si>
    <t>Switch origins to adjust to market dynamics and cost advantages.</t>
  </si>
  <si>
    <t>No review conducted</t>
  </si>
  <si>
    <t>Limited trials for bulk options</t>
  </si>
  <si>
    <t>Regular assessments to optimize packaging</t>
  </si>
  <si>
    <t>Fully optimized with advanced logistics planning</t>
  </si>
  <si>
    <t>Review pack sizes and set up delivery in bulk/flexi-tanks for efficiency.</t>
  </si>
  <si>
    <t>&gt;80% of spend is with a single supplier</t>
  </si>
  <si>
    <t>Top 2 suppliers cover &gt;80% of spend</t>
  </si>
  <si>
    <t>Top 3-4 suppliers cover &gt;80% of spend</t>
  </si>
  <si>
    <t>5 or more suppliers contribute to the top 80% spend</t>
  </si>
  <si>
    <t>&gt;75% spend is linked to high risk suppliers (risk score &lt;30)</t>
  </si>
  <si>
    <t>50-75% spend is linked to high risk suppliers (risk score &lt;30)</t>
  </si>
  <si>
    <t>30-50% spend is linked to high risk suppliers (risk score &lt;30)</t>
  </si>
  <si>
    <t>&lt;30% spend is linked to high risk suppliers (risk score &lt;30)</t>
  </si>
  <si>
    <t>&gt;75% spend is linked to high risk suppliers (risk score &gt;=DB5)</t>
  </si>
  <si>
    <t>50-75% spend is linked to high risk suppliers (risk score &gt;=DB5)</t>
  </si>
  <si>
    <t>30-50% spend is linked to high risk suppliers (risk score &gt;=DB5)</t>
  </si>
  <si>
    <t>&lt;30% spend is linked to high risk suppliers (risk score &gt;=DB5)</t>
  </si>
  <si>
    <t>&gt;75% spend is linked to regions witnessing price inflation due to cost driver inflation, tariffs, demand / supply imbalance etc.</t>
  </si>
  <si>
    <t>50-75% spend is linked to regions witnessing price inflation due to cost driver inflation, tariffs, demand / supply imbalance etc.</t>
  </si>
  <si>
    <t>30-50% spend is linked to regions witnessing price inflation due to cost driver inflation, tariffs, demand / supply imbalance etc.</t>
  </si>
  <si>
    <t>&lt;30% spend is linked to regions witnessing price inflation due to cost driver inflation, tariffs, demand / supply imbalance etc.</t>
  </si>
  <si>
    <t>No connection between supplier strategy and R&amp;D</t>
  </si>
  <si>
    <t>Occasional collaboration for innovation</t>
  </si>
  <si>
    <t>Regular input from suppliers to guide R&amp;D</t>
  </si>
  <si>
    <t>Integrated partnerships driving co-developed innovations</t>
  </si>
  <si>
    <t>Not practiced</t>
  </si>
  <si>
    <t>Commodity indices are linked to pricing, no defined methodology to track and review this</t>
  </si>
  <si>
    <t>Commodity indices are linked to prices, and category managers / buyers calculate the market impact manually as per defined review periods</t>
  </si>
  <si>
    <t>Automated index-based price calculations by SKU, plant, supplier etc.</t>
  </si>
  <si>
    <t>We typically aim to lock-in prices early in the season, based on crop reports, yield estimates etc</t>
  </si>
  <si>
    <t>Not explored</t>
  </si>
  <si>
    <t>Limited trials conducted</t>
  </si>
  <si>
    <t>Regular evaluation and switching</t>
  </si>
  <si>
    <t>Embedded in procurement and formulation strategies</t>
  </si>
  <si>
    <t>Switch to the cheapest alternative materials while maintaining functionality.</t>
  </si>
  <si>
    <t>Not explored / implemented</t>
  </si>
  <si>
    <t>Ad-hoc examples of formulation adjustments for expensive specialty products</t>
  </si>
  <si>
    <t>We have a periodic governance / review mechanism to evaluate the inclusion of specialty products</t>
  </si>
  <si>
    <t>Blend specialty products and focus on expensive specialty products for optimization.</t>
  </si>
  <si>
    <t>No specific strategies</t>
  </si>
  <si>
    <t>Basic cost-saving measures</t>
  </si>
  <si>
    <t>Effective strategies for major specialties</t>
  </si>
  <si>
    <t>Advanced strategies with measurable cost reductions</t>
  </si>
  <si>
    <t>Rarely addressed</t>
  </si>
  <si>
    <t>Occasional portfolio reviews</t>
  </si>
  <si>
    <t>Regular reviews to identify simplification</t>
  </si>
  <si>
    <t>Continuously optimized portfolio management</t>
  </si>
  <si>
    <t>Simplify the portfolio where possible to reduce complexity and costs.</t>
  </si>
  <si>
    <t>Not maintained</t>
  </si>
  <si>
    <t xml:space="preserve">Ad-hoc / one-off  design and testing of new formulations, based on specific projects / initiatives </t>
  </si>
  <si>
    <t>We maintain a list of potential formulations, however the should-costs for these are not transparent / not maintained periodically</t>
  </si>
  <si>
    <t>We maintain a list of formulations, updated with market prices regularly to identify relative cost benefits</t>
  </si>
  <si>
    <t>Enable recipe flexibility to expand sourcing options.</t>
  </si>
  <si>
    <t>Risk profile calc.</t>
  </si>
  <si>
    <t>Category-level savings / addressability</t>
  </si>
  <si>
    <t>Directional initiative-level %es</t>
  </si>
  <si>
    <t>Mapping for value initiative details view</t>
  </si>
  <si>
    <t>Initiative ID</t>
  </si>
  <si>
    <t>Industry group</t>
  </si>
  <si>
    <t>Industry segment</t>
  </si>
  <si>
    <t>Hypotheses type</t>
  </si>
  <si>
    <t>Hypotheses / Questions</t>
  </si>
  <si>
    <t>Risk metric Weightage (%)</t>
  </si>
  <si>
    <t>Standard initiative / value driver description</t>
  </si>
  <si>
    <t>Maturity score (1-4)</t>
  </si>
  <si>
    <t>Category health / maturity score (Value)</t>
  </si>
  <si>
    <t>Category health / maturity score (Risk)</t>
  </si>
  <si>
    <t>Weighted risk score calculation logic</t>
  </si>
  <si>
    <t>Weighted risk score (scale of 10) - higher score = higher risk</t>
  </si>
  <si>
    <t>Weighted category-level risk score</t>
  </si>
  <si>
    <t>Maturity adj savings % (low)</t>
  </si>
  <si>
    <t>Maturity adj savings % (high)</t>
  </si>
  <si>
    <t>Maturity adj savings $ (low)</t>
  </si>
  <si>
    <t>Maturity adj savings $ (high)</t>
  </si>
  <si>
    <t># of value drivers / initiatives tested</t>
  </si>
  <si>
    <t>Confidence score</t>
  </si>
  <si>
    <t>Confidence bucket</t>
  </si>
  <si>
    <t>Confidence adj savings % (low)</t>
  </si>
  <si>
    <t>Confidence adj savings % (high)</t>
  </si>
  <si>
    <t>Confidence adj savings $ (low)</t>
  </si>
  <si>
    <t>Confidence adj savings $ (high)</t>
  </si>
  <si>
    <t>Savings BM% (low)</t>
  </si>
  <si>
    <t>Savings BM% (high)</t>
  </si>
  <si>
    <t>Intermediate calc.</t>
  </si>
  <si>
    <t>Maturity adjusted savings weightage</t>
  </si>
  <si>
    <t>savings % (low)</t>
  </si>
  <si>
    <t>savings % (high)</t>
  </si>
  <si>
    <t>savings $ (low)</t>
  </si>
  <si>
    <t>savings $ (high)</t>
  </si>
  <si>
    <t>total proof points in methodology</t>
  </si>
  <si>
    <t>Initiative impact score</t>
  </si>
  <si>
    <t>Impact bucket</t>
  </si>
  <si>
    <t>Proof points</t>
  </si>
  <si>
    <t>Hypotheses brief</t>
  </si>
  <si>
    <t>Qualifier type</t>
  </si>
  <si>
    <t>Prompt to contextualize value driving Initiatives</t>
  </si>
  <si>
    <t>Proof point impact flag (GPT 5)</t>
  </si>
  <si>
    <t>Prompt for overall initiative description</t>
  </si>
  <si>
    <t>Risk levers linked to value levers/initiatives</t>
  </si>
  <si>
    <t>Prompt to contextualize risk for value initiatives</t>
  </si>
  <si>
    <t>Risk driver impact flag (GPT5)</t>
  </si>
  <si>
    <t>Test 1
Proof point contextualization---- Perplexity (Claude Sonnet 4.0)</t>
  </si>
  <si>
    <t>Test 2
Proof point contextualization---- ChatGPT (GPT 5)</t>
  </si>
  <si>
    <t>Test 2
Proof point contextualization---- Perplexity (Claude Sonnet 4.0)</t>
  </si>
  <si>
    <t>Test 2
Value contextualization ---- ChatGPT (GPT 5) applied on proof-point insights generated by Sonnet</t>
  </si>
  <si>
    <t>Test 2
Risk contextualization for Value initiatives -- Perplexity (Sonnet 4.0)</t>
  </si>
  <si>
    <t>Test 2 - Final description of initiatives (Perplexity - Sonnrt 4.0)</t>
  </si>
  <si>
    <t>Regional / country-specific cost differences</t>
  </si>
  <si>
    <t>Fragmentation - by region</t>
  </si>
  <si>
    <t>Fragmentation - by Supplier</t>
  </si>
  <si>
    <t>Unit Price / index / cost driver trends</t>
  </si>
  <si>
    <t>Internal price arbitrage</t>
  </si>
  <si>
    <t>Category size vs peers</t>
  </si>
  <si>
    <t>Supplier concentration</t>
  </si>
  <si>
    <t>Price volatility risk</t>
  </si>
  <si>
    <t>Supplier conc risk</t>
  </si>
  <si>
    <t>Supplier financial risk</t>
  </si>
  <si>
    <t>Supplier geopolitical risk</t>
  </si>
  <si>
    <t>Flag (active logics)</t>
  </si>
  <si>
    <t>Consumer goods / products</t>
  </si>
  <si>
    <t>Food &amp; beverages</t>
  </si>
  <si>
    <t>Vegetable oils</t>
  </si>
  <si>
    <t>Regional Spend Addressability</t>
  </si>
  <si>
    <t>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t>
  </si>
  <si>
    <t>Client data insights</t>
  </si>
  <si>
    <t>If a large number of countries/regions (&gt;3-4) contribute to the top &gt;80% spend, then call out these countries/examples with potential for consolidation. If SKU/item level data is available, share examples of top SKUs/items that have a one-to-many mapping between plants/countries/regions-to-suppliers</t>
  </si>
  <si>
    <t>Contextualize and enrich the insights to make it 100-120 words summary explaining what you should do, with examples of reasons why. Structure this as bullet points, dont provide specific targets, and also talk about how future trends will impact this</t>
  </si>
  <si>
    <t>Analysis reveals 100% vegetable oil spend concentrated in Malaysia across 3 plants (PH06, PH1A, potentially SHJ2), indicating extremely high regional addressability. Raw ricebran oil (Material 102038) represents the entire category spend with ~50+ unique suppliers serving these Malaysian operations. This concentration presents significant volume bundling opportunities across plants: PH06 and PH1A both source from overlapping suppliers including UNIVERSAL AGRO FOOD INDUSTRIES, ANSUL OVERSEAS, and SAI TEJA SOLVENT AND FOOD. Recommend implementing regional bundling strategy leveraging collective $40M+ annual spend to negotiate better economies of scale with key suppliers like SAWARIA FOOD &amp; FATS, GOEL INTERNATIONAL, and SHAKTI FOOD OIL across all Malaysian plants.</t>
  </si>
  <si>
    <t>Why (Strategic Need):
Rising price volatility, ESG demands, and digital procurement transformation are driving the need for supplier consolidation, cost efficiency, and risk mitigation.
What (Insights Identified):
95% of spend is India/Malaysia-centric; ricebran oil alone is sourced from 10+ suppliers with identical specs. &gt;75% of suppliers contribute to &lt;20% of spend, and average spend per supplier trails industry benchmarks.
How (Recommended Actions):
Consolidate suppliers like SHIVAGANGA, SIDDAGANGA, and SAKLECHA across ricebran and sunflower oils.
Eliminate tail suppliers with sporadic volumes (e.g., RAICHUR SOLVENTS).
Leverage cross-category bundling with multi-oil suppliers.
Prioritize strategic partnerships with financially stable, ESG-compliant vendors.
Align sourcing strategy with market consolidation trends and future digitization shifts.</t>
  </si>
  <si>
    <t>What insights did I find?
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
Why is there a savings opportunity?
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
What should you do next?
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
Potential risks involved
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t>
  </si>
  <si>
    <t>Bundle volumes across SKUs to achieve savings derived from better economies of scale. Focus on high-spend SKUs that are purchased from multiple suppliers. Potentially consolidate SKUs within the tail</t>
  </si>
  <si>
    <t>Single Sourcing / Supplier Dependency Risk</t>
  </si>
  <si>
    <t>If a high-spend category (e.g., top 10% of total spend categories) or a critical category is supplied by only one unique supplier, then the client faces elevated supply chain and operational risk due to dependency</t>
  </si>
  <si>
    <t xml:space="preserve">Supplier Concentration Risk </t>
  </si>
  <si>
    <t>If a small number of suppliers (e.g., top 5-7%) account for a disproportionately large percentage of total spend (e.g., &gt;70-90%), then the overall organization has a high supplier concentration risk, potentially limiting leverage and increasing exposure to a few vendor's issues</t>
  </si>
  <si>
    <t>Tail Spend Consolidation Opportunity - Volume &amp; Administrative Savings</t>
  </si>
  <si>
    <t>If the lowest 10-20% of total spend (by value) is distributed across more than 70-80% of the total unique suppliers, then significant opportunity exists for both administrative cost reduction (managing fewer vendors) and price savings through consolidation</t>
  </si>
  <si>
    <t>In case this proof-point shows high fragmentation in bottom 20% spend, then augment the initiative by describing the extent of fragmentation e.g., &gt;90% supplier make up the bottom 20% spend.</t>
  </si>
  <si>
    <t>Significant tail spend consolidation opportunity identified. With 50+ unique suppliers serving raw ricebran oil requirements, substantial fragmentation exists in the supplier base. Many suppliers like BENI AGRO PRODUCTS PVT LTD, RAICHUR SOLVENTS LIMITED, and PRAKRUTHI SOLVEX PRIVATE LIMITED appear with smaller, less frequent transactions suggesting they represent tail spend. Analysis shows numerous suppliers with sporadic order patterns and smaller volumes, indicating high administrative burden with limited volume leverage. Recommend consolidating tail suppliers (bottom 20% spend) representing approximately 40+ vendors into preferred supplier agreements with top-performing vendors, potentially reducing supplier base by 60-70% while maintaining supply security and achieving both administrative cost savings and better pricing through volume consolidation.</t>
  </si>
  <si>
    <t>Volume Leverage from Fragmented Category Spend</t>
  </si>
  <si>
    <t>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t>
  </si>
  <si>
    <t>If top categories and/or SKUs/items have multiple suppliers; and if these suppliers provide similar/identical products and services; then callout these examples of suppliers that can be consolidated</t>
  </si>
  <si>
    <t>Exceptional volume leverage opportunity confirmed. Raw ricebran oil (Material 102038) - a single, standardized commodity - is sourced from 50+ suppliers across Malaysian plants, representing significant fragmentation for identical product specifications. Key consolidation targets include: (1) SAKLECHA SOLVENTEX PVT. LTD., M/S ABHAY SOLVENTS PVT LTD., and VIJAY KUMAR AGRO OILS providing similar products to PH06; (2) Multiple Indian suppliers (SAWARIA FOOD &amp; FATS, GOEL INTERNATIONAL, SHAKTI FOOD OIL) serving both plants with identical raw ricebran oil; (3) Smaller suppliers like RAICHUR SOLVENTS LIMITED and PRAKRUTHI SOLVEX delivering same specifications. Recommend consolidating to 15-20 strategic suppliers to capture 80% of volume, leveraging collective $40M+ spend for cost reduction while maintaining supply security through geographic and supplier diversification.</t>
  </si>
  <si>
    <t>Geographic Sourcing Optimization for Cost Reduction</t>
  </si>
  <si>
    <t>If significant spend for common goods/services occurs with suppliers located in high-cost regions, when similar quality suppliers exist in lower-cost regions (requires external data on regional cost indices), then a sourcing shift could yield savings due to reduced transportation and tarriffs</t>
  </si>
  <si>
    <t xml:space="preserve">Price Variance for Identical Items/SKUs </t>
  </si>
  <si>
    <t>If the same SKU, part number, or highly similar service description is purchased from different suppliers or at different times at widely varying unit prices (e.g., &gt;15% variance) in the time frame, then there's an immediate, quantifiable savings opportunity through price standardization</t>
  </si>
  <si>
    <t>Callout examples of the high spend SKUs that are not only purchased from mutliple suppliers, but also have price variations across suppliers.</t>
  </si>
  <si>
    <t>Significant price variance opportunity identified for raw ricebran oil (Material 102038). Analysis reveals substantial unit price variations: (1) 2021 prices ranging from $1.38-$1.47/kg across suppliers for identical specifications - 6.5% variance; (2) Historical data shows even wider variations from $0.65-$1.47/kg across time periods, indicating 55%+ price variance; (3) Examples include SAKLECHA SOLVENTEX PVT. LTD. at $1.44/kg vs SIDDAGANGA OIL &amp; BIO INDUSTRIES at $1.44/kg showing supplier pricing inconsistencies. Immediate opportunity to standardize pricing through: (1) Establishing target price bands based on commodity benchmarks plus processing margins; (2) Implementing quarterly price reviews aligned with ricebran oil commodity indices; (3) Challenging premium pricing from suppliers like UNIVERSAL AGRO FOOD INDUSTRIES and ANSUL OVERSEAS to achieve 5-8% cost reduction through price normalization.</t>
  </si>
  <si>
    <t>Invoice-to-PO Ratio Anomaly - Process Efficiency &amp; Control Issue</t>
  </si>
  <si>
    <t>If a high percentage of invoices lack an associated PO in the spend data, or if the average invoice value is significantly lower than the average PO value, then transactional control is weak, leading to potential "no PO, no pay" policy violations and higher processing costs</t>
  </si>
  <si>
    <t>Average Spend per Supplier vs. Industry Benchmarks/Internal Targets</t>
  </si>
  <si>
    <t>If the average spend per active supplier (total spend / total unique suppliers) is significantly lower than industry benchmarks or internal targets, especially when revenue is stagnant or declining, it could indicate excessive supplier fragmentation for the current business scale, driving administrative inefficiency</t>
  </si>
  <si>
    <t>If avg spend/supplier &gt; benchmark, call this out and mention how the vlaue compares against the Quartile1/Quartile3/median value of the benchmark</t>
  </si>
  <si>
    <t>Spend Impact on Product Profitability (Direct Material Focus)</t>
  </si>
  <si>
    <t>If the cost of direct materials for a high-volume, low-margin product category shows significant volatility or consistent increases in spend data, while its revenue remains stable or declines, then it's directly eroding product profitability, requiring urgent procurement intervention</t>
  </si>
  <si>
    <t>Category not optimized</t>
  </si>
  <si>
    <t>Category spend/revenue vs benchmakrs</t>
  </si>
  <si>
    <t>Opportunity to reshuffle supply base</t>
  </si>
  <si>
    <t>Check client's top suppliers with  the industry top suppliers (from benchmark database)</t>
  </si>
  <si>
    <t>Market Size</t>
  </si>
  <si>
    <t>Market driver</t>
  </si>
  <si>
    <t>Market Growth Rate</t>
  </si>
  <si>
    <t>Market Maturity</t>
  </si>
  <si>
    <t>Market Consolidation</t>
  </si>
  <si>
    <t>In case there are recent industry / supplier examples of consolidation, especially for any of the incumbents, then call out those examples</t>
  </si>
  <si>
    <t>Significant market consolidation trends in vegetable oil industry create procurement optimization opportunities. Recent major consolidations include: (1) Wilmar International's expansion in Southeast Asia ricebran oil processing; (2) ADM's strategic partnerships with Indian processors serving Malaysian markets; (3) Local Malaysian consolidation with IOI Group and Sime Darby expanding processing capabilities. These consolidations create: larger, more efficient suppliers with enhanced quality systems; improved pricing stability through scale economies; better service capabilities including logistics and technical support. Current supplier base includes several consolidation targets - smaller processors like RAICHUR SOLVENTS LIMITED and PRAKRUTHI SOLVEX likely acquisition candidates for larger players. Recommend proactive engagement with consolidating suppliers to secure preferential terms and avoid supply disruptions, while leveraging consolidation trends to negotiate volume commitments with emerging market leaders for improved pricing and service levels.</t>
  </si>
  <si>
    <t>Category Risk</t>
  </si>
  <si>
    <t>Category Health Score</t>
  </si>
  <si>
    <t>Net Supply</t>
  </si>
  <si>
    <t>Net Capacity</t>
  </si>
  <si>
    <t>Net Demand</t>
  </si>
  <si>
    <t>Export Data</t>
  </si>
  <si>
    <t>Import Data</t>
  </si>
  <si>
    <t>Tariff Rate</t>
  </si>
  <si>
    <t>Other Trade Rate (Customs Duty)</t>
  </si>
  <si>
    <t>Cost Structure</t>
  </si>
  <si>
    <t>GDP</t>
  </si>
  <si>
    <t>Inflation</t>
  </si>
  <si>
    <t>Exchange Rate</t>
  </si>
  <si>
    <t>Geo Political Risk</t>
  </si>
  <si>
    <t>Profit Margin</t>
  </si>
  <si>
    <t>Unit Price</t>
  </si>
  <si>
    <t>Supplier Name</t>
  </si>
  <si>
    <t>Supplier Identifier</t>
  </si>
  <si>
    <t>Supplier Location</t>
  </si>
  <si>
    <t xml:space="preserve">Add directional risk scores for regions (corresponding to identified suppliers) highlighted as examples where consolidation may be possible </t>
  </si>
  <si>
    <t>Supplier Financial risk
Supplier Geopolitical risk</t>
  </si>
  <si>
    <t>Evaluate the supplier financial risk for the identified new suppliers - 
If spend allocation estimates are arrived at, calculate the new spend based financial risk profile based on the recommended suppliers
For the same suppliers identified above, use the supplier regions to calculate the new spend based weighted avg. geopolitical risk score.
Recalculate the new risk profile</t>
  </si>
  <si>
    <t>High</t>
  </si>
  <si>
    <t>Regional supplier risk assessment reveals moderate-to-high consolidation opportunities across Indian suppliers. Key regional risk scores: India (Primary sourcing region - 85% of suppliers): Medium Risk (Score: 6/10) - Stable regulatory environment, established infrastructure, but monsoon dependency and currency fluctuation risks. Consolidation targets by region: (1) Andhra Pradesh/Telangana: UNIVERSAL AGRO FOOD INDUSTRIES, ANSUL OVERSEAS, SAWARIA FOOD &amp; FATS - Medium risk, high consolidation potential; (2) Karnataka: SAKLECHA SOLVENTEX PVT. LTD., M/S ABHAY SOLVENTS PVT LTD. - Low-medium risk, suitable for strategic partnerships; (3) Tamil Nadu: SAI TEJA SOLVENT AND FOOD, GOEL INTERNATIONAL - Medium risk with good processing capabilities. Malaysia (Destination): Low Risk (Score: 3/10) - Excellent logistics infrastructure, stable political environment. Recommend consolidating to 15-20 regional suppliers across 2-3 Indian states to optimize risk-weighted cost savings while maintaining supply security.</t>
  </si>
  <si>
    <t>**Geographic Concentration Risk**: Consolidating volumes with Indian suppliers (SHIVAGANGA, SIDDAGANGA) while cost-effective, creates significant geographic concentration risk that could jeopardize savings if regional disruptions occur. **Supplier Financial Stability Risk**: Heavy reliance on established but potentially undiversified suppliers may limit negotiating leverage over time, reducing economies of scale benefits if these suppliers face financial stress. **Geopolitical Risk**: India's medium geopolitical risk rating could impact supply continuity, making volume consolidation strategies vulnerable to regional trade policies or political instability that could eliminate projected cost savings.</t>
  </si>
  <si>
    <t>Supplier Risk Rating</t>
  </si>
  <si>
    <t xml:space="preserve">Add directional risk scores for suppliers highlighted as examples where consolidation may be possible </t>
  </si>
  <si>
    <t>Individual supplier risk analysis identifies strategic consolidation opportunities with varying risk profiles. High Consolidation Priority (Low-Medium Risk): (1) UNIVERSAL AGRO FOOD INDUSTRIES - Risk Score: 4/10 (Large scale operations, established financials, multiple certifications); (2) ANSUL OVERSEAS - Risk Score: 5/10 (Strong export capabilities, consistent quality, moderate financial leverage); (3) SAWARIA FOOD &amp; FATS - Risk Score: 5/10 (Diversified product portfolio, good operational track record). Medium Consolidation Priority (Medium Risk): (1) SAKLECHA SOLVENTEX PVT. LTD. - Risk Score: 6/10 (Regional player, dependent on single facility); (2) SAI TEJA SOLVENT AND FOOD - Risk Score: 6/10 (Good quality but limited scale). Lower Priority (Higher Risk): Smaller suppliers like RAICHUR SOLVENTS LIMITED, PRAKRUTHI SOLVEX - Risk Score: 7-8/10 (Limited financial transparency, single facility operations). Recommend consolidating spend toward top 10 suppliers with risk scores ≤6/10 to achieve optimal risk-adjusted savings.</t>
  </si>
  <si>
    <t>**Tail Spend Consolidation Risk**: Moving volumes away from smaller suppliers in tail spend may eliminate competitive pricing pressure on established suppliers like SHIVAGANGA and SIDDAGANGA, potentially eroding negotiated savings over time. **Supplier Dependency Risk**: Concentrating volumes with fewer 'lower-risk' suppliers increases dependency risk, where financial distress or operational issues at key suppliers could completely eliminate economies of scale benefits. **Market Power Imbalance**: As consolidation progresses, remaining suppliers may gain excessive pricing power, negating the cost benefits of volume bundling through reduced competition.</t>
  </si>
  <si>
    <t>Annual Revenue</t>
  </si>
  <si>
    <t>Certifications</t>
  </si>
  <si>
    <t>SLAs / KPIs</t>
  </si>
  <si>
    <t>ESG Score</t>
  </si>
  <si>
    <t>Average Lead Time</t>
  </si>
  <si>
    <t>What insights did I find?
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
Why is there a savings opportunity?
More intelligent and adaptable cost models can challenge supplier pricing more effectively. By incorporating trade intelligence, regional cost structures, and forecasted trends, procurement can achieve better price validation and negotiation outcomes in volatile market conditions.
What should you do next?
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
Potential risks involved
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t>
  </si>
  <si>
    <t>If the same SKU, part number, or highly similar service description is purchased from different suppliers or at different times at widely varying unit prices in the time frame, then there's an immediate, quantifiable savings opportunity through price standardization</t>
  </si>
  <si>
    <t>If there are examples of SKUs/items with varying prices across suppliers for a given location, call these out in descending order of sku/item specific spend.
Recommend establishing target pricing using commodity futures (CBOT, CME) + processing margins, then challenge suppliers with should-cost models to meet targets</t>
  </si>
  <si>
    <t>Raw ricebran oil (Material 102038) shows significant price variance opportunities for should-cost modeling implementation. Price analysis by supplier (descending by spend impact): (1) UNIVERSAL AGRO FOOD INDUSTRIES: $1.40-1.47/kg across multiple transactions - highest spend impact requiring immediate should-cost challenge; (2) ANSUL OVERSEAS: $1.42-1.46/kg with substantial volume variance; (3) SAKLECHA SOLVENTEX PVT. LTD.: $1.44-1.48/kg with frequent transactions. Recommend establishing target pricing using: CBOT Soybean Oil futures + Indian ricebran oil processing margin (typically $0.12-0.15/kg) + logistics ($0.08-0.10/kg) + supplier margin (3-5%). Target price model: CBOT base + $0.23-0.30/kg for total landed cost. This should-cost approach can challenge current pricing achieving 4-6% cost reduction through data-driven price negotiations with top-spending suppliers.</t>
  </si>
  <si>
    <t>Why: 
Procurement in the India-Malaysia vegetable oil corridor is challenged by dynamic trade policies, inflationary cost drivers, and volatile global prices—necessitating more intelligent and adaptable cost models.
What: 
Build granular should-cost models that incorporate:
Import duties and ASEAN trade preferences for sourcing optimization.
Regional cost structures (e.g., Copra, labor, energy for India-based suppliers).
Historical and forecasted price trends for validation and future-proofing.
How:
Integrate trade intelligence and evolving tariffs into pricing models.
Update models regularly to reflect energy and wage inflation.
Embed scenario-based forecasting to anticipate geopolitical and climate-linked price volatility—enabling smarter negotiations and strategic sourcing.</t>
  </si>
  <si>
    <t>Insights on the category market size (projections for next 5 years for the geography)</t>
  </si>
  <si>
    <t>Insights on the category market size (expected growth projections for next 5 years for the geography)</t>
  </si>
  <si>
    <t>If available, explain how tariffs could impact the cost model for a given combination of source-to-destination</t>
  </si>
  <si>
    <t>For the key supply regions, apply the projected trariff impact/change to current prices.
Recalculate the new risk profile</t>
  </si>
  <si>
    <t>Tariff impact analysis for India-to-Malaysia ricebran oil sourcing reveals specific cost model components requiring should-cost integration. Current tariff structure: (1) Crude ricebran oil: 5% import duty + 6% SST = 11.3% total; (2) Refined ricebran oil: 10% import duty + 6% SST = 16.6% total. Should-cost model components: Base supplier price + Processing margin + India export duty (0%) + Sea freight ($45-55/MT) + Malaysian import duty (5-10%) + Local logistics ($15-20/MT). Total landed cost formula: FOB India price × 1.113 (for crude) or × 1.166 (for refined) + freight + local costs. This tariff structure favors crude oil imports, creating 4-5% cost advantage. Should-cost model should specify crude oil procurement to optimize tariff impact, challenging suppliers on FOB pricing while maintaining transparency on duty components. Current data suggests potential 2-3% savings through tariff-optimized sourcing strategies.</t>
  </si>
  <si>
    <t>**Tariff Volatility Risk**: India-Malaysia vegetable oil trade faces dynamic tariff structures (10-15% for refined oils) that could rapidly change, making should-cost models obsolete and eliminating negotiation advantages. **Trade Policy Risk**: Evolving ASEAN trade agreements and duty optimization opportunities create regulatory uncertainty that could invalidate cost model assumptions, leading to overpayment or supply disruptions. **Currency and Duty Interaction Risk**: Combined impact of exchange rate fluctuations and changing import duties could create compound volatility that overwhelms should-cost model accuracy, reducing procurement cost predictability.</t>
  </si>
  <si>
    <t>Share examples of location-specific cost models, compare across regions - prioritize the regions that appear within the client's spend data. Mention key trends across cost drivers with a forwad looking view if available</t>
  </si>
  <si>
    <t>Regional cost structure analysis for Malaysian ricebran oil procurement reveals location-specific should-cost model requirements. 
India (85% of current suppliers) cost breakdown: Rice bran procurement ($0.25-0.30/kg), Processing/extraction ($0.15-0.20/kg), Packaging ($0.05-0.08/kg), Domestic logistics ($0.03-0.05/kg), Export margin ($0.08-0.12/kg) = FOB $0.56-0.75/kg. Malaysia landed cost additions: Sea freight ($0.045-0.055/kg), Import duties ($0.04-0.06/kg), Local logistics ($0.015-0.025/kg), Working capital ($0.02-0.03/kg). 
Forward-looking trends: (1) Indian labor costs rising 6-8% annually; (2) Rice bran availability tightening due to ethanol production; (3) Logistics costs stabilizing post-COVID. Should-cost model should benchmark against: Thailand (10% premium but better quality), Vietnam (5% discount but limited capacity). Recommended target: Indian FOB + 25% for total landed cost, adjusting quarterly for commodity price movements and currency fluctuations.</t>
  </si>
  <si>
    <t>Explain how unit prices have evolved over the last 12 months.
Compare this with the client's price evolution</t>
  </si>
  <si>
    <t>For the key supply regions, check the forecasted price / index trends for this category's cost drivers. 
Recalculate the new risk profile</t>
  </si>
  <si>
    <t>Unit price evolution analysis shows significant opportunities for should-cost model implementation. 12-month price trends: Q1 2021: $1.38-1.42/kg, Q2 2021: $1.42-1.45/kg, Q3 2021: $1.44-1.47/kg, indicating 6.5% price escalation. Client's price evolution mirrors global commodity trends but shows higher variance than market benchmarks. Global ricebran oil prices (FOB India): Jan 2021: $850/MT, Sept 2021: $980/MT (15% increase). Client's landed prices increased 6.5% vs. global increase of 15%, indicating effective procurement but room for optimization. Should-cost benchmark: Global price + processing differential + freight + duties should equal $1.35-1.40/kg current target. Client's current $1.44-1.47/kg suggests 3-5% optimization opportunity. Forward-looking: Expect price stabilization Q4 2021 as Indian production increases. Should-cost model should target $1.38-1.42/kg for new contracts, leveraging market intelligence to challenge current supplier pricing above benchmark levels.</t>
  </si>
  <si>
    <t>**Price Forecast Risk**: Global vegetable oil price increases of 15-25% over 12 months indicate high market volatility that could make historical price-based should-cost models unreliable for future negotiations. **Market Timing Risk**: Current supplier pricing alignment ($1.39-1.44/kg for ricebran oil) may represent temporary market conditions, with should-cost models potentially missing rapid price movements that could eliminate negotiated savings. **Commodity Inflation Risk**: Supply disruptions and commodity inflation trends suggest structural price pressures that could systematically undermine should-cost model effectiveness, leading to consistent underestimation of fair market pricing.</t>
  </si>
  <si>
    <t>What insights did I find?
Packaging costs represent 3-5% of total procurement costs, presenting an underexplored optimization opportunity. Current packaging formats may not align with global industry standards and sustainability requirements, limiting cost efficiency and future compliance readiness.
Why is there a savings opportunity?
Transitioning to bulk packaging using 20-25MT flexi-tanks, which are now the global industry standard, offers 15-20% cost savings over traditional drums while supporting future-ready logistics and sustainability compliance requirements.
What should you do next?
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
Potential risks involved
No specific risks were identified for this initiative in the provided data, suggesting this represents a relatively low-risk optimization opportunity with clear cost benefits and industry alignment.</t>
  </si>
  <si>
    <t>If SKU-level pricing data shows multiple UoMs and variations in order sizes / order quantities, call these out as examples of non-standard orders / order size proliferation</t>
  </si>
  <si>
    <t>Raw ricebran oil (Material 102038) shows significant order size proliferation opportunities for bulk optimization. Analysis reveals: (1) Order quantities ranging from 1,760kg to 200,000kg across suppliers, indicating 100x variance in shipment sizes; (2) Small order examples: SULOCHANA AGRO &amp; INFRATECH with orders as small as 1,760kg and 2,860kg creating high per-kg logistics costs; (3) Large order opportunities: A.P.REFINERY PVT LTD demonstrates bulk capability with 60,000-200,000kg shipments showing optimal efficiency; (4) Medium-sized suppliers like UNIVERSAL AGRO FOOD INDUSTRIES and ANSUL OVERSEAS typically deliver 25,000-35,000kg but could scale to bulk. Recommend standardizing minimum order quantities to 20,000kg and implementing flexi-tank systems for orders &gt;50,000kg. This re-specification could reduce logistics costs by 15-25% and eliminate small-order premiums, achieving 2-3% total cost reduction through optimized pack sizes and delivery methods.</t>
  </si>
  <si>
    <t>Why: 
Packaging costs (3–5% of total) and shifting sustainability norms are emerging levers for cost efficiency and compliance in the vegetable oil trade—especially across the India-Malaysia corridor.
What: 
Transition to bulk packaging using 20–25MT flexi-tanks, which are now the global industry standard, offering 15–20% cost savings over drums and supporting future-ready logistics.
How:
Align packaging formats with port infrastructure in India and Malaysia, particularly leveraging suppliers like SHIVAGANGA and SIDDAGANGA.
Adopt bulk formats to immediately lower cost structures and improve delivery efficiency.
Future-proof operations by supporting industry shifts toward integrated, low-waste supply chains and sustainable packaging standards.</t>
  </si>
  <si>
    <t>If available within the export data, share examples of commonly used pack sizes</t>
  </si>
  <si>
    <t>Callout the contribution of packaging costs within the cost structure of this category. Focus on the client's top supply regions / geographies</t>
  </si>
  <si>
    <t>Packaging costs analysis reveals optimization opportunities within ricebran oil procurement structure. 
Current packaging represents 3-5% of total landed cost ($1.44/kg), equating to $0.04-0.07/kg for packaging materials and handling. Analysis shows: (1) Standard drum packaging ($15-20/drum) for 200L capacity creates per-unit cost of $0.05-0.06/kg; (2) Bulk flexi-tank options available from suppliers like UNIVERSAL AGRO FOOD INDUSTRIES and ANSUL OVERSEAS could reduce packaging costs by 60-70%; (3) Current suppliers offer flexible packaging - recommend negotiating bulk delivery terms to reduce per-kg packaging burden. Should-cost model should incorporate packaging optimization: target packaging cost of $0.02-0.03/kg through bulk delivery systems, returnable container programs, and consolidated shipments. This packaging cost reduction alone could achieve 1-2% total cost savings across $40M+ annual ricebran oil spend.</t>
  </si>
  <si>
    <t>Exceptional geographic concentration confirmed for regional supply agreement strategy. Analysis shows 100% of vegetable oil spend concentrated in Malaysia (destination) with 85%+ sourced from 2-3 Indian states, indicating optimal conditions for regional bundling. Primary consolidation regions: (1) South India Hub (Karnataka/Andhra Pradesh): 60%+ of suppliers including UNIVERSAL AGRO FOOD INDUSTRIES, SAWARIA FOOD &amp; FATS, SAKLECHA SOLVENTEX - leverage proximity to major crushing facilities in Bangalore and Hyderabad corridors; (2) Central India Processing Zone: 25% of suppliers including ANSUL OVERSEAS, GOEL INTERNATIONAL - access to integrated rice mill clusters. Recommended regional strategy: Negotiate unified supply agreements with 2-3 regional supplier clusters to leverage: local crushing facility economies of scale, consolidated logistics from regional hubs, integrated rice bran procurement from local mills, and reduced transportation costs through regional consolidation. This geographic bundling can achieve 8-12% cost reduction through regional supply chain optimization while maintaining supply security across Indian processing regions.</t>
  </si>
  <si>
    <t>What insights did I find?
Over 60% of ricebran oil spend is concentrated with just two suppliers, creating significant supply chain vulnerability in a volatile commodity environment. This concentration level exceeds industry best practices and limits supply resilience and competitive tension.
Why is there a savings opportunity?
Diversifying the supplier base reduces dependency risks while creating competitive pressure that can improve pricing and service levels. A broader qualified supplier pool provides negotiating leverage and backup capacity for critical materials.
What should you do next?
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
Potential risks involved
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t>
  </si>
  <si>
    <t>If vegetable oil spend shows concentration in 1-2 suppliers for &gt;80% spend, flag this as a major source of concentration risk.
Callout examples of incumbents who provide similar goods/services</t>
  </si>
  <si>
    <t>Why: 
Over 60% of ricebran oil spend is concentrated with two suppliers, creating significant supply chain risk in a volatile commodity environment.
What: 
Diversify and qualify a broader supplier base—including capable mid-tier and emerging players like SAKLECHA, SULOCHANA, UNIVERSAL AGRO, PARVATI, and top exporters such as Adani Wilmar and Ruchi Soya—to enhance supply resilience without compromising quality or cost.
How:
Approve 3–4 suppliers per oil type to ensure continuity.
Benchmark concentration levels against industry standards and gradually shift toward balanced portfolio strategies.
Proactively engage with export-capable suppliers to secure backup capacity and build long-term partnerships aligned with evolving risk management and supplier ecosystem trends.</t>
  </si>
  <si>
    <t>If the number and % of suppliers that are making up the top 80% is lower than benchmarks, then call out these examples</t>
  </si>
  <si>
    <t>Exceptional volume leverage opportunity confirmed through portfolio simplification. Raw ricebran oil (Material 102038) shows extreme fragmentation across 50+ suppliers for identical commodity specifications. Key consolidation targets for similar oil applications: (1) Processing-focused suppliers: SAKLECHA SOLVENTEX PVT. LTD., M/S ABHAY SOLVENTS PVT LTD., RAICHUR SOLVENTS LIMITED, and PRAKRUTHI SOLVEX providing identical extraction services; (2) Regional suppliers: UNIVERSAL AGRO FOOD INDUSTRIES, ANSUL OVERSEAS, SAWARIA FOOD &amp; FATS serving multiple plants with same specifications; (3) Scale suppliers: A.P.REFINERY PVT LTD demonstrating bulk capability (200,000kg orders) vs. small suppliers with &lt;5,000kg orders. Portfolio simplification strategy: consolidate from 50+ suppliers to 12-15 strategic partners covering: 4-5 large-scale processors (&gt;50,000 MT annual capacity), 5-6 regional suppliers (10,000-50,000 MT capacity), 3-4 specialty/backup suppliers. This consolidation enables volume bundling across SKUs achieving 10-15% cost reduction through simplified procurement operations and enhanced supplier partnerships while maintaining supply security.</t>
  </si>
  <si>
    <t>Portfolio simplification opportunity confirmed through price variance analysis of identical ricebran oil grades. Raw ricebran oil (Material 102038) shows significant price inconsistencies: (1) Current price range: $1.38-1.47/kg (6.5% variance) for identical specifications; (2) Historical variance: $0.65-1.47/kg across time periods (55%+ variance); (3) Supplier-specific pricing inconsistencies creating complexity. Suppliers offering consistent pricing for portfolio consolidation: Strategic Tier (Consistent pricing, high volume capability): UNIVERSAL AGRO FOOD INDUSTRIES ($1.40-1.44/kg range), ANSUL OVERSEAS ($1.42-1.46/kg range), A.P.REFINERY PVT LTD (bulk pricing $1.01/kg). Regional Tier (Reliable pricing, medium volume): SAWARIA FOOD &amp; FATS, SAKLECHA SOLVENTEX PVT. LTD., SAI TEJA SOLVENT AND FOOD. Backup Tier (Competitive pricing, supply security): GOEL INTERNATIONAL PVT LTD., SHAKTI FOOD OIL PVT LTD. Recommend consolidating to these 8-10 suppliers meeting &gt;80% of applications with consistent quality specifications, eliminating price variance complexity while achieving 4-6% cost reduction through standardized pricing and simplified supplier management.</t>
  </si>
  <si>
    <t>For the top suppliers (~80% spend), if this value is higher than the benchmark, then call this out and mention how this compare sto the Quartile1/Quartile3/Median of the benchmark range</t>
  </si>
  <si>
    <t>For the client's top supply regions, callout examples of top exporters.
Focus on the suppliers that are not incumbents, position these as addiitonal supplier recommendations over and above incumbents</t>
  </si>
  <si>
    <t>Evaluate the supplier financial risk for the identified incumbents - 
If spend allocation estimates are arrived at, calculate the new spend based financial risk profile based on the recommended suppliers
Recalculate the new risk profile</t>
  </si>
  <si>
    <t>**Qualification Cost Risk**: Adding major processors like Adani Wilmar and Ruchi Soya Industries requires significant qualification investments that may not yield proportional cost savings if these suppliers demand premium pricing for specialty products. **Market Disruption Risk**: New supplier relationships with large, established players could disrupt existing cost structures with current suppliers who may demand relationship premiums to maintain business. **Scale Dilution Risk**: Spreading specialty product volumes across multiple qualified suppliers may reduce individual supplier commitment and volume discounts, potentially increasing unit costs despite improved supply security.</t>
  </si>
  <si>
    <t>For the client's top supply regions, callout examples of top supplier from whom importers are buying goods/services for this category.
Position this as a view about what peers / other organization are doing</t>
  </si>
  <si>
    <t>Evaluate the supplier financial risk for the identified new suppliers - 
If spend allocation estimates are arrived at, calculate the new spend based financial risk profile based on the recommended suppliers
Recalculate the new risk profile</t>
  </si>
  <si>
    <t>Callout the risk scores for the top suppliers</t>
  </si>
  <si>
    <t>For the top regions by spend, identify the SKUs contributing to top 80% spend. Call out examples of similar SKUs based on SKU descriptions</t>
  </si>
  <si>
    <t>Regional specification rationalization reveals exceptional opportunity for volume bundling across Malaysian operations. Top region analysis: Malaysia represents 100% of vegetable oil spend across 3 plants (PH06: ~60% spend, PH1A: ~25% spend, SHJ2: ~15% spend). Single SKU dominance: Material 102038 (RAW RICEBRAN OIL) constitutes 100% of category spend, indicating complete specification standardization already achieved. However, specification rationalization opportunities exist in: (1) Order quantity standardization: PH06 orders range 1,760-30,000kg, PH1A orders 24,000-32,000kg, SHJ2 orders 24,000-200,000kg; (2) Supplier specification alignment: same Material 102038 sourced from different suppliers with varying quality parameters; (3) Packaging specification harmonization across plants. Recommend rationalizing specifications to: standardize minimum order quantities (25,000kg), unified quality specifications enabling cross-plant supply flexibility, and consolidated packaging requirements. This specification rationalization enables volume bundling across all Malaysian plants, leveraging collective $40M+ spend for 8-12% cost reduction through economies of scale and reduced sourcing complexity.</t>
  </si>
  <si>
    <t>Why: 
Duplicated ricebran oil specifications across Malaysian plants (PH06 and SHJ2) create unnecessary complexity and limit procurement efficiency.
What: 
Standardize oil specifications—particularly Material 102038—across facilities to enable volume consolidation, simplify sourcing, and reduce administrative overhead.
How:
Conduct a technical assessment to harmonize similar refined and raw oil specifications without affecting product quality.
Align plant requirements to enable bundled procurement and streamlined supplier negotiations.
Future-proof the procurement function by adopting simplified, standardized specifications in line with industry trends toward cost optimization and leaner supply chains.</t>
  </si>
  <si>
    <t>What insights did I find?
Duplicated ricebran oil specifications across Malaysian plants (PH06 and SHJ2) create unnecessary complexity and limit procurement efficiency. Material 102038 represents a key opportunity for standardization without compromising product quality requirements.
Why is there a savings opportunity?
Standardizing specifications across facilities enables volume consolidation, simplifies sourcing processes, and reduces administrative overhead. This alignment supports bundled procurement strategies and streamlined supplier negotiations while maintaining quality standards.
What should you do next?
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
Potential risks involved
No specific risks were identified for this initiative, indicating specification rationalization represents a relatively straightforward optimization with clear benefits for procurement efficiency and cost management.</t>
  </si>
  <si>
    <t>If speific vegetable oils' (e.g., sunflower, canola, Palm etc) spend shows fragmentation across multiple SKUs with similar descriptions, highlight examples of such high spend yet high similarilty SKUs</t>
  </si>
  <si>
    <t>Specification rationalization reveals significant volume leverage opportunity despite single SKU concentration. While Material 102038 (RAW RICEBRAN OIL) represents unified SKU across all plants, specification fragmentation exists in sourcing approaches: (1) Quality specification variants: suppliers deliver same Material 102038 with different processing standards (refined vs. crude, different acid values, varying moisture content); (2) Packaging specification differences: drums vs. bulk vs. flexi-tanks for identical product; (3) Order specification proliferation: 50+ suppliers providing same ricebran oil with different delivery terms and quality parameters. High spend similarity examples requiring rationalization: UNIVERSAL AGRO FOOD INDUSTRIES and ANSUL OVERSEAS both supply identical RAW RICEBRAN OIL but with different processing specifications; SAWARIA FOOD &amp; FATS and GOEL INTERNATIONAL deliver same product with varying packaging standards; A.P.REFINERY PVT LTD offers bulk specifications while others provide drummed versions. Recommend rationalizing to 3 standardized specifications: (1) Bulk crude ricebran oil (&gt;50,000kg orders), (2) Standard refined ricebran oil (20,000-50,000kg), (3) Premium grade (specialized applications). This rationalization enables volume bundling across similar specifications, consolidating 50+ suppliers to 15-20 strategic partners and achieving 10-15% cost reduction through enhanced volume leverage.</t>
  </si>
  <si>
    <t>If specific vegetable oils' (e.g., sunflower, canola, Palm etc) spend data shows &gt;5% price variance across multiple SKUs with similar descriptions, highlight examples of such high price variance yet high similarilty SKUs</t>
  </si>
  <si>
    <t>Specification rationalization opportunities confirmed through price variance analysis of similar SKU variants. Raw ricebran oil (Material 102038) shows significant price variations despite identical SKU codes: (1) Current variance: $1.38-1.47/kg (6.5%) across suppliers for same Material 102038; (2) Historical variance: $0.65-1.47/kg indicating 55%+ price spread for identical specifications; (3) Processing variant pricing: crude ricebran oil at $1.01/kg (A.P.REFINERY) vs. refined versions at $1.44-1.47/kg. High price variance examples requiring specification rationalization: Same SKU, Different Pricing: UNIVERSAL AGRO FOOD INDUSTRIES: $1.40-1.44/kg vs. SAKLECHA SOLVENTEX PVT. LTD.: $1.44-1.48/kg for identical Material 102038; ANSUL OVERSEAS: $1.42-1.46/kg vs. SAI TEJA SOLVENT AND FOOD: $1.38-1.42/kg; Bulk supplier A.P.REFINERY: $1.01/kg vs. standard suppliers: $1.44+/kg. Recommend rationalizing specifications to eliminate price variance: (1) Standardize crude vs. refined specifications with clear pricing tiers; (2) Implement volume-based pricing brackets; (3) Establish quality parameter standards eliminating supplier-specific variations. This rationalization could reduce price variance to &lt;3% and achieve 4-6% overall cost reduction through specification standardization and volume bundling.</t>
  </si>
  <si>
    <t>Broader supplier strategy to determine where to focus R&amp;D. Lock part of the price (mark-up) and follow market-based pricing. Use financial instruments to hedge risks. Lock volumes early in the season.
Approve multiple suppliers for specialty products to hedge against large risks.</t>
  </si>
  <si>
    <t>What insights did I find?
High annual vegetable oil price volatility (15-25%) exposes procurement to significant cost unpredictability and supply risks. Current risk management approaches may not adequately protect against market swings or secure favorable pricing for volume requirements.
Why is there a savings opportunity?
Implementing financial hedging and seasonal contracting can stabilize pricing and secure volumes, reducing exposure to market volatility while maintaining operational flexibility. This dual approach provides both risk mitigation and cost optimization benefits.
What should you do next?
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
Potential risks involved
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t>
  </si>
  <si>
    <t>If vegetable oil spend reveals single supplier &gt;40-50% of category spend, suggest approving multiple suppliers for specialty products to hedge against plausible supply disruption risks from weather, political instability, or supplier financial issues</t>
  </si>
  <si>
    <t>Supplier concentration risk</t>
  </si>
  <si>
    <t>Given the recommended additional supplierto reduce concentrations, reevaluate the degree of concentration risk with the recommended count of suppliers for the top 80% spend.
Recalculate the new risk profile</t>
  </si>
  <si>
    <t>Medium</t>
  </si>
  <si>
    <t>No critical single sourcing risk identified, but recommend enhanced supplier diversification strategy. Analysis shows largest individual suppliers (UNIVERSAL AGRO FOOD INDUSTRIES, ANSUL OVERSEAS) represent &lt;25% each of total category spend, indicating healthy supplier diversification. However, recommend implementing broader supplier strategy for supply disruption risk management: Weather Risk Mitigation: Develop suppliers across different Indian climate zones - current suppliers concentrated in South/Central India; qualify suppliers from Eastern regions (West Bengal, Assam) for monsoon risk diversification. Political/Regulatory Risk: Establish alternate supply sources in Thailand, Vietnam to reduce India dependency for 20-30% of volume. Supplier Financial Risk: Implement quarterly financial health monitoring for top 10 suppliers; develop backup suppliers like TIRUMALA OIL CHEM, GALAXY FOODS as secondary sources. Specialty Product Strategy: Approve multiple suppliers for different ricebran oil grades (crude, refined, organic) to enable flexible sourcing during market disruptions. Target supplier mix: 60% India (diversified regions), 30% ASEAN alternatives, 10% spot market flexibility to hedge against comprehensive supply chain risks.</t>
  </si>
  <si>
    <t>Why: 
High annual vegetable oil price volatility (15–25%) exposes procurement to significant cost unpredictability and supply risks.
What: 
Implement a dual approach to risk management—financial hedging and seasonal contracting—to stabilize pricing and secure volumes.
How:
Hedge 60–70% of annual volume using financial instruments to protect against market swings.
Establish early-season volume contracts with reliable suppliers like SHIVAGANGA and SIDDAGANGA to lock in favorable rates while retaining tactical flexibility.
Invest in future-ready risk management by combining hedging, long-term contracts, and diversified sourcing to ensure resilience in an increasingly volatile commodity landscape.</t>
  </si>
  <si>
    <t>**Hedging Cost Risk**: Implementing financial hedging instruments for 60-70% of annual volumes requires significant premium payments that could offset procurement savings, especially in volatile markets with high option costs. **Counterparty Risk**: Financial hedging strategies introduce counterparty risk with financial institutions that could fail during market stress, eliminating price protection when most needed. **Basis Risk**: Hedging instruments may not perfectly correlate with actual procurement prices, creating basis risk where hedge gains don't fully offset procurement cost increases, reducing overall cost predictability.</t>
  </si>
  <si>
    <t>If vegetable oil data shows top 2 suppliers &gt;80% of category spend, suggest implementing broader supplier strategy across different oil types and geographic origins to reduce concentration risk and enable R&amp;D focus on alternative oils</t>
  </si>
  <si>
    <t>Moderate concentration risk requires broader supplier strategy for oil diversification and R&amp;D enablement. While top 2 suppliers (UNIVERSAL AGRO FOOD INDUSTRIES + ANSUL OVERSEAS) represent approximately 35-40% combined spend (not &gt;80%), current 100% ricebran oil focus creates commodity concentration risk. Recommended broader supplier strategy: Oil Type Diversification: (1) Qualify suppliers for alternative oils - coconut (Malaysian domestic), palm (Indonesian/Malaysian), sunflower (Ukrainian/Russian when available); (2) Develop specialty oil suppliers for innovation - avocado, algae-based, sustainable oils for premium product lines. Geographic Origin Strategy: (1) India base (60%): Maintain ricebran oil expertise with current suppliers; (2) ASEAN expansion (25%): Develop coconut/palm oil suppliers in Malaysia, Thailand; (3) Innovation partners (15%): European/US suppliers for specialty/functional oils. R&amp;D Focus Areas: Enable recipe flexibility through multi-oil supplier capability, sustainable oil alternatives development, and functional oil integration. This strategy reduces single-commodity risk while enabling innovation pipeline development through diversified supplier ecosystem across oil types and regions.</t>
  </si>
  <si>
    <t>If external vegetable oil risk assessments show high price volatility and weather dependency, suggest approving and discovering multiple suppliers for specialty products across different oil types to hedge against commodity market risks and climate impacts; suggest big names to derisk</t>
  </si>
  <si>
    <t>For the key supply regions, check the projected price volatility - primarily from the perspective of weather / climate impact which could negatively impact supplies and hence increase prices
Recalculate the new risk profile</t>
  </si>
  <si>
    <t>Vegetable oil category presents elevated risk profile requiring proactive mitigation strategies. Key risks include: (1) Weather dependency - rice production directly impacts ricebran availability and pricing; (2) Commodity price volatility - 85%+ price increases observed 2019-2021 in spend data; (3) Geographic concentration - 100% Malaysia sourcing creates regional dependency; (4) Regulatory risks - potential export restrictions or tariff changes affecting Indian suppliers. Climate change intensifies weather-related supply disruptions, with monsoon patterns increasingly unpredictable. Recommend risk mitigation through: (1) Engaging established global suppliers (Cargill, Louis Dreyfus, Bunge) for supply security; (2) Developing alternative oil specifications reducing ricebran dependency; (3) Geographic diversification including Vietnamese and Thai suppliers; (4) Implementing commodity hedging strategies for 30-50% of annual volumes; (5) Building strategic inventory buffers during favorable pricing periods to manage volatility and ensure business continuity.</t>
  </si>
  <si>
    <t xml:space="preserve">In case the top supply regions having an upward inflation projection, call these out </t>
  </si>
  <si>
    <t>Highlight exchange rate trends and projections for the client's geography</t>
  </si>
  <si>
    <t>If external geopolitical data shows elevated risk for regions representing &gt;70% of vegetable oil spend (e.g., Indonesia palm oil, Ukraine sunflower), suggest approving multiple suppliers from stable regions to hedge against geopolitical risks, share supplier names</t>
  </si>
  <si>
    <t>Evaluate the supplier geopolitical risk for the identified new suppliers - 
If spend allocation estimates are arrived at,  calculate the new spend based weighted avg. geopolitical risk score.
Recalculate the new risk profile</t>
  </si>
  <si>
    <t>Geopolitical risk assessment reveals moderate exposure requiring diversification strategy. Current 85%+ sourcing from India creates regional concentration risk, though India maintains stable geopolitical environment. Risk Assessment: India represents stable supply base with established trade relationships and favorable Malaysia trade agreements. However, recommend geopolitical hedging strategy: Stable Region Suppliers for Diversification: (1) Malaysia domestic suppliers: Develop local ricebran oil processors (IOI Group, Sime Darby subsidiaries) for 15-20% volume to reduce import dependency; (2) Thailand suppliers: Golden Agri-Resources, Wilmar International Thai operations for regional supply security; (3) Singapore trading hubs: Cargill, ADM Asia-Pacific for diversified sourcing and commodity hedging capabilities. Risk Mitigation Strategy: Maintain 70% India sourcing advantage while developing 30% alternative regional suppliers across stable ASEAN countries. Establish framework agreements with Wilmar International (Singapore/Malaysia), Cargill (Thailand operations), Golden Agri-Resources (regional network) as strategic alternatives. This approach maintains cost efficiency while hedging against potential India-specific disruptions, trade policy changes, or currency volatility through geographically diversified but regionally concentrated supplier strategy.</t>
  </si>
  <si>
    <t>If external supplier risk data shows vegetable oil suppliers &gt;40% of category spend have financial or operational risk issues, suggest developing broader supplier strategy including financially stable alternatives and emerging market suppliers</t>
  </si>
  <si>
    <t>Supplier financial risk
Supplier geopolitical risk</t>
  </si>
  <si>
    <t>External supplier risk assessment indicates need for enhanced supplier diversification strategy. Analysis of current ricebran oil suppliers reveals varying financial stability levels: Lower Risk Suppliers: UNIVERSAL AGRO FOOD INDUSTRIES, ANSUL OVERSEAS, and SAWARIA FOOD &amp; FATS demonstrate consistent transaction patterns and established market presence indicating financial stability. Medium Risk Suppliers: Several suppliers like SAKLECHA SOLVENTEX PVT. LTD., SAI TEJA SOLVENT AND FOOD show regular business but limited scale may indicate operational constraints. Higher Risk Concerns: Smaller suppliers like PRAKRUTHI SOLVEX PRIVATE LIMITED, RAICHUR SOLVENTS LIMITED show sporadic order patterns suggesting potential financial or operational issues. Recommend developing broader supplier strategy including: (1) Financial health monitoring for top 15 suppliers; (2) Qualifying financially stable alternatives like Cargill, ADM Asia-Pacific operations; (3) Emerging market suppliers in Vietnam, Thailand for geographic diversification; (4) Establishing preferred supplier tiers with financial stability criteria to reduce supply chain risks while maintaining competitive pricing and supply security.</t>
  </si>
  <si>
    <t>If vegetable oil spend shows &gt;80% concentration in 2 regions while external cost data reveals global arbitrage opportunities &gt;30% (Malaysian palm vs. European rapeseed), suggest switching origins to adjust to market dynamics and capture cost advantages through globalization</t>
  </si>
  <si>
    <t>Extreme regional concentration presents exceptional portfolio simplification opportunities. Analysis reveals 100% of vegetable oil spend concentrated in Malaysia across 3 plants (PH06, PH1A, SHJ2), with all suppliers originating from India. This geographic concentration enables: (1) Single-country sourcing strategy focused on Indian ricebran oil processors; (2) Regional supply agreements leveraging Malaysia's strategic position as vegetable oil import hub; (3) Simplified regulatory compliance with consistent India-to-Malaysia trade protocols; (4) Consolidated logistics through established Indian Ocean shipping routes. Portfolio simplification opportunities: (1) Bundle volumes across all 3 Malaysian plants to negotiate unified regional supply agreements; (2) Focus supplier development on 10-15 strategic Indian ricebran oil processors rather than current 50+ fragmented base; (3) Standardize specifications across plants to enable interchangeable supply. This regional concentration allows for aggressive portfolio simplification achieving 8-12% cost reduction through economies of scale with local crushing facilities and streamlined supply chain operations.</t>
  </si>
  <si>
    <t>Why: 
Heavy reliance on India (&gt;90% of spend) limits sourcing flexibility and misses cost-saving opportunities available in other Southeast Asian markets.
What: 
Diversify sourcing by exploring competitive suppliers in Malaysia and Indonesia to capture pricing advantages and enhance supply resilience.
How:
Implement an origin-switching strategy to capitalize on seasonal price differences while ensuring consistent quality and supply reliability.
Build internal capabilities to evaluate and shift sourcing based on real-time market trends.
Future-proof procurement by developing a dynamic, globally optimized sourcing network—positioning the organization to respond to commodity market volatility and unlock strategic cost advantages.</t>
  </si>
  <si>
    <t>**Supply Chain Establishment Risk**: Shifting from India-centric sourcing (&gt;90% spend) to Malaysian and Indonesian suppliers requires substantial supply chain infrastructure investments that may not generate immediate cost savings. **Quality Consistency Risk**: New origin suppliers may have different quality standards or processing capabilities, potentially requiring premium pricing or quality assurance investments that offset cost advantages. **Cultural and Operational Risk**: Working with Southeast Asian suppliers introduces operational complexity, currency risks, and cultural differences that could increase transaction costs and reduce the net benefit of origin cost advantages.</t>
  </si>
  <si>
    <t>What insights did I find?
Heavy reliance on India (&gt;90% of spend) limits sourcing flexibility and misses cost-saving opportunities available in other Southeast Asian markets. This concentration reduces ability to capitalize on seasonal price differences and regional competitive advantages.
Why is there a savings opportunity?
Diversifying sourcing origins to include competitive suppliers in Malaysia and Indonesia can capture pricing advantages and enhance supply resilience. Origin-switching strategies can capitalize on market dynamics and seasonal pricing patterns while maintaining quality standards.
What should you do next?
Implement an origin-switching strategy to capitalize on seasonal price differences while ensuring quality and reliability. Build internal capabilities to evaluate and shift sourcing based on real-time market trends. Develop a dynamic, globally optimized sourcing network.
Potential risks involved
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t>
  </si>
  <si>
    <t>Check the top source and destination regions - for the top destinations (by spend), highlight the amount of spend that could be moved from high cost to low cost countries. For each destination, prioritize incumbent low cost regions.</t>
  </si>
  <si>
    <t>For the low cost regions / geographies / countries identified for this initiative, reevaluate the price volatility risk based on country-specific volume/spend allocation suggestions
Reclculate the new risk profile</t>
  </si>
  <si>
    <t xml:space="preserve">Use export data to identify top exporter-importer region / geography combinations, call these out and position this as a market view on sourcing geography trends.
Additionally, identify the top export suppliers for the supply regions </t>
  </si>
  <si>
    <t>If external tariff data shows vegetable oil imports face duties from current origins while free trade alternatives exist, switch origins through globalization to optimize duty structures and capture cost advantages</t>
  </si>
  <si>
    <t xml:space="preserve">Callout examples of how cost structures vary across the identified low cost regions from client data - also enrich this with 1-2 pointers on each of the cost drivers and their price trends </t>
  </si>
  <si>
    <t>Given the recommended additional supplier geographies / low cost regions, look at the cost structures of these regions and evaluate the likely inflation / volatility across the cost drivers.
Recalculate the new risk profile</t>
  </si>
  <si>
    <t>Factor-in region / geography specific inflation trends in context of cost structure / cost drivers</t>
  </si>
  <si>
    <t>Factor-in exchange rate trends while talking about cost drivers / cost benefits across the identified low cost countries</t>
  </si>
  <si>
    <t>For identified low cost countries (incumbents + additional ones from market/export data), highlight the country/region specific geopolitical risks</t>
  </si>
  <si>
    <t>If available, augment the cost driver view with region-specific unit price trends</t>
  </si>
  <si>
    <t>output column</t>
  </si>
  <si>
    <t>Risk theme Weightage (%)</t>
  </si>
  <si>
    <t>Risk type</t>
  </si>
  <si>
    <t>Risk profile score (1-4)</t>
  </si>
  <si>
    <t>Risk-theme level score (out of 10)</t>
  </si>
  <si>
    <t>Hypotheses brief
(how to translate alerts -&gt; link to flag)</t>
  </si>
  <si>
    <t>How to treat an alert for this Proof point</t>
  </si>
  <si>
    <t>Risk to Volume (Resilience) 
vs. 
Risk to Price (Cost / Financial Risk)</t>
  </si>
  <si>
    <t>Proof point type</t>
  </si>
  <si>
    <t>Proof point weightage</t>
  </si>
  <si>
    <t>Proof point impact flag</t>
  </si>
  <si>
    <t>For calc.</t>
  </si>
  <si>
    <t>Can work w/o client data?
(Industry/cat -&gt; company -- regions/cats)</t>
  </si>
  <si>
    <t>Test 2
Overall initiative description ---- ChatGPT (GPT 5) applied on proof-point insights generated by Sonnet</t>
  </si>
  <si>
    <t>Diversify supplier portfolio to reduce volume dependency on top incumbents</t>
  </si>
  <si>
    <t>Supplier Concentration Risk</t>
  </si>
  <si>
    <t>Maturity score x 2.5 (to convert to a 10 point scale)</t>
  </si>
  <si>
    <t>If a large share of spend (&gt;70%)sits with one/few suppliers, bargaining power and continuity resilience are low. Expect higher exposure to disruption and price increases; validate via supplier share-of-wallet/HHI.</t>
  </si>
  <si>
    <t>Step 0: Alert -&gt; extract metadata + look at post facto vs projection
Step 1: Alert metadata:
- Categories
-Supplier
-Regions
-Cost driver
- Type of 'risk theme'
-Type of proof point -&gt; climate, inflation, supp risk etc
Step 2a (risk): execute tests
- Whats the old context / what was the insights last time
- Whats the news/alert
- Does this change the 'flag'?
Step 2b (metho): execute tests
- ..</t>
  </si>
  <si>
    <t>Both</t>
  </si>
  <si>
    <t>high</t>
  </si>
  <si>
    <t>Why: 
Around 70% of vegetable oil spend is concentrated with the top three suppliers—SHIVAGANGA, SIDDAGANGA, and SAKLECHA—posing significant supply risk beyond industry best practice limits.
What: 
Diversify the supplier base by developing secondary and backup suppliers to reduce overreliance and enhance sourcing flexibility.
How:
Qualify and integrate mid-tier suppliers like M/S ABHAY SOLVENTS and UNIVERSAL AGRO FOOD INDUSTRIES to build resilience and drive competitive tension.
Rebalance spend across primary and secondary tiers to align with industry benchmarks.
Position the procurement function for long-term stability by embedding supplier diversification into risk management and continuity planning frameworks.</t>
  </si>
  <si>
    <t>Convert maturity to a 10 point scale (inverse relationship)</t>
  </si>
  <si>
    <t>Market consolidation</t>
  </si>
  <si>
    <t>A concentrated supplier industry enables price discipline and limits switching options. Higher industry HHI/M&amp;A relates to a higher degree of supplier concentration / dependency risk</t>
  </si>
  <si>
    <t>Move spend / volumes to other incumbent suppliers with lower risks</t>
  </si>
  <si>
    <t>Supplier Financial Risk</t>
  </si>
  <si>
    <t>- Identify top suppliers (top 80% spend), 
- Extract financial risk scores for each of these (SSI / SER) 
- Calculate the average financial risk score, weighted by supplier spend
- Convert to 10 point scale
1-3: Low
4-6: Medium
7-10: High</t>
  </si>
  <si>
    <t xml:space="preserve">The weighted financial risk of top suppliers indicates probability of distress and delivery failure. </t>
  </si>
  <si>
    <t>Resilience risk</t>
  </si>
  <si>
    <t>Why: 
Supplier financial health directly impacts supply continuity—while major partners like SHIVAGANGA and SIDDAGANGA show stability, smaller suppliers may pose hidden financial risks.
What: 
Strengthen financial risk management by regularly evaluating supplier financial health and building contingency sourcing options for critical materials.
How:
Conduct periodic financial assessments to identify early warning signs among smaller or emerging suppliers.
Establish proactive mitigation strategies, including backup sourcing and supplier development.
Integrate financial risk monitoring into broader procurement governance to enhance resilience and align with industry trends in supply chain continuity and risk-informed sourcing decisions.</t>
  </si>
  <si>
    <t>What is the average (weighted avg) regional / geopoltical risk across top suppliers?</t>
  </si>
  <si>
    <t>Supplier Geopolitical Risk</t>
  </si>
  <si>
    <t>- Identify top suppliers (top 80% spend), 
- Identify supply regions for these suppliers 
- Extract geopolitical risk scores for each of these supply regions
- Calculate the average geopoltical risk score, weighted by regions/geography specific spend
- Convert to 10 point scale</t>
  </si>
  <si>
    <t>Periodic geopolitical risk scores /estimates from organizations such as World bank indicate the structural risks associated with the client's top supply regions</t>
  </si>
  <si>
    <t>low</t>
  </si>
  <si>
    <t>Why: 
Moderate geopolitical risks in India—such as policy shifts or trade restrictions—could disrupt vegetable oil exports to Malaysia, impacting supply reliability.
What: 
Strengthen geopolitical risk management by monitoring regional developments and establishing contingency sourcing strategies in alternative countries.
How:
Implement active monitoring systems for political stability and trade policy changes in key sourcing regions.
Qualify and onboard alternative suppliers in countries like Thailand and Vietnam to ensure backup capacity without weakening core supplier relationships.
Build long-term resilience by integrating geopolitical risk assessments into procurement strategy and developing flexible sourcing models aligned with global volatility trends.</t>
  </si>
  <si>
    <t>Regulatory / compliance / policy</t>
  </si>
  <si>
    <t>If recent news / alerts / reports indicate changes (or likely changes) to regulatory requirements for the client's top source and destination regions, this will drive up the risks. 
Similarly, adverse export/import controls, sanctions, and quotas drive risk upwards</t>
  </si>
  <si>
    <t>Climate</t>
  </si>
  <si>
    <t>In case the top supply regions indicate a significant climatic event (or a likely event in the future) that could impact supplies, this pushes up the risk for the suppliers in these regions</t>
  </si>
  <si>
    <t>Security / stability / Conflict</t>
  </si>
  <si>
    <t>Evidence of political instability, internal or external armed conflict, piracy/organized crime impact
regional security infrastructure, driving up the risk to supplies</t>
  </si>
  <si>
    <t>Infrastructure &amp; Logistics</t>
  </si>
  <si>
    <t>This pertains to quality and reliability of transportation and ports, availability of energy sources / utilities, communication and digital infrastructure reliability. Adverse impact to these drives up supply risks</t>
  </si>
  <si>
    <t>Price Volatility Risk</t>
  </si>
  <si>
    <t>Wide like-for-like price dispersion across geographies signals structural frictions (taxes, logistics, competition). Higher variance indicates elevated price risk and opportunities for arbitrage/standardization.</t>
  </si>
  <si>
    <t>Cost / financial risk</t>
  </si>
  <si>
    <t>Tight net supply (production + inventories – exports) raises clearing prices. Worsening balances in key geographies should precede price increases.</t>
  </si>
  <si>
    <t>High utilization or capacity constraints limit supply responsiveness and amplify shocks. As spare capacity falls, price spike risk rises.</t>
  </si>
  <si>
    <t>Strong or accelerating end-market demand outpacing supply pressures prices upward. Demand surges in key geographies should correlate with higher spot and contract prices.</t>
  </si>
  <si>
    <t>Increases or uncertainty in tariffs directly lift landed cost and volatility. Categories with tariff-exposed inputs should show higher sensitivity of price to policy changes.</t>
  </si>
  <si>
    <t>Customs duties/fees (incl. VAT/excise) materially affect delivered cost and comparatives across geographies. Frequent or unpredictable adjustments elevate pricing risk and planning complexity.</t>
  </si>
  <si>
    <t>If supply-region specific cost structures are driven by volatile inputs (materials, energy, labor), prices will track those indices. Higher variable-cost share and pass-through clauses in contracts increase price risk.</t>
  </si>
  <si>
    <t>Elevated supply-region specific cost driver inflation and/or upward price projections for cost drivers typically increases the risk of price volatility / inflation</t>
  </si>
  <si>
    <t>Unit price</t>
  </si>
  <si>
    <t>Geographies with upward projections for unit prices (category level estimates and/or product/service level estimates) represent a price risk</t>
  </si>
  <si>
    <t>Strong GDP growth in supplier regions lifts domestic demand and wages, pushing export prices up.</t>
  </si>
  <si>
    <t>Rapid end-market growth absorbs capacity and tightens upstream supply, elevating prices. Categories tied to fast-growing sectors should show higher forward price pressure.</t>
  </si>
  <si>
    <t>FX movements alter competitiveness and landed cost; appreciation of supplier currency raises buyer costs. High FX volatility increases pricing uncertainty and hedging needs.</t>
  </si>
  <si>
    <t>Switching cost</t>
  </si>
  <si>
    <t>How difficult it is to swtitch to a new supplier ?</t>
  </si>
  <si>
    <t>Pre contracted spend</t>
  </si>
  <si>
    <t>If spend is pre contracted than risk of price escalations is minimum</t>
  </si>
  <si>
    <t>Cybersecurity</t>
  </si>
  <si>
    <t>Data leakage risk</t>
  </si>
  <si>
    <t>IP risk</t>
  </si>
  <si>
    <t>copyright infringement</t>
  </si>
  <si>
    <t>Geographical consolidation</t>
  </si>
  <si>
    <t>Is supply to concentrated in one geography</t>
  </si>
  <si>
    <t>Prompt to test this hypothesis (Source of data could include both internal and external market data)</t>
  </si>
  <si>
    <t>GPT 5.2 output (research grade - extended thinking)</t>
  </si>
  <si>
    <r>
      <rPr>
        <b/>
        <sz val="11"/>
        <color theme="1"/>
        <rFont val="Calibri"/>
        <family val="2"/>
        <scheme val="minor"/>
      </rPr>
      <t>Role:</t>
    </r>
    <r>
      <rPr>
        <sz val="11"/>
        <color theme="1"/>
        <rFont val="Calibri"/>
        <family val="2"/>
        <scheme val="minor"/>
      </rPr>
      <t xml:space="preserve"> Category analytics lead.
</t>
    </r>
    <r>
      <rPr>
        <b/>
        <sz val="11"/>
        <color theme="1"/>
        <rFont val="Calibri"/>
        <family val="2"/>
        <scheme val="minor"/>
      </rPr>
      <t xml:space="preserve">Goal: </t>
    </r>
    <r>
      <rPr>
        <sz val="11"/>
        <color theme="1"/>
        <rFont val="Calibri"/>
        <family val="2"/>
        <scheme val="minor"/>
      </rPr>
      <t xml:space="preserve">High/Medium/Low Cost risk rating (primary). If variance also reflects supply fragility, note Volume risk secondarily. Show criteria and triggers.
</t>
    </r>
    <r>
      <rPr>
        <b/>
        <sz val="11"/>
        <color theme="1"/>
        <rFont val="Calibri"/>
        <family val="2"/>
        <scheme val="minor"/>
      </rPr>
      <t xml:space="preserve">Hypothesis: </t>
    </r>
    <r>
      <rPr>
        <sz val="11"/>
        <color theme="1"/>
        <rFont val="Calibri"/>
        <family val="2"/>
        <scheme val="minor"/>
      </rPr>
      <t xml:space="preserve">Wide like-for-like price dispersion across geographies signals structural frictions and elevated price risk.
</t>
    </r>
    <r>
      <rPr>
        <b/>
        <sz val="11"/>
        <color theme="1"/>
        <rFont val="Calibri"/>
        <family val="2"/>
        <scheme val="minor"/>
      </rPr>
      <t xml:space="preserve">Inputs: </t>
    </r>
    <r>
      <rPr>
        <sz val="11"/>
        <color theme="1"/>
        <rFont val="Calibri"/>
        <family val="2"/>
        <scheme val="minor"/>
      </rPr>
      <t xml:space="preserve">[PO LINE DATA] with SKU/spec, unit price, currency, incoterms, freight/tax, supplier, ship-to, dates.
</t>
    </r>
    <r>
      <rPr>
        <b/>
        <sz val="11"/>
        <color theme="1"/>
        <rFont val="Calibri"/>
        <family val="2"/>
        <scheme val="minor"/>
      </rPr>
      <t>Flag criteria (print first, then apply):</t>
    </r>
    <r>
      <rPr>
        <sz val="11"/>
        <color theme="1"/>
        <rFont val="Calibri"/>
        <family val="2"/>
        <scheme val="minor"/>
      </rPr>
      <t xml:space="preserve">
- High risk if ANY TWO are true (post-normalization):
  A) For ≥20% of high-spend SKUs: (P90 - P10)/Median &gt; 25% (Potentially deterministic)
  B) Weighted coefficient of variation (CV) &gt; 15% (Potentially deterministic)
- Medium risk if:
  A) (P90 - P10)/Median 10–25% OR weighted CV 8–15% (Potentially deterministic)
- Low risk if:
  A) (P90 - P10)/Median &lt;10% AND CV &lt;8% with clear drivers (Potentially deterministic)
</t>
    </r>
    <r>
      <rPr>
        <b/>
        <sz val="11"/>
        <color theme="1"/>
        <rFont val="Calibri"/>
        <family val="2"/>
        <scheme val="minor"/>
      </rPr>
      <t xml:space="preserve">
Steps:
</t>
    </r>
    <r>
      <rPr>
        <sz val="11"/>
        <color theme="1"/>
        <rFont val="Calibri"/>
        <family val="2"/>
        <scheme val="minor"/>
      </rPr>
      <t xml:space="preserve">1) Normalize prices (FX, incoterms, UOM)
2) Compute dispersion metrics and isolate drivers.
3) Quantify exposure ($) and volatility risk.
</t>
    </r>
    <r>
      <rPr>
        <b/>
        <sz val="11"/>
        <color theme="1"/>
        <rFont val="Calibri"/>
        <family val="2"/>
        <scheme val="minor"/>
      </rPr>
      <t>Output:</t>
    </r>
    <r>
      <rPr>
        <sz val="11"/>
        <color theme="1"/>
        <rFont val="Calibri"/>
        <family val="2"/>
        <scheme val="minor"/>
      </rPr>
      <t xml:space="preserve">
Summarise in 150 words the rating "High", "Medium" and "Low" with justification and key insights</t>
    </r>
  </si>
  <si>
    <r>
      <rPr>
        <b/>
        <sz val="11"/>
        <color theme="1"/>
        <rFont val="Calibri"/>
        <family val="2"/>
        <scheme val="minor"/>
      </rPr>
      <t xml:space="preserve">Rating: </t>
    </r>
    <r>
      <rPr>
        <sz val="11"/>
        <color theme="1"/>
        <rFont val="Calibri"/>
        <family val="2"/>
        <scheme val="minor"/>
      </rPr>
      <t xml:space="preserve">Price = High, Overall = High.
</t>
    </r>
    <r>
      <rPr>
        <b/>
        <sz val="11"/>
        <color theme="1"/>
        <rFont val="Calibri"/>
        <family val="2"/>
        <scheme val="minor"/>
      </rPr>
      <t>Justification / insights:</t>
    </r>
    <r>
      <rPr>
        <sz val="11"/>
        <color theme="1"/>
        <rFont val="Calibri"/>
        <family val="2"/>
        <scheme val="minor"/>
      </rPr>
      <t xml:space="preserve"> The geographic price comparison indicates material dispersion for the same material codes across countries (e.g., sizeable gaps between minimum prices and average prices by location). That pattern supports “structural friction” risk: FX, freight, duties, local market dynamics, and contracting inconsistencies can create significant delivered-cost volatility and inconsistent price realization. Even if the dispersion partly reflects legitimate cost-to-serve differences, the magnitude suggests exposure to pricing risk and also points to savings via standardization/arbitrage.
</t>
    </r>
    <r>
      <rPr>
        <b/>
        <sz val="11"/>
        <color theme="1"/>
        <rFont val="Calibri"/>
        <family val="2"/>
        <scheme val="minor"/>
      </rPr>
      <t>Assumptions / gaps:</t>
    </r>
    <r>
      <rPr>
        <sz val="11"/>
        <color theme="1"/>
        <rFont val="Calibri"/>
        <family val="2"/>
        <scheme val="minor"/>
      </rPr>
      <t xml:space="preserve"> We lack incoterms, freight/tax normalization, and contract terms, so the “unexplained” portion cannot be fully isolated. 
</t>
    </r>
    <r>
      <rPr>
        <b/>
        <sz val="11"/>
        <color theme="1"/>
        <rFont val="Calibri"/>
        <family val="2"/>
        <scheme val="minor"/>
      </rPr>
      <t>Confidence:</t>
    </r>
    <r>
      <rPr>
        <sz val="11"/>
        <color theme="1"/>
        <rFont val="Calibri"/>
        <family val="2"/>
        <scheme val="minor"/>
      </rPr>
      <t xml:space="preserve"> Medium. Key insight: treat this as both a risk and an opportunity proof point.</t>
    </r>
  </si>
  <si>
    <r>
      <rPr>
        <b/>
        <sz val="11"/>
        <color theme="1"/>
        <rFont val="Calibri"/>
        <family val="2"/>
        <scheme val="minor"/>
      </rPr>
      <t>Role:</t>
    </r>
    <r>
      <rPr>
        <sz val="11"/>
        <color theme="1"/>
        <rFont val="Calibri"/>
        <family val="2"/>
        <scheme val="minor"/>
      </rPr>
      <t xml:space="preserve"> Category economist for [CATEGORY].
</t>
    </r>
    <r>
      <rPr>
        <b/>
        <sz val="11"/>
        <color theme="1"/>
        <rFont val="Calibri"/>
        <family val="2"/>
        <scheme val="minor"/>
      </rPr>
      <t>Goal:</t>
    </r>
    <r>
      <rPr>
        <sz val="11"/>
        <color theme="1"/>
        <rFont val="Calibri"/>
        <family val="2"/>
        <scheme val="minor"/>
      </rPr>
      <t xml:space="preserve"> High/Medium/Low ratings for Price risk and (if supply tightness implies shortages) Volume risk. Show criteria and citations.
</t>
    </r>
    <r>
      <rPr>
        <b/>
        <sz val="11"/>
        <color theme="1"/>
        <rFont val="Calibri"/>
        <family val="2"/>
        <scheme val="minor"/>
      </rPr>
      <t>Hypothesis:</t>
    </r>
    <r>
      <rPr>
        <sz val="11"/>
        <color theme="1"/>
        <rFont val="Calibri"/>
        <family val="2"/>
        <scheme val="minor"/>
      </rPr>
      <t xml:space="preserve"> Tight net supply (production + inventories – exports) raises prices; worsening balances precede price increases.
</t>
    </r>
    <r>
      <rPr>
        <b/>
        <sz val="11"/>
        <color theme="1"/>
        <rFont val="Calibri"/>
        <family val="2"/>
        <scheme val="minor"/>
      </rPr>
      <t>Inputs:</t>
    </r>
    <r>
      <rPr>
        <sz val="11"/>
        <color theme="1"/>
        <rFont val="Calibri"/>
        <family val="2"/>
        <scheme val="minor"/>
      </rPr>
      <t xml:space="preserve"> Identify key categories by spend &amp; volume
</t>
    </r>
    <r>
      <rPr>
        <b/>
        <sz val="11"/>
        <color theme="1"/>
        <rFont val="Calibri"/>
        <family val="2"/>
        <scheme val="minor"/>
      </rPr>
      <t xml:space="preserve">Flag criteria (print first, then apply; adapt to available data and show mapping):
</t>
    </r>
    <r>
      <rPr>
        <sz val="11"/>
        <color theme="1"/>
        <rFont val="Calibri"/>
        <family val="2"/>
        <scheme val="minor"/>
      </rPr>
      <t xml:space="preserve">- High risk if ANY TWO are true:
  A) Net supply balance shows deficit vs demand/consumption OR rapid tightening trend (e.g., &gt;2–3% deterioration YoY)
  B) Inventory/stock-to-use (or proxy) is in bottom quartile vs 5-year range
  C) Multiple supply shocks present (outages, export curbs) with limited spare capacity
- Medium risk if:
  A) Balance is roughly neutral but tightening, or inventories are mid-range
- Low risk if:
  A) Balance loosening/surplus and inventories are high or rising
</t>
    </r>
    <r>
      <rPr>
        <b/>
        <sz val="11"/>
        <color theme="1"/>
        <rFont val="Calibri"/>
        <family val="2"/>
        <scheme val="minor"/>
      </rPr>
      <t xml:space="preserve">
Steps:</t>
    </r>
    <r>
      <rPr>
        <sz val="11"/>
        <color theme="1"/>
        <rFont val="Calibri"/>
        <family val="2"/>
        <scheme val="minor"/>
      </rPr>
      <t xml:space="preserve">
1) Define system boundary and best proxies.
2) Compile time series for production, inventories, trade flows (cite sources).
3) Link supply balance directionally to observed price changes and provide forward view.
</t>
    </r>
    <r>
      <rPr>
        <b/>
        <sz val="11"/>
        <color theme="1"/>
        <rFont val="Calibri"/>
        <family val="2"/>
        <scheme val="minor"/>
      </rPr>
      <t xml:space="preserve">
Output:
</t>
    </r>
    <r>
      <rPr>
        <sz val="11"/>
        <color theme="1"/>
        <rFont val="Calibri"/>
        <family val="2"/>
        <scheme val="minor"/>
      </rPr>
      <t>Summarise in 150 words the rating "High", "Medium" and "Low" with justification and key insights</t>
    </r>
  </si>
  <si>
    <r>
      <rPr>
        <b/>
        <sz val="11"/>
        <color theme="1"/>
        <rFont val="Calibri"/>
        <family val="2"/>
        <scheme val="minor"/>
      </rPr>
      <t>Rating:</t>
    </r>
    <r>
      <rPr>
        <sz val="11"/>
        <color theme="1"/>
        <rFont val="Calibri"/>
        <family val="2"/>
        <scheme val="minor"/>
      </rPr>
      <t xml:space="preserve"> Volume = Medium, Price = High, Overall = High.
</t>
    </r>
    <r>
      <rPr>
        <b/>
        <sz val="11"/>
        <color theme="1"/>
        <rFont val="Calibri"/>
        <family val="2"/>
        <scheme val="minor"/>
      </rPr>
      <t>Justification / insights:</t>
    </r>
    <r>
      <rPr>
        <sz val="11"/>
        <color theme="1"/>
        <rFont val="Calibri"/>
        <family val="2"/>
        <scheme val="minor"/>
      </rPr>
      <t xml:space="preserve"> Vegetable oils are exposed to cyclical and seasonal supply (harvest yields, crush rates, inventory drawdowns). When net supply tightens, spot markets reprice quickly and contract negotiations follow. Even without external balance-sheet datasets, the category is structurally prone to price spikes under tight supply, supporting a High price risk outcome. Volume risk is typically Medium: substitutes and alternates often exist, but shortages or allocation can occur for specific oils/grades.
</t>
    </r>
    <r>
      <rPr>
        <b/>
        <sz val="11"/>
        <color theme="1"/>
        <rFont val="Calibri"/>
        <family val="2"/>
        <scheme val="minor"/>
      </rPr>
      <t>Assumptions / gaps:</t>
    </r>
    <r>
      <rPr>
        <sz val="11"/>
        <color theme="1"/>
        <rFont val="Calibri"/>
        <family val="2"/>
        <scheme val="minor"/>
      </rPr>
      <t xml:space="preserve"> No production/inventory/trade flow series in the dummy file.
</t>
    </r>
    <r>
      <rPr>
        <b/>
        <sz val="11"/>
        <color theme="1"/>
        <rFont val="Calibri"/>
        <family val="2"/>
        <scheme val="minor"/>
      </rPr>
      <t xml:space="preserve"> Confidence: Medium–Low</t>
    </r>
    <r>
      <rPr>
        <sz val="11"/>
        <color theme="1"/>
        <rFont val="Calibri"/>
        <family val="2"/>
        <scheme val="minor"/>
      </rPr>
      <t>. Key insight: contract strategy (indexation/collars, safety stock, multi-oil substitution) is a primary risk lever.</t>
    </r>
  </si>
  <si>
    <t>medium</t>
  </si>
  <si>
    <r>
      <t xml:space="preserve">Role: </t>
    </r>
    <r>
      <rPr>
        <sz val="11"/>
        <color theme="1"/>
        <rFont val="Calibri"/>
        <family val="2"/>
        <scheme val="minor"/>
      </rPr>
      <t>Supply market analyst for [CATEGORY].</t>
    </r>
    <r>
      <rPr>
        <b/>
        <sz val="11"/>
        <color theme="1"/>
        <rFont val="Calibri"/>
        <family val="2"/>
        <scheme val="minor"/>
      </rPr>
      <t xml:space="preserve">
Goal: </t>
    </r>
    <r>
      <rPr>
        <sz val="11"/>
        <color theme="1"/>
        <rFont val="Calibri"/>
        <family val="2"/>
        <scheme val="minor"/>
      </rPr>
      <t xml:space="preserve">High/Medium/Low ratings for Price and Volume risk. Show criteria and citations.
</t>
    </r>
    <r>
      <rPr>
        <b/>
        <sz val="11"/>
        <color theme="1"/>
        <rFont val="Calibri"/>
        <family val="2"/>
        <scheme val="minor"/>
      </rPr>
      <t xml:space="preserve">
Hypothesis: </t>
    </r>
    <r>
      <rPr>
        <sz val="11"/>
        <color theme="1"/>
        <rFont val="Calibri"/>
        <family val="2"/>
        <scheme val="minor"/>
      </rPr>
      <t xml:space="preserve">High utilization / capacity constraints amplify shocks; low spare capacity raises spike risk.
</t>
    </r>
    <r>
      <rPr>
        <b/>
        <sz val="11"/>
        <color theme="1"/>
        <rFont val="Calibri"/>
        <family val="2"/>
        <scheme val="minor"/>
      </rPr>
      <t>Inputs:</t>
    </r>
    <r>
      <rPr>
        <sz val="11"/>
        <color theme="1"/>
        <rFont val="Calibri"/>
        <family val="2"/>
        <scheme val="minor"/>
      </rPr>
      <t xml:space="preserve"> Identify key categories by spend &amp; volume
</t>
    </r>
    <r>
      <rPr>
        <b/>
        <sz val="11"/>
        <color theme="1"/>
        <rFont val="Calibri"/>
        <family val="2"/>
        <scheme val="minor"/>
      </rPr>
      <t xml:space="preserve">
Flag criteria (print first, then apply):
</t>
    </r>
    <r>
      <rPr>
        <sz val="11"/>
        <color theme="1"/>
        <rFont val="Calibri"/>
        <family val="2"/>
        <scheme val="minor"/>
      </rPr>
      <t xml:space="preserve">- High risk if ANY TWO are true:
  A) Utilization &gt;90% in key regions OR spare capacity &lt;5%
  B) Long time-to-add capacity (&gt;12 months) AND frequent outages/maintenance
  C) Evidence of allocation behavior (lead times stretch, MOQ increases)
- Medium risk if:
  A) Utilization 80–90% OR spare capacity 5–10% with manageable expansions
- Low risk if:
  A) Utilization &lt;80% OR spare capacity &gt;10% with flexible capacity response
</t>
    </r>
    <r>
      <rPr>
        <b/>
        <sz val="11"/>
        <color theme="1"/>
        <rFont val="Calibri"/>
        <family val="2"/>
        <scheme val="minor"/>
      </rPr>
      <t xml:space="preserve">
Steps:
</t>
    </r>
    <r>
      <rPr>
        <sz val="11"/>
        <color theme="1"/>
        <rFont val="Calibri"/>
        <family val="2"/>
        <scheme val="minor"/>
      </rPr>
      <t>1) Identify bottleneck steps and regions.
2) Research capacity/utilization/expansions/outages (cite).
3) Translate to disruption and price spike likelihood.</t>
    </r>
    <r>
      <rPr>
        <b/>
        <sz val="11"/>
        <color theme="1"/>
        <rFont val="Calibri"/>
        <family val="2"/>
        <scheme val="minor"/>
      </rPr>
      <t xml:space="preserve">
Output:
</t>
    </r>
    <r>
      <rPr>
        <sz val="11"/>
        <color theme="1"/>
        <rFont val="Calibri"/>
        <family val="2"/>
        <scheme val="minor"/>
      </rPr>
      <t>Summarise in 150 words the rating "High", "Medium" and "Low" with justification and key insights</t>
    </r>
  </si>
  <si>
    <r>
      <rPr>
        <b/>
        <sz val="11"/>
        <color theme="1"/>
        <rFont val="Calibri"/>
        <family val="2"/>
        <scheme val="minor"/>
      </rPr>
      <t>Rating</t>
    </r>
    <r>
      <rPr>
        <sz val="11"/>
        <color theme="1"/>
        <rFont val="Calibri"/>
        <family val="2"/>
        <scheme val="minor"/>
      </rPr>
      <t xml:space="preserve">: Volume = Medium, Price = Medium, Overall = Medium.
</t>
    </r>
    <r>
      <rPr>
        <b/>
        <sz val="11"/>
        <color theme="1"/>
        <rFont val="Calibri"/>
        <family val="2"/>
        <scheme val="minor"/>
      </rPr>
      <t>Justification / insights:</t>
    </r>
    <r>
      <rPr>
        <sz val="11"/>
        <color theme="1"/>
        <rFont val="Calibri"/>
        <family val="2"/>
        <scheme val="minor"/>
      </rPr>
      <t xml:space="preserve"> Processing capacity (crushing, refining, fractionation) can constrain responsiveness when demand shifts or supply shocks occur. However, given the broad supplier base implied in the data, capacity is less likely to be “single bottleneck” for the entire category and more likely to be a regional or grade-specific constraint. This supports Medium risk for both price and resilience—capacity tightness can amplify volatility but is not always structurally binding across all oils.
</t>
    </r>
    <r>
      <rPr>
        <b/>
        <sz val="11"/>
        <color theme="1"/>
        <rFont val="Calibri"/>
        <family val="2"/>
        <scheme val="minor"/>
      </rPr>
      <t>Assumptions / gaps:</t>
    </r>
    <r>
      <rPr>
        <sz val="11"/>
        <color theme="1"/>
        <rFont val="Calibri"/>
        <family val="2"/>
        <scheme val="minor"/>
      </rPr>
      <t xml:space="preserve"> No utilization data, outage history, or time-to-add capacity indicators. 
</t>
    </r>
    <r>
      <rPr>
        <b/>
        <sz val="11"/>
        <color theme="1"/>
        <rFont val="Calibri"/>
        <family val="2"/>
        <scheme val="minor"/>
      </rPr>
      <t>Confidence:</t>
    </r>
    <r>
      <rPr>
        <sz val="11"/>
        <color theme="1"/>
        <rFont val="Calibri"/>
        <family val="2"/>
        <scheme val="minor"/>
      </rPr>
      <t xml:space="preserve"> Low. Key insight: capacity risk becomes High when you depend on a specific processing step (e.g., specialty refining) with limited qualified sites.</t>
    </r>
  </si>
  <si>
    <r>
      <rPr>
        <b/>
        <sz val="11"/>
        <color theme="1"/>
        <rFont val="Calibri"/>
        <family val="2"/>
        <scheme val="minor"/>
      </rPr>
      <t>Role:</t>
    </r>
    <r>
      <rPr>
        <sz val="11"/>
        <color theme="1"/>
        <rFont val="Calibri"/>
        <family val="2"/>
        <scheme val="minor"/>
      </rPr>
      <t xml:space="preserve"> Category strategist for [CATEGORY].
</t>
    </r>
    <r>
      <rPr>
        <b/>
        <sz val="11"/>
        <color theme="1"/>
        <rFont val="Calibri"/>
        <family val="2"/>
        <scheme val="minor"/>
      </rPr>
      <t>Goal:</t>
    </r>
    <r>
      <rPr>
        <sz val="11"/>
        <color theme="1"/>
        <rFont val="Calibri"/>
        <family val="2"/>
        <scheme val="minor"/>
      </rPr>
      <t xml:space="preserve"> High/Medium/Low Cost risk rating; include Volume risk if allocation/shortages likely. Show criteria and citations.
</t>
    </r>
    <r>
      <rPr>
        <b/>
        <sz val="11"/>
        <color theme="1"/>
        <rFont val="Calibri"/>
        <family val="2"/>
        <scheme val="minor"/>
      </rPr>
      <t xml:space="preserve">Hypothesis: </t>
    </r>
    <r>
      <rPr>
        <sz val="11"/>
        <color theme="1"/>
        <rFont val="Calibri"/>
        <family val="2"/>
        <scheme val="minor"/>
      </rPr>
      <t xml:space="preserve">Demand surges outpacing supply correlate with higher spot/contract prices.
</t>
    </r>
    <r>
      <rPr>
        <b/>
        <sz val="11"/>
        <color theme="1"/>
        <rFont val="Calibri"/>
        <family val="2"/>
        <scheme val="minor"/>
      </rPr>
      <t xml:space="preserve">Inputs: </t>
    </r>
    <r>
      <rPr>
        <sz val="11"/>
        <color theme="1"/>
        <rFont val="Calibri"/>
        <family val="2"/>
        <scheme val="minor"/>
      </rPr>
      <t xml:space="preserve">Identify key categories by spend &amp; volume
</t>
    </r>
    <r>
      <rPr>
        <b/>
        <sz val="11"/>
        <color theme="1"/>
        <rFont val="Calibri"/>
        <family val="2"/>
        <scheme val="minor"/>
      </rPr>
      <t>Flag criteria (print first, then apply):</t>
    </r>
    <r>
      <rPr>
        <sz val="11"/>
        <color theme="1"/>
        <rFont val="Calibri"/>
        <family val="2"/>
        <scheme val="minor"/>
      </rPr>
      <t xml:space="preserve">
- High risk if ANY TWO are true:
  A) Demand growth in key end-markets &gt;5–8% YoY (or above long-run trend) AND supply/capacity is tight
  B) Lead times and order backlogs rising materially (evidence-based)
  C) Spot prices rising faster than contract benchmarks (or repeated surcharge events)
- Medium risk if:
  A) Demand growing modestly (2–5%) or tightness is regional/temporary
- Low risk if:
  A) Demand flat/declining OR supply is ample with stable lead times
</t>
    </r>
    <r>
      <rPr>
        <b/>
        <sz val="11"/>
        <color theme="1"/>
        <rFont val="Calibri"/>
        <family val="2"/>
        <scheme val="minor"/>
      </rPr>
      <t>Steps:</t>
    </r>
    <r>
      <rPr>
        <sz val="11"/>
        <color theme="1"/>
        <rFont val="Calibri"/>
        <family val="2"/>
        <scheme val="minor"/>
      </rPr>
      <t xml:space="preserve">
1) Identify end-markets and demand proxies; collect recent trends (cite).
2) Compare demand to capacity/supply context.
3) Translate into pricing and availability outcomes.
</t>
    </r>
    <r>
      <rPr>
        <b/>
        <sz val="11"/>
        <color theme="1"/>
        <rFont val="Calibri"/>
        <family val="2"/>
        <scheme val="minor"/>
      </rPr>
      <t xml:space="preserve">Output:
</t>
    </r>
    <r>
      <rPr>
        <sz val="11"/>
        <color theme="1"/>
        <rFont val="Calibri"/>
        <family val="2"/>
        <scheme val="minor"/>
      </rPr>
      <t>Summarise in 150 words the rating "High", "Medium" and "Low" with justification and key insights</t>
    </r>
  </si>
  <si>
    <r>
      <rPr>
        <b/>
        <sz val="11"/>
        <color theme="1"/>
        <rFont val="Calibri"/>
        <family val="2"/>
        <scheme val="minor"/>
      </rPr>
      <t>Rating</t>
    </r>
    <r>
      <rPr>
        <sz val="11"/>
        <color theme="1"/>
        <rFont val="Calibri"/>
        <family val="2"/>
        <scheme val="minor"/>
      </rPr>
      <t xml:space="preserve">: Price = Medium–High, Overall = Medium–High.
</t>
    </r>
    <r>
      <rPr>
        <b/>
        <sz val="11"/>
        <color theme="1"/>
        <rFont val="Calibri"/>
        <family val="2"/>
        <scheme val="minor"/>
      </rPr>
      <t>Justification / insights</t>
    </r>
    <r>
      <rPr>
        <sz val="11"/>
        <color theme="1"/>
        <rFont val="Calibri"/>
        <family val="2"/>
        <scheme val="minor"/>
      </rPr>
      <t xml:space="preserve">: Demand drivers for vegetable oils (food consumption, industrial uses, and in many markets biofuel blending) can create surges that outpace supply responsiveness, especially when coinciding with poor harvests. That combination tends to push up spot prices and drives contract renegotiations. Without demand proxy data in the file, the most reasonable validation output is Medium–High cost risk: demand can be a meaningful amplifier, but the magnitude depends on your specific oil mix and end-markets.
</t>
    </r>
    <r>
      <rPr>
        <b/>
        <sz val="11"/>
        <color theme="1"/>
        <rFont val="Calibri"/>
        <family val="2"/>
        <scheme val="minor"/>
      </rPr>
      <t>Assumptions / gaps</t>
    </r>
    <r>
      <rPr>
        <sz val="11"/>
        <color theme="1"/>
        <rFont val="Calibri"/>
        <family val="2"/>
        <scheme val="minor"/>
      </rPr>
      <t xml:space="preserve">: No end-market exposure breakdown, no demand time series, no contract reset frequency.
</t>
    </r>
    <r>
      <rPr>
        <b/>
        <sz val="11"/>
        <color theme="1"/>
        <rFont val="Calibri"/>
        <family val="2"/>
        <scheme val="minor"/>
      </rPr>
      <t xml:space="preserve"> Confidence:</t>
    </r>
    <r>
      <rPr>
        <sz val="11"/>
        <color theme="1"/>
        <rFont val="Calibri"/>
        <family val="2"/>
        <scheme val="minor"/>
      </rPr>
      <t xml:space="preserve"> Low. Key insight: link this proof point to your customer/BU demand forecast error and seasonality.</t>
    </r>
  </si>
  <si>
    <r>
      <rPr>
        <b/>
        <sz val="11"/>
        <color theme="1"/>
        <rFont val="Calibri"/>
        <family val="2"/>
        <scheme val="minor"/>
      </rPr>
      <t>Role:</t>
    </r>
    <r>
      <rPr>
        <sz val="11"/>
        <color theme="1"/>
        <rFont val="Calibri"/>
        <family val="2"/>
        <scheme val="minor"/>
      </rPr>
      <t xml:space="preserve"> Trade and procurement specialist for [CATEGORY].
</t>
    </r>
    <r>
      <rPr>
        <b/>
        <sz val="11"/>
        <color theme="1"/>
        <rFont val="Calibri"/>
        <family val="2"/>
        <scheme val="minor"/>
      </rPr>
      <t xml:space="preserve">Goal: </t>
    </r>
    <r>
      <rPr>
        <sz val="11"/>
        <color theme="1"/>
        <rFont val="Calibri"/>
        <family val="2"/>
        <scheme val="minor"/>
      </rPr>
      <t xml:space="preserve">High/Medium/Low Cost risk rating (primary). Show criteria, triggers, and citations.
</t>
    </r>
    <r>
      <rPr>
        <b/>
        <sz val="11"/>
        <color theme="1"/>
        <rFont val="Calibri"/>
        <family val="2"/>
        <scheme val="minor"/>
      </rPr>
      <t>Hypothesis:</t>
    </r>
    <r>
      <rPr>
        <sz val="11"/>
        <color theme="1"/>
        <rFont val="Calibri"/>
        <family val="2"/>
        <scheme val="minor"/>
      </rPr>
      <t xml:space="preserve"> Tariff increases/uncertainty lift landed cost and volatility; tariff-exposed inputs show higher sensitivity.
</t>
    </r>
    <r>
      <rPr>
        <b/>
        <sz val="11"/>
        <color theme="1"/>
        <rFont val="Calibri"/>
        <family val="2"/>
        <scheme val="minor"/>
      </rPr>
      <t xml:space="preserve">Inputs: </t>
    </r>
    <r>
      <rPr>
        <sz val="11"/>
        <color theme="1"/>
        <rFont val="Calibri"/>
        <family val="2"/>
        <scheme val="minor"/>
      </rPr>
      <t xml:space="preserve">Identify key categories by spend &amp; volume
</t>
    </r>
    <r>
      <rPr>
        <b/>
        <sz val="11"/>
        <color theme="1"/>
        <rFont val="Calibri"/>
        <family val="2"/>
        <scheme val="minor"/>
      </rPr>
      <t>Flag criteria (print first, then apply):</t>
    </r>
    <r>
      <rPr>
        <sz val="11"/>
        <color theme="1"/>
        <rFont val="Calibri"/>
        <family val="2"/>
        <scheme val="minor"/>
      </rPr>
      <t xml:space="preserve">
- High risk if ANY TWO are true:
  A) Applied tariff rate &gt;10% on major lanes OR recent change &gt;5 percentage points
  B) High uncertainty: active investigations, proposed measures, retaliation risk (evidence-based)
  C) Tariff impacts &gt;3% of landed cost for ≥30% of spend
- Medium risk if:
  A) Tariffs 3–10% OR moderate uncertainty; cost impact 1–3%
- Low risk if:
  A) Tariffs &lt;3% and stable with low policy volatility; cost impact &lt;1%
</t>
    </r>
    <r>
      <rPr>
        <b/>
        <sz val="11"/>
        <color theme="1"/>
        <rFont val="Calibri"/>
        <family val="2"/>
        <scheme val="minor"/>
      </rPr>
      <t xml:space="preserve">Steps:
</t>
    </r>
    <r>
      <rPr>
        <sz val="11"/>
        <color theme="1"/>
        <rFont val="Calibri"/>
        <family val="2"/>
        <scheme val="minor"/>
      </rPr>
      <t xml:space="preserve">1) Determine HS codes/proxies and lanes; state assumptions.
2) Research current rates and changes/proposals (cite).
3) Model landed cost sensitivity and exposure.
</t>
    </r>
    <r>
      <rPr>
        <b/>
        <sz val="11"/>
        <color theme="1"/>
        <rFont val="Calibri"/>
        <family val="2"/>
        <scheme val="minor"/>
      </rPr>
      <t>Output:</t>
    </r>
    <r>
      <rPr>
        <sz val="11"/>
        <color theme="1"/>
        <rFont val="Calibri"/>
        <family val="2"/>
        <scheme val="minor"/>
      </rPr>
      <t xml:space="preserve">
Summarise in 150 words the rating "High", "Medium" and "Low" with justification and key insights</t>
    </r>
  </si>
  <si>
    <r>
      <rPr>
        <b/>
        <sz val="11"/>
        <color theme="1"/>
        <rFont val="Calibri"/>
        <family val="2"/>
        <scheme val="minor"/>
      </rPr>
      <t>Rating</t>
    </r>
    <r>
      <rPr>
        <sz val="11"/>
        <color theme="1"/>
        <rFont val="Calibri"/>
        <family val="2"/>
        <scheme val="minor"/>
      </rPr>
      <t xml:space="preserve">: Price = Medium, Overall = Medium.
</t>
    </r>
    <r>
      <rPr>
        <b/>
        <sz val="11"/>
        <color theme="1"/>
        <rFont val="Calibri"/>
        <family val="2"/>
        <scheme val="minor"/>
      </rPr>
      <t>Justification / insights:</t>
    </r>
    <r>
      <rPr>
        <sz val="11"/>
        <color theme="1"/>
        <rFont val="Calibri"/>
        <family val="2"/>
        <scheme val="minor"/>
      </rPr>
      <t xml:space="preserve"> Tariffs can meaningfully affect landed cost for cross-border oils and derivatives, but tariff exposure is highly lane- and HS-code-specific. With no lane/HS mapping in the dummy dataset, a conservative validation output is Medium: tariffs may not dominate day-to-day commodity pricing, but policy changes can create step-changes and volatility for specific origins/destinations.
</t>
    </r>
    <r>
      <rPr>
        <b/>
        <sz val="11"/>
        <color theme="1"/>
        <rFont val="Calibri"/>
        <family val="2"/>
        <scheme val="minor"/>
      </rPr>
      <t>Assumptions / gaps</t>
    </r>
    <r>
      <rPr>
        <sz val="11"/>
        <color theme="1"/>
        <rFont val="Calibri"/>
        <family val="2"/>
        <scheme val="minor"/>
      </rPr>
      <t xml:space="preserve">: No origin→destination lanes, HS codes, or tariff schedules are provided.
</t>
    </r>
    <r>
      <rPr>
        <b/>
        <sz val="11"/>
        <color theme="1"/>
        <rFont val="Calibri"/>
        <family val="2"/>
        <scheme val="minor"/>
      </rPr>
      <t xml:space="preserve"> Confidence:</t>
    </r>
    <r>
      <rPr>
        <sz val="11"/>
        <color theme="1"/>
        <rFont val="Calibri"/>
        <family val="2"/>
        <scheme val="minor"/>
      </rPr>
      <t xml:space="preserve"> Low. Key insight: to make this prompt “fire,” you need (1) top lanes by spend, (2) HS mapping, (3) a landed-cost build-up.</t>
    </r>
  </si>
  <si>
    <r>
      <rPr>
        <b/>
        <sz val="11"/>
        <color theme="1"/>
        <rFont val="Calibri"/>
        <family val="2"/>
        <scheme val="minor"/>
      </rPr>
      <t>Role:</t>
    </r>
    <r>
      <rPr>
        <sz val="11"/>
        <color theme="1"/>
        <rFont val="Calibri"/>
        <family val="2"/>
        <scheme val="minor"/>
      </rPr>
      <t xml:space="preserve"> Landed-cost analyst for [CATEGORY].
</t>
    </r>
    <r>
      <rPr>
        <b/>
        <sz val="11"/>
        <color theme="1"/>
        <rFont val="Calibri"/>
        <family val="2"/>
        <scheme val="minor"/>
      </rPr>
      <t>Goal:</t>
    </r>
    <r>
      <rPr>
        <sz val="11"/>
        <color theme="1"/>
        <rFont val="Calibri"/>
        <family val="2"/>
        <scheme val="minor"/>
      </rPr>
      <t xml:space="preserve"> High/Medium/Low Cost risk rating; show criteria, triggers, and citations.
</t>
    </r>
    <r>
      <rPr>
        <b/>
        <sz val="11"/>
        <color theme="1"/>
        <rFont val="Calibri"/>
        <family val="2"/>
        <scheme val="minor"/>
      </rPr>
      <t>Hypothesis:</t>
    </r>
    <r>
      <rPr>
        <sz val="11"/>
        <color theme="1"/>
        <rFont val="Calibri"/>
        <family val="2"/>
        <scheme val="minor"/>
      </rPr>
      <t xml:space="preserve"> Duties/fees (incl. VAT/excise) materially affect delivered cost; unpredictable adjustments increase pricing risk and planning complexity.
</t>
    </r>
    <r>
      <rPr>
        <b/>
        <sz val="11"/>
        <color theme="1"/>
        <rFont val="Calibri"/>
        <family val="2"/>
        <scheme val="minor"/>
      </rPr>
      <t>Inputs:</t>
    </r>
    <r>
      <rPr>
        <sz val="11"/>
        <color theme="1"/>
        <rFont val="Calibri"/>
        <family val="2"/>
        <scheme val="minor"/>
      </rPr>
      <t xml:space="preserve"> Identify key categories by spend &amp; volume
</t>
    </r>
    <r>
      <rPr>
        <b/>
        <sz val="11"/>
        <color theme="1"/>
        <rFont val="Calibri"/>
        <family val="2"/>
        <scheme val="minor"/>
      </rPr>
      <t>Flag criteria (print first, then apply):</t>
    </r>
    <r>
      <rPr>
        <sz val="11"/>
        <color theme="1"/>
        <rFont val="Calibri"/>
        <family val="2"/>
        <scheme val="minor"/>
      </rPr>
      <t xml:space="preserve">
- High risk if ANY TWO are true:
  A) Non-tariff charges &gt;5% of landed cost OR frequent adjustments in last 12–24 months
  B) High cash-flow exposure (non-recoverable taxes, slow rebates, significant working capital impact)
  C) Material cross-geo comparability distortion (delivered cost differs &gt;5–10% driven by fees/taxes)
- Medium risk if:
  A) Charges 2–5% or moderate volatility; manageable recovery mechanisms
- Low risk if:
  A) Charges &lt;2% and stable; low administrative variability
</t>
    </r>
    <r>
      <rPr>
        <b/>
        <sz val="11"/>
        <color theme="1"/>
        <rFont val="Calibri"/>
        <family val="2"/>
        <scheme val="minor"/>
      </rPr>
      <t>Steps:</t>
    </r>
    <r>
      <rPr>
        <sz val="11"/>
        <color theme="1"/>
        <rFont val="Calibri"/>
        <family val="2"/>
        <scheme val="minor"/>
      </rPr>
      <t xml:space="preserve">
1) Map applicable fees/taxes by lane and recoverability (cite).
2) Quantify delivered-cost impact and volatility sensitivity.
3) Identify hotspots and mitigations.
</t>
    </r>
    <r>
      <rPr>
        <b/>
        <sz val="11"/>
        <color theme="1"/>
        <rFont val="Calibri"/>
        <family val="2"/>
        <scheme val="minor"/>
      </rPr>
      <t>Output:</t>
    </r>
    <r>
      <rPr>
        <sz val="11"/>
        <color theme="1"/>
        <rFont val="Calibri"/>
        <family val="2"/>
        <scheme val="minor"/>
      </rPr>
      <t xml:space="preserve">
Summarise in 150 words the rating "High", "Medium" and "Low" with justification and key insights</t>
    </r>
  </si>
  <si>
    <r>
      <rPr>
        <b/>
        <sz val="11"/>
        <color theme="1"/>
        <rFont val="Calibri"/>
        <family val="2"/>
        <scheme val="minor"/>
      </rPr>
      <t xml:space="preserve">Rating: </t>
    </r>
    <r>
      <rPr>
        <sz val="11"/>
        <color theme="1"/>
        <rFont val="Calibri"/>
        <family val="2"/>
        <scheme val="minor"/>
      </rPr>
      <t xml:space="preserve">Price = Low–Medium, Overall = Low–Medium.
</t>
    </r>
    <r>
      <rPr>
        <b/>
        <sz val="11"/>
        <color theme="1"/>
        <rFont val="Calibri"/>
        <family val="2"/>
        <scheme val="minor"/>
      </rPr>
      <t>Justification / insights:</t>
    </r>
    <r>
      <rPr>
        <sz val="11"/>
        <color theme="1"/>
        <rFont val="Calibri"/>
        <family val="2"/>
        <scheme val="minor"/>
      </rPr>
      <t xml:space="preserve"> Non-tariff charges (VAT, excise, customs processing, port fees) often drive structural cost differences across geographies. These are usually more predictable than spot commodity swings, but they can still create planning complexity, cash-flow effects, and cross-geo comparability issues. Given the clear geo price dispersion in the sample, some portion may be explained by these charges, supporting a Low–Medium residual risk rating.
</t>
    </r>
    <r>
      <rPr>
        <b/>
        <sz val="11"/>
        <color theme="1"/>
        <rFont val="Calibri"/>
        <family val="2"/>
        <scheme val="minor"/>
      </rPr>
      <t xml:space="preserve">Assumptions / gaps: </t>
    </r>
    <r>
      <rPr>
        <sz val="11"/>
        <color theme="1"/>
        <rFont val="Calibri"/>
        <family val="2"/>
        <scheme val="minor"/>
      </rPr>
      <t xml:space="preserve">No tax recoverability, fee schedules, or lane-specific charges.
</t>
    </r>
    <r>
      <rPr>
        <b/>
        <sz val="11"/>
        <color theme="1"/>
        <rFont val="Calibri"/>
        <family val="2"/>
        <scheme val="minor"/>
      </rPr>
      <t>Confidence:</t>
    </r>
    <r>
      <rPr>
        <sz val="11"/>
        <color theme="1"/>
        <rFont val="Calibri"/>
        <family val="2"/>
        <scheme val="minor"/>
      </rPr>
      <t xml:space="preserve"> Low. Key insight: this proof point is strongest when it outputs “recoverable vs non-recoverable” and quantifies working-capital impact.</t>
    </r>
  </si>
  <si>
    <r>
      <rPr>
        <b/>
        <sz val="11"/>
        <color theme="1"/>
        <rFont val="Calibri"/>
        <family val="2"/>
        <scheme val="minor"/>
      </rPr>
      <t>Role:</t>
    </r>
    <r>
      <rPr>
        <sz val="11"/>
        <color theme="1"/>
        <rFont val="Calibri"/>
        <family val="2"/>
        <scheme val="minor"/>
      </rPr>
      <t xml:space="preserve"> Should-cost and pricing-risk expert for [CATEGORY].
</t>
    </r>
    <r>
      <rPr>
        <b/>
        <sz val="11"/>
        <color theme="1"/>
        <rFont val="Calibri"/>
        <family val="2"/>
        <scheme val="minor"/>
      </rPr>
      <t>Goal:</t>
    </r>
    <r>
      <rPr>
        <sz val="11"/>
        <color theme="1"/>
        <rFont val="Calibri"/>
        <family val="2"/>
        <scheme val="minor"/>
      </rPr>
      <t xml:space="preserve"> High/Medium/Low Cost risk rating; show criteria, triggers, and citations.
</t>
    </r>
    <r>
      <rPr>
        <b/>
        <sz val="11"/>
        <color theme="1"/>
        <rFont val="Calibri"/>
        <family val="2"/>
        <scheme val="minor"/>
      </rPr>
      <t xml:space="preserve">
Hypothesis:</t>
    </r>
    <r>
      <rPr>
        <sz val="11"/>
        <color theme="1"/>
        <rFont val="Calibri"/>
        <family val="2"/>
        <scheme val="minor"/>
      </rPr>
      <t xml:space="preserve"> If cost structure relies on volatile inputs, prices track indices; high variable-cost share + pass-through clauses increase price risk.
</t>
    </r>
    <r>
      <rPr>
        <b/>
        <sz val="11"/>
        <color theme="1"/>
        <rFont val="Calibri"/>
        <family val="2"/>
        <scheme val="minor"/>
      </rPr>
      <t xml:space="preserve">Inputs: </t>
    </r>
    <r>
      <rPr>
        <sz val="11"/>
        <color theme="1"/>
        <rFont val="Calibri"/>
        <family val="2"/>
        <scheme val="minor"/>
      </rPr>
      <t xml:space="preserve">Key categories by spend and volume, cost structure of categories if available, contracts 
</t>
    </r>
    <r>
      <rPr>
        <b/>
        <sz val="11"/>
        <color theme="1"/>
        <rFont val="Calibri"/>
        <family val="2"/>
        <scheme val="minor"/>
      </rPr>
      <t>Flag criteria (print first, then apply):</t>
    </r>
    <r>
      <rPr>
        <sz val="11"/>
        <color theme="1"/>
        <rFont val="Calibri"/>
        <family val="2"/>
        <scheme val="minor"/>
      </rPr>
      <t xml:space="preserve">
- High risk if ANY TWO are true:
  A) Variable cost share &gt;60% AND top 1–3 inputs show high volatility (e.g., &gt;10–15% annualized or frequent shocks)
  B) Contracts have frequent pass-through/reset (monthly/quarterly) with limited caps/collars
  C) Historical correlation: supplier prices track inputs strongly with short lag (evidence-based)
- Medium risk if:
  A) Variable cost share 40–60% OR indexation has caps/collars and longer lags
- Low risk if:
  A) Variable cost share &lt;40% AND pricing is stable (annual resets, strong caps, or fixed pricing)
</t>
    </r>
    <r>
      <rPr>
        <b/>
        <sz val="11"/>
        <color theme="1"/>
        <rFont val="Calibri"/>
        <family val="2"/>
        <scheme val="minor"/>
      </rPr>
      <t>Steps:</t>
    </r>
    <r>
      <rPr>
        <sz val="11"/>
        <color theme="1"/>
        <rFont val="Calibri"/>
        <family val="2"/>
        <scheme val="minor"/>
      </rPr>
      <t xml:space="preserve">
1) Build a cost driver tree and identify indices (cite).
2) Assess contract mechanics (index, lag, caps/floors).
3) Estimate pass-through and risk exposure.
</t>
    </r>
    <r>
      <rPr>
        <b/>
        <sz val="11"/>
        <color theme="1"/>
        <rFont val="Calibri"/>
        <family val="2"/>
        <scheme val="minor"/>
      </rPr>
      <t>Output:</t>
    </r>
    <r>
      <rPr>
        <sz val="11"/>
        <color theme="1"/>
        <rFont val="Calibri"/>
        <family val="2"/>
        <scheme val="minor"/>
      </rPr>
      <t xml:space="preserve">
Summarise in 150 words the rating "High", "Medium" and "Low" with justification and key insights</t>
    </r>
  </si>
  <si>
    <r>
      <rPr>
        <b/>
        <sz val="11"/>
        <color theme="1"/>
        <rFont val="Calibri"/>
        <family val="2"/>
        <scheme val="minor"/>
      </rPr>
      <t>Rating:</t>
    </r>
    <r>
      <rPr>
        <sz val="11"/>
        <color theme="1"/>
        <rFont val="Calibri"/>
        <family val="2"/>
        <scheme val="minor"/>
      </rPr>
      <t xml:space="preserve"> Price = High, Overall = High.
</t>
    </r>
    <r>
      <rPr>
        <b/>
        <sz val="11"/>
        <color theme="1"/>
        <rFont val="Calibri"/>
        <family val="2"/>
        <scheme val="minor"/>
      </rPr>
      <t>Justification / insights:</t>
    </r>
    <r>
      <rPr>
        <sz val="11"/>
        <color theme="1"/>
        <rFont val="Calibri"/>
        <family val="2"/>
        <scheme val="minor"/>
      </rPr>
      <t xml:space="preserve"> Vegetable oils have a cost structure heavily driven by volatile inputs (feedstock prices, energy, freight, FX), and suppliers commonly seek pass-through when indices move. Even without your contract clauses, the category’s economics imply a high pass-through potential and frequent repricing pressure—especially when procurement is exposed to spot or short reset cycles. This supports a High cost risk rating.
</t>
    </r>
    <r>
      <rPr>
        <b/>
        <sz val="11"/>
        <color theme="1"/>
        <rFont val="Calibri"/>
        <family val="2"/>
        <scheme val="minor"/>
      </rPr>
      <t>Assumptions / gaps:</t>
    </r>
    <r>
      <rPr>
        <sz val="11"/>
        <color theme="1"/>
        <rFont val="Calibri"/>
        <family val="2"/>
        <scheme val="minor"/>
      </rPr>
      <t xml:space="preserve"> No contract indexation/caps/collars provided; no should-cost breakdown by oil type.
</t>
    </r>
    <r>
      <rPr>
        <b/>
        <sz val="11"/>
        <color theme="1"/>
        <rFont val="Calibri"/>
        <family val="2"/>
        <scheme val="minor"/>
      </rPr>
      <t>Confidence:</t>
    </r>
    <r>
      <rPr>
        <sz val="11"/>
        <color theme="1"/>
        <rFont val="Calibri"/>
        <family val="2"/>
        <scheme val="minor"/>
      </rPr>
      <t xml:space="preserve"> Medium. Key insight: to reduce this risk, focus on contracting mechanics (index selection, lag, collars) and on substitution levers across oil types.</t>
    </r>
  </si>
  <si>
    <r>
      <rPr>
        <b/>
        <sz val="11"/>
        <color theme="1"/>
        <rFont val="Calibri"/>
        <family val="2"/>
        <scheme val="minor"/>
      </rPr>
      <t xml:space="preserve">Role: </t>
    </r>
    <r>
      <rPr>
        <sz val="11"/>
        <color theme="1"/>
        <rFont val="Calibri"/>
        <family val="2"/>
        <scheme val="minor"/>
      </rPr>
      <t xml:space="preserve">Procurement economist for [CATEGORY].
</t>
    </r>
    <r>
      <rPr>
        <b/>
        <sz val="11"/>
        <color theme="1"/>
        <rFont val="Calibri"/>
        <family val="2"/>
        <scheme val="minor"/>
      </rPr>
      <t>Goal:</t>
    </r>
    <r>
      <rPr>
        <sz val="11"/>
        <color theme="1"/>
        <rFont val="Calibri"/>
        <family val="2"/>
        <scheme val="minor"/>
      </rPr>
      <t xml:space="preserve"> High/Medium/Low Cost risk rating; show criteria, triggers, and citations.
</t>
    </r>
    <r>
      <rPr>
        <b/>
        <sz val="11"/>
        <color theme="1"/>
        <rFont val="Calibri"/>
        <family val="2"/>
        <scheme val="minor"/>
      </rPr>
      <t xml:space="preserve">Hypothesis: </t>
    </r>
    <r>
      <rPr>
        <sz val="11"/>
        <color theme="1"/>
        <rFont val="Calibri"/>
        <family val="2"/>
        <scheme val="minor"/>
      </rPr>
      <t xml:space="preserve">Elevated supply-region inflation and/or upward inflation projections raise price volatility/inflation risk.
</t>
    </r>
    <r>
      <rPr>
        <b/>
        <sz val="11"/>
        <color theme="1"/>
        <rFont val="Calibri"/>
        <family val="2"/>
        <scheme val="minor"/>
      </rPr>
      <t xml:space="preserve">Inputs: </t>
    </r>
    <r>
      <rPr>
        <sz val="11"/>
        <color theme="1"/>
        <rFont val="Calibri"/>
        <family val="2"/>
        <scheme val="minor"/>
      </rPr>
      <t xml:space="preserve">Key categories by spend and volume, cost structure of categories if available, contracts 
</t>
    </r>
    <r>
      <rPr>
        <b/>
        <sz val="11"/>
        <color theme="1"/>
        <rFont val="Calibri"/>
        <family val="2"/>
        <scheme val="minor"/>
      </rPr>
      <t>Flag criteria (print first, then apply; use CPI/PPI/wages as relevant):</t>
    </r>
    <r>
      <rPr>
        <sz val="11"/>
        <color theme="1"/>
        <rFont val="Calibri"/>
        <family val="2"/>
        <scheme val="minor"/>
      </rPr>
      <t xml:space="preserve">
- High risk if ANY TWO are true:
  A) Relevant inflation metric &gt;5% YoY (or forecast &gt;5%) in key supply regions
  B) Inflation trend accelerating AND suppliers show history of rapid price pass-through
  C) Inflation affects dominant cost drivers (labor/energy) for this category
- Medium risk if:
  A) Inflation 2–5% or stabilizing; pass-through is moderated by contract terms
- Low risk if:
  A) Inflation &lt;2% and stable/declining; limited pass-through channel
</t>
    </r>
    <r>
      <rPr>
        <b/>
        <sz val="11"/>
        <color theme="1"/>
        <rFont val="Calibri"/>
        <family val="2"/>
        <scheme val="minor"/>
      </rPr>
      <t>Steps:</t>
    </r>
    <r>
      <rPr>
        <sz val="11"/>
        <color theme="1"/>
        <rFont val="Calibri"/>
        <family val="2"/>
        <scheme val="minor"/>
      </rPr>
      <t xml:space="preserve">
1) Select the right inflation measures for this category’s cost structure.
2) Gather latest data and credible forecasts (cite).
3) Translate to price adjustment likelihood and timing.
</t>
    </r>
    <r>
      <rPr>
        <b/>
        <sz val="11"/>
        <color theme="1"/>
        <rFont val="Calibri"/>
        <family val="2"/>
        <scheme val="minor"/>
      </rPr>
      <t xml:space="preserve">Output:
</t>
    </r>
    <r>
      <rPr>
        <sz val="11"/>
        <color theme="1"/>
        <rFont val="Calibri"/>
        <family val="2"/>
        <scheme val="minor"/>
      </rPr>
      <t>Summarise in 150 words the rating "High", "Medium" and "Low" with justification and key insights</t>
    </r>
  </si>
  <si>
    <r>
      <rPr>
        <b/>
        <sz val="11"/>
        <color theme="1"/>
        <rFont val="Calibri"/>
        <family val="2"/>
        <scheme val="minor"/>
      </rPr>
      <t xml:space="preserve">Rating: </t>
    </r>
    <r>
      <rPr>
        <sz val="11"/>
        <color theme="1"/>
        <rFont val="Calibri"/>
        <family val="2"/>
        <scheme val="minor"/>
      </rPr>
      <t xml:space="preserve">Price = Medium, Overall = Medium.
</t>
    </r>
    <r>
      <rPr>
        <b/>
        <sz val="11"/>
        <color theme="1"/>
        <rFont val="Calibri"/>
        <family val="2"/>
        <scheme val="minor"/>
      </rPr>
      <t>Justification / insights:</t>
    </r>
    <r>
      <rPr>
        <sz val="11"/>
        <color theme="1"/>
        <rFont val="Calibri"/>
        <family val="2"/>
        <scheme val="minor"/>
      </rPr>
      <t xml:space="preserve"> General inflation affects labor, utilities, packaging, and logistics, and suppliers often bundle inflation narratives into price requests. For vegetable oils, however, inflation is typically secondary to feedstock and energy swings. Therefore, inflation-driven volatility is best rated Medium: it can add incremental uplift and negotiation friction, but it rarely explains the largest price moves in this category.
</t>
    </r>
    <r>
      <rPr>
        <b/>
        <sz val="11"/>
        <color theme="1"/>
        <rFont val="Calibri"/>
        <family val="2"/>
        <scheme val="minor"/>
      </rPr>
      <t>Assumptions / gaps:</t>
    </r>
    <r>
      <rPr>
        <sz val="11"/>
        <color theme="1"/>
        <rFont val="Calibri"/>
        <family val="2"/>
        <scheme val="minor"/>
      </rPr>
      <t xml:space="preserve"> No supply-region inflation data or forecast inputs are included, and no contract pass-through rules are provided.
</t>
    </r>
    <r>
      <rPr>
        <b/>
        <sz val="11"/>
        <color theme="1"/>
        <rFont val="Calibri"/>
        <family val="2"/>
        <scheme val="minor"/>
      </rPr>
      <t>Confidence:</t>
    </r>
    <r>
      <rPr>
        <sz val="11"/>
        <color theme="1"/>
        <rFont val="Calibri"/>
        <family val="2"/>
        <scheme val="minor"/>
      </rPr>
      <t xml:space="preserve"> Low. Key insight: inflation matters more for downstream services (blending, packaging, warehousing) than for the raw oil component.</t>
    </r>
  </si>
  <si>
    <t>Already covered</t>
  </si>
  <si>
    <t>Chat gpt to fill this column</t>
  </si>
  <si>
    <r>
      <rPr>
        <b/>
        <sz val="11"/>
        <color theme="1"/>
        <rFont val="Calibri"/>
        <family val="2"/>
        <scheme val="minor"/>
      </rPr>
      <t xml:space="preserve">Role: </t>
    </r>
    <r>
      <rPr>
        <sz val="11"/>
        <color theme="1"/>
        <rFont val="Calibri"/>
        <family val="2"/>
        <scheme val="minor"/>
      </rPr>
      <t xml:space="preserve">Procurement finance partner assessing FX risk for [CATEGORY].
</t>
    </r>
    <r>
      <rPr>
        <b/>
        <sz val="11"/>
        <color theme="1"/>
        <rFont val="Calibri"/>
        <family val="2"/>
        <scheme val="minor"/>
      </rPr>
      <t>Goal:</t>
    </r>
    <r>
      <rPr>
        <sz val="11"/>
        <color theme="1"/>
        <rFont val="Calibri"/>
        <family val="2"/>
        <scheme val="minor"/>
      </rPr>
      <t xml:space="preserve"> High/Medium/Low Cost risk rating; show criteria, triggers, and citations.
</t>
    </r>
    <r>
      <rPr>
        <b/>
        <sz val="11"/>
        <color theme="1"/>
        <rFont val="Calibri"/>
        <family val="2"/>
        <scheme val="minor"/>
      </rPr>
      <t xml:space="preserve">Hypothesis: </t>
    </r>
    <r>
      <rPr>
        <sz val="11"/>
        <color theme="1"/>
        <rFont val="Calibri"/>
        <family val="2"/>
        <scheme val="minor"/>
      </rPr>
      <t xml:space="preserve">FX movements alter landed cost; supplier currency appreciation increases buyer costs; high FX volatility increases uncertainty.
</t>
    </r>
    <r>
      <rPr>
        <b/>
        <sz val="11"/>
        <color theme="1"/>
        <rFont val="Calibri"/>
        <family val="2"/>
        <scheme val="minor"/>
      </rPr>
      <t>Inputs:</t>
    </r>
    <r>
      <rPr>
        <sz val="11"/>
        <color theme="1"/>
        <rFont val="Calibri"/>
        <family val="2"/>
        <scheme val="minor"/>
      </rPr>
      <t xml:space="preserve"> Key supply regions by spend and their respective currencies, Contract clauses, Payment terms
</t>
    </r>
    <r>
      <rPr>
        <b/>
        <sz val="11"/>
        <color theme="1"/>
        <rFont val="Calibri"/>
        <family val="2"/>
        <scheme val="minor"/>
      </rPr>
      <t>Flag criteria (print first, then apply):</t>
    </r>
    <r>
      <rPr>
        <sz val="11"/>
        <color theme="1"/>
        <rFont val="Calibri"/>
        <family val="2"/>
        <scheme val="minor"/>
      </rPr>
      <t xml:space="preserve">
- High risk if ANY TWO are true:
  A) Annualized FX volatility &gt;10% for key currency pairs OR repeated large swings (&gt;5% monthly moves)
  B) Supplier currency appreciating &gt;5% YoY (or forecast to appreciate materially)
  C) Contracts lack FX clauses/hedging and pricing resets frequently
- Medium risk if:
  A) Volatility 5–10% OR modest appreciation; partial contractual protections exist
- Low risk if:
  A) Volatility &lt;5% and currency is stable; strong FX protections/hedges exist
</t>
    </r>
    <r>
      <rPr>
        <b/>
        <sz val="11"/>
        <color theme="1"/>
        <rFont val="Calibri"/>
        <family val="2"/>
        <scheme val="minor"/>
      </rPr>
      <t>Steps:</t>
    </r>
    <r>
      <rPr>
        <sz val="11"/>
        <color theme="1"/>
        <rFont val="Calibri"/>
        <family val="2"/>
        <scheme val="minor"/>
      </rPr>
      <t xml:space="preserve">
1) Identify transaction currency vs supplier cost base currency.
2) Pull FX history/volatility and forecasts where credible (cite).
3) Quantify sensitivity ($ impact per 1% FX move) and contractual pass-through.
</t>
    </r>
    <r>
      <rPr>
        <b/>
        <sz val="11"/>
        <color theme="1"/>
        <rFont val="Calibri"/>
        <family val="2"/>
        <scheme val="minor"/>
      </rPr>
      <t xml:space="preserve">Output:
</t>
    </r>
    <r>
      <rPr>
        <sz val="11"/>
        <color theme="1"/>
        <rFont val="Calibri"/>
        <family val="2"/>
        <scheme val="minor"/>
      </rPr>
      <t>Summarise in 150 words the rating "High", "Medium" and "Low" with justification and key insights</t>
    </r>
  </si>
  <si>
    <r>
      <rPr>
        <b/>
        <sz val="11"/>
        <color theme="1"/>
        <rFont val="Calibri"/>
        <family val="2"/>
        <scheme val="minor"/>
      </rPr>
      <t>Rating:</t>
    </r>
    <r>
      <rPr>
        <sz val="11"/>
        <color theme="1"/>
        <rFont val="Calibri"/>
        <family val="2"/>
        <scheme val="minor"/>
      </rPr>
      <t xml:space="preserve"> Price = Medium, Overall = Medium.
</t>
    </r>
    <r>
      <rPr>
        <b/>
        <sz val="11"/>
        <color theme="1"/>
        <rFont val="Calibri"/>
        <family val="2"/>
        <scheme val="minor"/>
      </rPr>
      <t>Justification / insights:</t>
    </r>
    <r>
      <rPr>
        <sz val="11"/>
        <color theme="1"/>
        <rFont val="Calibri"/>
        <family val="2"/>
        <scheme val="minor"/>
      </rPr>
      <t xml:space="preserve"> Cross-border vegetable oil trade often references USD or other major currencies. FX volatility can affect both supplier competitiveness and buyer landed cost, particularly when sourcing spans countries with different currency regimes. With supplier regions spread across multiple countries, FX introduces real uncertainty; however, the extent depends on invoice currency and any FX clauses/hedging. Without those specifics, the prompt still produces a sensible Medium rating for cost risk.
</t>
    </r>
    <r>
      <rPr>
        <b/>
        <sz val="11"/>
        <color theme="1"/>
        <rFont val="Calibri"/>
        <family val="2"/>
        <scheme val="minor"/>
      </rPr>
      <t>Assumptions / gaps:</t>
    </r>
    <r>
      <rPr>
        <sz val="11"/>
        <color theme="1"/>
        <rFont val="Calibri"/>
        <family val="2"/>
        <scheme val="minor"/>
      </rPr>
      <t xml:space="preserve"> No currency-of-invoice, contract FX clause, or hedging policy data. 
</t>
    </r>
    <r>
      <rPr>
        <b/>
        <sz val="11"/>
        <color theme="1"/>
        <rFont val="Calibri"/>
        <family val="2"/>
        <scheme val="minor"/>
      </rPr>
      <t>Confidence:</t>
    </r>
    <r>
      <rPr>
        <sz val="11"/>
        <color theme="1"/>
        <rFont val="Calibri"/>
        <family val="2"/>
        <scheme val="minor"/>
      </rPr>
      <t xml:space="preserve"> Low. Key insight: the prompt becomes materially stronger if you force an explicit “cost sensitivity per 1% FX move” output.</t>
    </r>
  </si>
  <si>
    <t>If spend is pre contracted with fixed prices than risk of price volatility significantly reduces. This is because the supplier would have to absorb the price variations in the cost drivers. Higher % of pre contracted spend reduces risk</t>
  </si>
  <si>
    <r>
      <rPr>
        <b/>
        <sz val="11"/>
        <color theme="1"/>
        <rFont val="Calibri"/>
        <family val="2"/>
        <scheme val="minor"/>
      </rPr>
      <t>Role:</t>
    </r>
    <r>
      <rPr>
        <sz val="11"/>
        <color theme="1"/>
        <rFont val="Calibri"/>
        <family val="2"/>
        <scheme val="minor"/>
      </rPr>
      <t xml:space="preserve"> Category finance lead for [CATEGORY].
</t>
    </r>
    <r>
      <rPr>
        <b/>
        <sz val="11"/>
        <color theme="1"/>
        <rFont val="Calibri"/>
        <family val="2"/>
        <scheme val="minor"/>
      </rPr>
      <t xml:space="preserve">Goal: </t>
    </r>
    <r>
      <rPr>
        <sz val="11"/>
        <color theme="1"/>
        <rFont val="Calibri"/>
        <family val="2"/>
        <scheme val="minor"/>
      </rPr>
      <t xml:space="preserve">High/Medium/Low rating for Price Volatility risk AFTER considering fixed-price coverage. You must show criteria and triggers.
</t>
    </r>
    <r>
      <rPr>
        <b/>
        <sz val="11"/>
        <color theme="1"/>
        <rFont val="Calibri"/>
        <family val="2"/>
        <scheme val="minor"/>
      </rPr>
      <t>Hypothesis:</t>
    </r>
    <r>
      <rPr>
        <sz val="11"/>
        <color theme="1"/>
        <rFont val="Calibri"/>
        <family val="2"/>
        <scheme val="minor"/>
      </rPr>
      <t xml:space="preserve"> Higher % of pre-contracted fixed-price spend reduces price volatility risk because supplier absorbs input variation.
</t>
    </r>
    <r>
      <rPr>
        <b/>
        <sz val="11"/>
        <color theme="1"/>
        <rFont val="Calibri"/>
        <family val="2"/>
        <scheme val="minor"/>
      </rPr>
      <t>Inputs:</t>
    </r>
    <r>
      <rPr>
        <sz val="11"/>
        <color theme="1"/>
        <rFont val="Calibri"/>
        <family val="2"/>
        <scheme val="minor"/>
      </rPr>
      <t xml:space="preserve"> [CONTRACT DATABASE], [PRICING TERMS], [SPEND/PO DATA], [INDEXATION/RE-OPENERS], [EXPIRY DATES], [SURCHARGES], period [DATES] + forward horizon [NEXT 12–24 MONTHS].
</t>
    </r>
    <r>
      <rPr>
        <b/>
        <sz val="11"/>
        <color theme="1"/>
        <rFont val="Calibri"/>
        <family val="2"/>
        <scheme val="minor"/>
      </rPr>
      <t xml:space="preserve">Flag criteria (print first, then apply):
</t>
    </r>
    <r>
      <rPr>
        <sz val="11"/>
        <color theme="1"/>
        <rFont val="Calibri"/>
        <family val="2"/>
        <scheme val="minor"/>
      </rPr>
      <t xml:space="preserve">- High residual price volatility risk if ANY TWO are true:
  A) Fixed-price coverage &lt;30% of spend (or &lt;30% of critical volume)
  B) Major “re-opener” / surcharge carve-outs apply to &gt;30% of spend
  C) Large renewal cliff within 6–12 months for &gt;40% of spend (exposure returns quickly)
- Medium risk if:
  A) Fixed-price coverage 30–70% and carve-outs are moderate; renewals are staggered
- Low risk if:
  A) Fixed-price coverage &gt;70% AND carve-outs are limited/capped AND expiries are staggered beyond 12 months
</t>
    </r>
    <r>
      <rPr>
        <b/>
        <sz val="11"/>
        <color theme="1"/>
        <rFont val="Calibri"/>
        <family val="2"/>
        <scheme val="minor"/>
      </rPr>
      <t>Steps:</t>
    </r>
    <r>
      <rPr>
        <sz val="11"/>
        <color theme="1"/>
        <rFont val="Calibri"/>
        <family val="2"/>
        <scheme val="minor"/>
      </rPr>
      <t xml:space="preserve">
1) Segment spend into fixed, indexed, cost-plus, spot; calculate % coverage by supplier/SKU/geo.
2) Validate “fixed” truly insulates (identify surcharges/re-openers, freight pass-through, volume bands).
3) Quantify uncovered exposure and renewal cliff risk.
</t>
    </r>
    <r>
      <rPr>
        <b/>
        <sz val="11"/>
        <color theme="1"/>
        <rFont val="Calibri"/>
        <family val="2"/>
        <scheme val="minor"/>
      </rPr>
      <t xml:space="preserve">Output:
</t>
    </r>
    <r>
      <rPr>
        <sz val="11"/>
        <color theme="1"/>
        <rFont val="Calibri"/>
        <family val="2"/>
        <scheme val="minor"/>
      </rPr>
      <t>Summarise in 150 words the rating "High", "Medium" and "Low" with justification and key insights</t>
    </r>
  </si>
  <si>
    <r>
      <rPr>
        <b/>
        <sz val="11"/>
        <color theme="1"/>
        <rFont val="Calibri"/>
        <family val="2"/>
        <scheme val="minor"/>
      </rPr>
      <t>Rating:</t>
    </r>
    <r>
      <rPr>
        <sz val="11"/>
        <color theme="1"/>
        <rFont val="Calibri"/>
        <family val="2"/>
        <scheme val="minor"/>
      </rPr>
      <t xml:space="preserve"> Price = Medium–High, Overall = Medium–High.
</t>
    </r>
    <r>
      <rPr>
        <b/>
        <sz val="11"/>
        <color theme="1"/>
        <rFont val="Calibri"/>
        <family val="2"/>
        <scheme val="minor"/>
      </rPr>
      <t>Justification / insights:</t>
    </r>
    <r>
      <rPr>
        <sz val="11"/>
        <color theme="1"/>
        <rFont val="Calibri"/>
        <family val="2"/>
        <scheme val="minor"/>
      </rPr>
      <t xml:space="preserve"> The dataset does not include contract coverage, indexation, or expiry ladder—so we must assume typical vegetable oil contracting where a portion is indexed/spot and fixed-price coverage is limited or short-tenor. Under that assumption, residual exposure to commodity swings remains meaningful, driving Medium–High price volatility risk. If, in reality, &gt;70% of spend is fixed with limited re-openers, this rating would drop materially. Conversely, if most spend is spot or index-reset monthly, the rating would move to High.
</t>
    </r>
    <r>
      <rPr>
        <b/>
        <sz val="11"/>
        <color theme="1"/>
        <rFont val="Calibri"/>
        <family val="2"/>
        <scheme val="minor"/>
      </rPr>
      <t xml:space="preserve">Assumptions / gaps: </t>
    </r>
    <r>
      <rPr>
        <sz val="11"/>
        <color theme="1"/>
        <rFont val="Calibri"/>
        <family val="2"/>
        <scheme val="minor"/>
      </rPr>
      <t xml:space="preserve">Missing: fixed vs indexed split, re-opener clauses, freight pass-through, and renewal cliffs. 
</t>
    </r>
    <r>
      <rPr>
        <b/>
        <sz val="11"/>
        <color theme="1"/>
        <rFont val="Calibri"/>
        <family val="2"/>
        <scheme val="minor"/>
      </rPr>
      <t>Confidence:</t>
    </r>
    <r>
      <rPr>
        <sz val="11"/>
        <color theme="1"/>
        <rFont val="Calibri"/>
        <family val="2"/>
        <scheme val="minor"/>
      </rPr>
      <t xml:space="preserve"> Low. Key insight: this prompt is excellent—its output quality hinges entirely on contract metadata completeness.</t>
    </r>
  </si>
  <si>
    <r>
      <rPr>
        <b/>
        <sz val="11"/>
        <color theme="1"/>
        <rFont val="Calibri"/>
        <family val="2"/>
        <scheme val="minor"/>
      </rPr>
      <t>Role:</t>
    </r>
    <r>
      <rPr>
        <sz val="11"/>
        <color theme="1"/>
        <rFont val="Calibri"/>
        <family val="2"/>
        <scheme val="minor"/>
      </rPr>
      <t xml:space="preserve"> You are a Category Manager assessing Supplier Dependency risk for [CATEGORY].
</t>
    </r>
    <r>
      <rPr>
        <b/>
        <sz val="11"/>
        <color theme="1"/>
        <rFont val="Calibri"/>
        <family val="2"/>
        <scheme val="minor"/>
      </rPr>
      <t xml:space="preserve">Goal: </t>
    </r>
    <r>
      <rPr>
        <sz val="11"/>
        <color theme="1"/>
        <rFont val="Calibri"/>
        <family val="2"/>
        <scheme val="minor"/>
      </rPr>
      <t xml:space="preserve">Assign a final risk rating (High / Medium / Low) for BOTH:
- Risk to Volume (resilience)
- Risk to Price (cost/financial)
Then give an OVERALL rating = max(Volume rating, Price rating) unless you justify a different rule.
</t>
    </r>
    <r>
      <rPr>
        <b/>
        <sz val="11"/>
        <color theme="1"/>
        <rFont val="Calibri"/>
        <family val="2"/>
        <scheme val="minor"/>
      </rPr>
      <t>Inputs (client data):</t>
    </r>
    <r>
      <rPr>
        <sz val="11"/>
        <color theme="1"/>
        <rFont val="Calibri"/>
        <family val="2"/>
        <scheme val="minor"/>
      </rPr>
      <t xml:space="preserve"> [SPEND BY SUPPLIER], [VOLUME BY SKU], [CONTRACTS/PRICING TERMS], [QUALIFICATION/APPROVAL DATA], [LEAD TIMES], [OTIF/QUALITY], period [DATES].
</t>
    </r>
    <r>
      <rPr>
        <b/>
        <sz val="11"/>
        <color theme="1"/>
        <rFont val="Calibri"/>
        <family val="2"/>
        <scheme val="minor"/>
      </rPr>
      <t>Hypothesis to test:</t>
    </r>
    <r>
      <rPr>
        <sz val="11"/>
        <color theme="1"/>
        <rFont val="Calibri"/>
        <family val="2"/>
        <scheme val="minor"/>
      </rPr>
      <t xml:space="preserve"> If a large share of spend/volume (&gt;70%) sits with one/few suppliers, bargaining power and continuity resilience are low, increasing exposure to disruption and price increases.
</t>
    </r>
    <r>
      <rPr>
        <b/>
        <sz val="11"/>
        <color theme="1"/>
        <rFont val="Calibri"/>
        <family val="2"/>
        <scheme val="minor"/>
      </rPr>
      <t>Flag criteria (MUST PRINT THESE FIRST, then apply):</t>
    </r>
    <r>
      <rPr>
        <sz val="11"/>
        <color theme="1"/>
        <rFont val="Calibri"/>
        <family val="2"/>
        <scheme val="minor"/>
      </rPr>
      <t xml:space="preserve">
</t>
    </r>
    <r>
      <rPr>
        <b/>
        <sz val="11"/>
        <color theme="1"/>
        <rFont val="Calibri"/>
        <family val="2"/>
        <scheme val="minor"/>
      </rPr>
      <t>- High risk if ANY TWO are true:</t>
    </r>
    <r>
      <rPr>
        <sz val="11"/>
        <color theme="1"/>
        <rFont val="Calibri"/>
        <family val="2"/>
        <scheme val="minor"/>
      </rPr>
      <t xml:space="preserve">
  A) Top-1 supplier ≥70% of spend
  B) Category HHI &gt; 2500 OR Top-3 ≥90%
  C) ≥1 critical SKU is single-sourced AND requalification/switching lead time &gt;12 weeks (or &gt;3 months)
  D) Evidence of supplier leverage: dominant supplier price increases exceed peers/indices by &gt;3–5pp or repeated “take-it-or-leave-it” outcomes
</t>
    </r>
    <r>
      <rPr>
        <b/>
        <sz val="11"/>
        <color theme="1"/>
        <rFont val="Calibri"/>
        <family val="2"/>
        <scheme val="minor"/>
      </rPr>
      <t>- Medium risk if:</t>
    </r>
    <r>
      <rPr>
        <sz val="11"/>
        <color theme="1"/>
        <rFont val="Calibri"/>
        <family val="2"/>
        <scheme val="minor"/>
      </rPr>
      <t xml:space="preserve">
  A) Top-1 is 40–69% OR HHI 1500–2500
  AND switching lead time is 4–12 weeks for critical items (or alternates exist but require effort)
</t>
    </r>
    <r>
      <rPr>
        <b/>
        <sz val="11"/>
        <color theme="1"/>
        <rFont val="Calibri"/>
        <family val="2"/>
        <scheme val="minor"/>
      </rPr>
      <t>- Low risk if ALL are true:</t>
    </r>
    <r>
      <rPr>
        <sz val="11"/>
        <color theme="1"/>
        <rFont val="Calibri"/>
        <family val="2"/>
        <scheme val="minor"/>
      </rPr>
      <t xml:space="preserve">
  A) Top-1 &lt;40% AND HHI &lt;1500
  B) At least 2 qualified suppliers for each critical SKU (or credible alternates within ≤4–6 weeks)
  C) No persistent dominance-driven price premium vs benchmarks
</t>
    </r>
    <r>
      <rPr>
        <b/>
        <sz val="11"/>
        <color theme="1"/>
        <rFont val="Calibri"/>
        <family val="2"/>
        <scheme val="minor"/>
      </rPr>
      <t>Steps:</t>
    </r>
    <r>
      <rPr>
        <sz val="11"/>
        <color theme="1"/>
        <rFont val="Calibri"/>
        <family val="2"/>
        <scheme val="minor"/>
      </rPr>
      <t xml:space="preserve">
1) Compute Top-1/Top-3 shares (spend + critical volume), HHI, and concentration by critical SKUs (not only total spend).
2) Identify single-source critical SKUs and switching constraints (qualification, tooling, regulatory approvals).
3) Quantify Volume-at-Risk under outage scenarios (2/4/8 weeks) and recovery time assumptions.
4) Quantify Price exposure: historical price deltas vs other suppliers/regions/indices; contract clauses enabling pass-through.
</t>
    </r>
    <r>
      <rPr>
        <b/>
        <sz val="11"/>
        <color theme="1"/>
        <rFont val="Calibri"/>
        <family val="2"/>
        <scheme val="minor"/>
      </rPr>
      <t>Output:
Summarise in 150 words the rating "High", "Medium" and "Low" with justification and key insights</t>
    </r>
  </si>
  <si>
    <r>
      <rPr>
        <b/>
        <sz val="11"/>
        <color theme="1"/>
        <rFont val="Calibri"/>
        <family val="2"/>
        <scheme val="minor"/>
      </rPr>
      <t>Rating:</t>
    </r>
    <r>
      <rPr>
        <sz val="11"/>
        <color theme="1"/>
        <rFont val="Calibri"/>
        <family val="2"/>
        <scheme val="minor"/>
      </rPr>
      <t xml:space="preserve"> Volume = Low, Price = Low, Overall = Low.
</t>
    </r>
    <r>
      <rPr>
        <b/>
        <sz val="11"/>
        <color theme="1"/>
        <rFont val="Calibri"/>
        <family val="2"/>
        <scheme val="minor"/>
      </rPr>
      <t xml:space="preserve">Justification / insights: </t>
    </r>
    <r>
      <rPr>
        <sz val="11"/>
        <color theme="1"/>
        <rFont val="Calibri"/>
        <family val="2"/>
        <scheme val="minor"/>
      </rPr>
      <t xml:space="preserve">The sample indicates a highly diversified supplier base (large supplier count; top supplier share appears well below the 40% “Low-risk” threshold). This reduces continuity exposure from a single supplier failure and limits supplier-specific leverage. Even if one supplier underperforms, the buyer likely has multiple alternative sources for vegetable oils (commodity-like market), so disruption recovery options are credible. Price risk attributable to “dependency” is also low because no single supplier appears able to impose sustained, unilateral increases purely due to concentration.
</t>
    </r>
    <r>
      <rPr>
        <b/>
        <sz val="11"/>
        <color theme="1"/>
        <rFont val="Calibri"/>
        <family val="2"/>
        <scheme val="minor"/>
      </rPr>
      <t xml:space="preserve">Assumptions / gaps: </t>
    </r>
    <r>
      <rPr>
        <sz val="11"/>
        <color theme="1"/>
        <rFont val="Calibri"/>
        <family val="2"/>
        <scheme val="minor"/>
      </rPr>
      <t xml:space="preserve">No SKU criticality, qualification lead times, or contract terms were provided; if “certified sustainable” supply or specific grades are single-sourced, the true risk could be higher. 
</t>
    </r>
    <r>
      <rPr>
        <b/>
        <sz val="11"/>
        <color theme="1"/>
        <rFont val="Calibri"/>
        <family val="2"/>
        <scheme val="minor"/>
      </rPr>
      <t>Confidence:</t>
    </r>
    <r>
      <rPr>
        <sz val="11"/>
        <color theme="1"/>
        <rFont val="Calibri"/>
        <family val="2"/>
        <scheme val="minor"/>
      </rPr>
      <t xml:space="preserve"> Medium</t>
    </r>
  </si>
  <si>
    <r>
      <rPr>
        <b/>
        <sz val="11"/>
        <color theme="1"/>
        <rFont val="Calibri"/>
        <family val="2"/>
        <scheme val="minor"/>
      </rPr>
      <t xml:space="preserve">Role: </t>
    </r>
    <r>
      <rPr>
        <sz val="11"/>
        <color theme="1"/>
        <rFont val="Calibri"/>
        <family val="2"/>
        <scheme val="minor"/>
      </rPr>
      <t xml:space="preserve">Procurement market-intelligence analyst for [CATEGORY].
</t>
    </r>
    <r>
      <rPr>
        <b/>
        <sz val="11"/>
        <color theme="1"/>
        <rFont val="Calibri"/>
        <family val="2"/>
        <scheme val="minor"/>
      </rPr>
      <t>Goal:</t>
    </r>
    <r>
      <rPr>
        <sz val="11"/>
        <color theme="1"/>
        <rFont val="Calibri"/>
        <family val="2"/>
        <scheme val="minor"/>
      </rPr>
      <t xml:space="preserve"> Assign High/Medium/Low ratings for Volume risk and Price risk, plus Overall rating. You must show the criteria and the evidence with citations.
</t>
    </r>
    <r>
      <rPr>
        <b/>
        <sz val="11"/>
        <color theme="1"/>
        <rFont val="Calibri"/>
        <family val="2"/>
        <scheme val="minor"/>
      </rPr>
      <t xml:space="preserve">Hypothesis: </t>
    </r>
    <r>
      <rPr>
        <sz val="11"/>
        <color theme="1"/>
        <rFont val="Calibri"/>
        <family val="2"/>
        <scheme val="minor"/>
      </rPr>
      <t xml:space="preserve">A concentrated supplier industry enables price discipline and limits switching options; higher HHI/M&amp;A indicates higher supplier concentration/dependency risk.
</t>
    </r>
    <r>
      <rPr>
        <b/>
        <sz val="11"/>
        <color theme="1"/>
        <rFont val="Calibri"/>
        <family val="2"/>
        <scheme val="minor"/>
      </rPr>
      <t>Flag criteria (print first, then apply):</t>
    </r>
    <r>
      <rPr>
        <sz val="11"/>
        <color theme="1"/>
        <rFont val="Calibri"/>
        <family val="2"/>
        <scheme val="minor"/>
      </rPr>
      <t xml:space="preserve">
- High risk if ANY TWO are true:
  A) CR4 &gt; 60% if shares are approximate)
  B) Evidence of consolidation trend: ≥2 major M&amp;A/closures in last 3–5 years OR capacity rationalization
  C) Barriers to entry high (capex/regulatory/IP) AND onboarding time &gt;6 months
  D) Buyer reports of allocation/lead-time spikes during demand increases
- Medium risk if:
  A)  CR4 40–60%
  AND consolidation signals are mixed or regionalized
- Low risk if:
  A)  CR4 &lt;40%
  AND multiple credible alternates exist with low barriers to switch
</t>
    </r>
    <r>
      <rPr>
        <b/>
        <sz val="11"/>
        <color theme="1"/>
        <rFont val="Calibri"/>
        <family val="2"/>
        <scheme val="minor"/>
      </rPr>
      <t>Steps:</t>
    </r>
    <r>
      <rPr>
        <sz val="11"/>
        <color theme="1"/>
        <rFont val="Calibri"/>
        <family val="2"/>
        <scheme val="minor"/>
      </rPr>
      <t xml:space="preserve">
1) Define market boundary (spec/grade + geography) and justify.
2) Estimate top supplier shares and compute HHI/CR4 proxy.
3) Summarize consolidation indicators (M&amp;A timeline, closures, vertical integration).
4) Translate to Volume risk (alternatives, onboarding time, capacity allocation) and Price risk (pricing power, margin discipline).
</t>
    </r>
    <r>
      <rPr>
        <b/>
        <sz val="11"/>
        <color theme="1"/>
        <rFont val="Calibri"/>
        <family val="2"/>
        <scheme val="minor"/>
      </rPr>
      <t>Output:</t>
    </r>
    <r>
      <rPr>
        <sz val="11"/>
        <color theme="1"/>
        <rFont val="Calibri"/>
        <family val="2"/>
        <scheme val="minor"/>
      </rPr>
      <t xml:space="preserve">
Summarise in 150 words the rating "High", "Medium" and "Low" with justification and key insights</t>
    </r>
  </si>
  <si>
    <r>
      <rPr>
        <b/>
        <sz val="11"/>
        <color theme="1"/>
        <rFont val="Calibri"/>
        <family val="2"/>
        <scheme val="minor"/>
      </rPr>
      <t>Rating:</t>
    </r>
    <r>
      <rPr>
        <sz val="11"/>
        <color theme="1"/>
        <rFont val="Calibri"/>
        <family val="2"/>
        <scheme val="minor"/>
      </rPr>
      <t xml:space="preserve"> Volume = Low–Medium, Price = Medium, Overall = Medium.
</t>
    </r>
    <r>
      <rPr>
        <b/>
        <sz val="11"/>
        <color theme="1"/>
        <rFont val="Calibri"/>
        <family val="2"/>
        <scheme val="minor"/>
      </rPr>
      <t>Justification / insights:</t>
    </r>
    <r>
      <rPr>
        <sz val="11"/>
        <color theme="1"/>
        <rFont val="Calibri"/>
        <family val="2"/>
        <scheme val="minor"/>
      </rPr>
      <t xml:space="preserve"> Vegetable oils are generally globally traded and multi-sourced, so the market is not “single-player dominated” in a way that typically drives extreme continuity risk. However, practical consolidation can exist in specific sub-markets (e.g., certified sustainable palm oil, specialty blends, or regionally constrained grades), which can reduce credible alternates and increase the likelihood of coordinated “price discipline” (especially during tight supply). This can create moderate price risk even if supplier count looks high in internal spend.
</t>
    </r>
    <r>
      <rPr>
        <b/>
        <sz val="11"/>
        <color theme="1"/>
        <rFont val="Calibri"/>
        <family val="2"/>
        <scheme val="minor"/>
      </rPr>
      <t xml:space="preserve">Assumptions / gaps: </t>
    </r>
    <r>
      <rPr>
        <sz val="11"/>
        <color theme="1"/>
        <rFont val="Calibri"/>
        <family val="2"/>
        <scheme val="minor"/>
      </rPr>
      <t xml:space="preserve">External market share / CR4 evidence is not in the dummy file; I assume a typical market where commodity base oils are fragmented, but “compliance-grade” supply is narrower. 
</t>
    </r>
    <r>
      <rPr>
        <b/>
        <sz val="11"/>
        <color theme="1"/>
        <rFont val="Calibri"/>
        <family val="2"/>
        <scheme val="minor"/>
      </rPr>
      <t xml:space="preserve">Confidence: </t>
    </r>
    <r>
      <rPr>
        <sz val="11"/>
        <color theme="1"/>
        <rFont val="Calibri"/>
        <family val="2"/>
        <scheme val="minor"/>
      </rPr>
      <t>Low–Medium.</t>
    </r>
  </si>
  <si>
    <t>If switching cost is high than moving to a new supplier becomes difficult, exposing your category to high risk.</t>
  </si>
  <si>
    <r>
      <rPr>
        <b/>
        <sz val="11"/>
        <color theme="1"/>
        <rFont val="Calibri"/>
        <family val="2"/>
        <scheme val="minor"/>
      </rPr>
      <t xml:space="preserve">Role: </t>
    </r>
    <r>
      <rPr>
        <sz val="11"/>
        <color theme="1"/>
        <rFont val="Calibri"/>
        <family val="2"/>
        <scheme val="minor"/>
      </rPr>
      <t xml:space="preserve">Category manager evaluating switching cost risk for [CATEGORY].
</t>
    </r>
    <r>
      <rPr>
        <b/>
        <sz val="11"/>
        <color theme="1"/>
        <rFont val="Calibri"/>
        <family val="2"/>
        <scheme val="minor"/>
      </rPr>
      <t xml:space="preserve">Goal: </t>
    </r>
    <r>
      <rPr>
        <sz val="11"/>
        <color theme="1"/>
        <rFont val="Calibri"/>
        <family val="2"/>
        <scheme val="minor"/>
      </rPr>
      <t xml:space="preserve">High/Medium/Low ratings for Volume and Price risk; show criteria and triggers.
</t>
    </r>
    <r>
      <rPr>
        <b/>
        <sz val="11"/>
        <color theme="1"/>
        <rFont val="Calibri"/>
        <family val="2"/>
        <scheme val="minor"/>
      </rPr>
      <t>Hypothesis:</t>
    </r>
    <r>
      <rPr>
        <sz val="11"/>
        <color theme="1"/>
        <rFont val="Calibri"/>
        <family val="2"/>
        <scheme val="minor"/>
      </rPr>
      <t xml:space="preserve"> If switching cost is high, moving to a new supplier is difficult, increasing category risk.
</t>
    </r>
    <r>
      <rPr>
        <b/>
        <sz val="11"/>
        <color theme="1"/>
        <rFont val="Calibri"/>
        <family val="2"/>
        <scheme val="minor"/>
      </rPr>
      <t>Inputs (client data):</t>
    </r>
    <r>
      <rPr>
        <sz val="11"/>
        <color theme="1"/>
        <rFont val="Calibri"/>
        <family val="2"/>
        <scheme val="minor"/>
      </rPr>
      <t xml:space="preserve"> [SPEND BY SUPPLIER], [VOLUME BY SKU], [CONTRACTS/PRICING TERMS], [QUALIFICATION/APPROVAL DATA], [LEAD TIMES], [OTIF/QUALITY], period [DATES].
Flag criteria (print first, then apply):
- High risk if ANY TWO are true:
  A) Time to qualify/switch &gt;6 months for critical SKUs (or regulatory/customer approval required)
  B) One-time switching cost &gt;5% of annual spend for affected scope (tooling, validation, dual-run)
  C) IP/exclusive tooling/spec lock-in limits alternate sourcing credibility
- Medium risk if:
  A) Switching time 2–6 months OR switching cost 1–5% of annual spend; alternates exist with effort
- Low risk if:
  A) Switching time &lt;2 months AND switching cost &lt;1% of annual spend; multiple qualified suppliers exist
</t>
    </r>
    <r>
      <rPr>
        <b/>
        <sz val="11"/>
        <color theme="1"/>
        <rFont val="Calibri"/>
        <family val="2"/>
        <scheme val="minor"/>
      </rPr>
      <t>Steps:</t>
    </r>
    <r>
      <rPr>
        <sz val="11"/>
        <color theme="1"/>
        <rFont val="Calibri"/>
        <family val="2"/>
        <scheme val="minor"/>
      </rPr>
      <t xml:space="preserve">
1) Break switching cost into time, cost, and risk dimensions per SKU/supplier.
2) Identify lock-in constraints (tooling ownership, IP, specs, approvals).
3) Translate into resilience (time-to-exit) and price leverage impacts.
</t>
    </r>
    <r>
      <rPr>
        <b/>
        <sz val="11"/>
        <color theme="1"/>
        <rFont val="Calibri"/>
        <family val="2"/>
        <scheme val="minor"/>
      </rPr>
      <t>Output:</t>
    </r>
    <r>
      <rPr>
        <sz val="11"/>
        <color theme="1"/>
        <rFont val="Calibri"/>
        <family val="2"/>
        <scheme val="minor"/>
      </rPr>
      <t xml:space="preserve">
Summarise in 150 words the rating "High", "Medium" and "Low" with justification and key insights</t>
    </r>
  </si>
  <si>
    <r>
      <rPr>
        <b/>
        <sz val="11"/>
        <color theme="1"/>
        <rFont val="Calibri"/>
        <family val="2"/>
        <scheme val="minor"/>
      </rPr>
      <t>Rating:</t>
    </r>
    <r>
      <rPr>
        <sz val="11"/>
        <color theme="1"/>
        <rFont val="Calibri"/>
        <family val="2"/>
        <scheme val="minor"/>
      </rPr>
      <t xml:space="preserve"> Volume = Low, Price = Low, Overall = Low.
</t>
    </r>
    <r>
      <rPr>
        <b/>
        <sz val="11"/>
        <color theme="1"/>
        <rFont val="Calibri"/>
        <family val="2"/>
        <scheme val="minor"/>
      </rPr>
      <t>Justification / insights:</t>
    </r>
    <r>
      <rPr>
        <sz val="11"/>
        <color theme="1"/>
        <rFont val="Calibri"/>
        <family val="2"/>
        <scheme val="minor"/>
      </rPr>
      <t xml:space="preserve"> Vegetable oils are generally specifiable commodities with a broad ecosystem of producers/traders, and your internal view shows many suppliers and multi-country sourcing. That typically implies switching is feasible without multi-quarter requalification (unlike engineered components). Switching friction can exist for certified/sustainability-compliant supply, or for tightly specified blends, but absent evidence of long qualification cycles or tooling/IP lock-in, the appropriate validation outcome is Low switching-cost risk.
</t>
    </r>
    <r>
      <rPr>
        <b/>
        <sz val="11"/>
        <color theme="1"/>
        <rFont val="Calibri"/>
        <family val="2"/>
        <scheme val="minor"/>
      </rPr>
      <t>Assumptions / gaps:</t>
    </r>
    <r>
      <rPr>
        <sz val="11"/>
        <color theme="1"/>
        <rFont val="Calibri"/>
        <family val="2"/>
        <scheme val="minor"/>
      </rPr>
      <t xml:space="preserve"> No qualification lead time, certification requirements, or customer-approval constraints are provided. 
</t>
    </r>
    <r>
      <rPr>
        <b/>
        <sz val="11"/>
        <color theme="1"/>
        <rFont val="Calibri"/>
        <family val="2"/>
        <scheme val="minor"/>
      </rPr>
      <t>Confidence:</t>
    </r>
    <r>
      <rPr>
        <sz val="11"/>
        <color theme="1"/>
        <rFont val="Calibri"/>
        <family val="2"/>
        <scheme val="minor"/>
      </rPr>
      <t xml:space="preserve"> Medium. Key insight: switching cost should be tested at “critical SKU/spec” level; category-level supplier count can mask lock-in on a small subset.</t>
    </r>
  </si>
  <si>
    <r>
      <rPr>
        <b/>
        <sz val="11"/>
        <color theme="1"/>
        <rFont val="Calibri"/>
        <family val="2"/>
        <scheme val="minor"/>
      </rPr>
      <t xml:space="preserve">Role: </t>
    </r>
    <r>
      <rPr>
        <sz val="11"/>
        <color theme="1"/>
        <rFont val="Calibri"/>
        <family val="2"/>
        <scheme val="minor"/>
      </rPr>
      <t xml:space="preserve">Procurement risk lead for [CATEGORY].
</t>
    </r>
    <r>
      <rPr>
        <b/>
        <sz val="11"/>
        <color theme="1"/>
        <rFont val="Calibri"/>
        <family val="2"/>
        <scheme val="minor"/>
      </rPr>
      <t>Goal:</t>
    </r>
    <r>
      <rPr>
        <sz val="11"/>
        <color theme="1"/>
        <rFont val="Calibri"/>
        <family val="2"/>
        <scheme val="minor"/>
      </rPr>
      <t xml:space="preserve"> Provide a High/Medium/Low resilience (Volume) risk rating driven by supplier financial health; include criteria and triggers. Provide Price risk only if financially-driven price risk is material.
</t>
    </r>
    <r>
      <rPr>
        <b/>
        <sz val="11"/>
        <color theme="1"/>
        <rFont val="Calibri"/>
        <family val="2"/>
        <scheme val="minor"/>
      </rPr>
      <t xml:space="preserve">Hypothesis: </t>
    </r>
    <r>
      <rPr>
        <sz val="11"/>
        <color theme="1"/>
        <rFont val="Calibri"/>
        <family val="2"/>
        <scheme val="minor"/>
      </rPr>
      <t xml:space="preserve">Weighted financial risk of top suppliers indicates probability of distress and delivery failure.
</t>
    </r>
    <r>
      <rPr>
        <b/>
        <sz val="11"/>
        <color theme="1"/>
        <rFont val="Calibri"/>
        <family val="2"/>
        <scheme val="minor"/>
      </rPr>
      <t>Inputs:</t>
    </r>
    <r>
      <rPr>
        <sz val="11"/>
        <color theme="1"/>
        <rFont val="Calibri"/>
        <family val="2"/>
        <scheme val="minor"/>
      </rPr>
      <t xml:space="preserve"> [TOP SUPPLIERS], [SPEND/VOLUME WEIGHTS], [CRITICALITY], [PERFORMANCE/OTIF], any available from sources like D&amp;B [CREDIT/FINANCIAL METRICS], period [DATES].
</t>
    </r>
    <r>
      <rPr>
        <b/>
        <sz val="11"/>
        <color theme="1"/>
        <rFont val="Calibri"/>
        <family val="2"/>
        <scheme val="minor"/>
      </rPr>
      <t>Flag criteria (print first, then apply):</t>
    </r>
    <r>
      <rPr>
        <sz val="11"/>
        <color theme="1"/>
        <rFont val="Calibri"/>
        <family val="2"/>
        <scheme val="minor"/>
      </rPr>
      <t xml:space="preserve">
- High risk if ANY TWO are true:
  A) ≥30% of category spend is with suppliers rated “High/Distressed” (or equivalent) OR any top-1 supplier is “High/Distressed”
  B) Financial red flags: downgrade trend, liquidity stress, negative cash flow, covenant risk, late payments to sub-suppliers (evidence-based)
  C) Observed performance degradation correlated with financial stress (OTIF drop, quality issues, capacity cuts)
- Medium risk if:
  A) 10–30% spend with “High/Distressed” OR WFRI mid-range
  AND alternates exist but require 2–6 months to shift
- Low risk if:
  A) &lt;10% spend with “High/Distressed”
  AND top suppliers show stable/healthy indicators with no distress trend
</t>
    </r>
    <r>
      <rPr>
        <b/>
        <sz val="11"/>
        <color theme="1"/>
        <rFont val="Calibri"/>
        <family val="2"/>
        <scheme val="minor"/>
      </rPr>
      <t>Steps:</t>
    </r>
    <r>
      <rPr>
        <sz val="11"/>
        <color theme="1"/>
        <rFont val="Calibri"/>
        <family val="2"/>
        <scheme val="minor"/>
      </rPr>
      <t xml:space="preserve">
1) Map financial ratings/metrics to a 3-level supplier risk (Low/Med/High) and show mapping.
2) Compute WFRI = Σ(weight × supplier financial risk).
</t>
    </r>
    <r>
      <rPr>
        <b/>
        <sz val="11"/>
        <color theme="1"/>
        <rFont val="Calibri"/>
        <family val="2"/>
        <scheme val="minor"/>
      </rPr>
      <t>Output:</t>
    </r>
    <r>
      <rPr>
        <sz val="11"/>
        <color theme="1"/>
        <rFont val="Calibri"/>
        <family val="2"/>
        <scheme val="minor"/>
      </rPr>
      <t xml:space="preserve">
Summarise in 150 words the rating "High", "Medium" and "Low" with justification and key insights</t>
    </r>
  </si>
  <si>
    <r>
      <rPr>
        <b/>
        <sz val="11"/>
        <color theme="1"/>
        <rFont val="Calibri"/>
        <family val="2"/>
        <scheme val="minor"/>
      </rPr>
      <t xml:space="preserve">Rating Overall </t>
    </r>
    <r>
      <rPr>
        <sz val="11"/>
        <color theme="1"/>
        <rFont val="Calibri"/>
        <family val="2"/>
        <scheme val="minor"/>
      </rPr>
      <t xml:space="preserve">= Medium.
</t>
    </r>
    <r>
      <rPr>
        <b/>
        <sz val="11"/>
        <color theme="1"/>
        <rFont val="Calibri"/>
        <family val="2"/>
        <scheme val="minor"/>
      </rPr>
      <t>Justification / insights:</t>
    </r>
    <r>
      <rPr>
        <sz val="11"/>
        <color theme="1"/>
        <rFont val="Calibri"/>
        <family val="2"/>
        <scheme val="minor"/>
      </rPr>
      <t xml:space="preserve"> With a diversified supplier base, the category is less exposed to any single supplier failure; however, vegetable oils often involve traders, refiners, and processors where working-capital intensity and margin swings can create periodic financial stress. In the absence of actual credit scores, a prudent test output is Medium: some suppliers may be financially weaker, but the portfolio effect (many suppliers) limits systemic continuity risk. The most meaningful exposure would be where high-spend suppliers (or those supplying critical SKUs) show distress signals—without that data, we cannot confidently down-rate to Low.
</t>
    </r>
    <r>
      <rPr>
        <b/>
        <sz val="11"/>
        <color theme="1"/>
        <rFont val="Calibri"/>
        <family val="2"/>
        <scheme val="minor"/>
      </rPr>
      <t>Assumptions / gaps:</t>
    </r>
    <r>
      <rPr>
        <sz val="11"/>
        <color theme="1"/>
        <rFont val="Calibri"/>
        <family val="2"/>
        <scheme val="minor"/>
      </rPr>
      <t xml:space="preserve"> No D&amp;B / credit metrics, no supplier criticality, no OTIF trend by supplier. 
</t>
    </r>
    <r>
      <rPr>
        <b/>
        <sz val="11"/>
        <color theme="1"/>
        <rFont val="Calibri"/>
        <family val="2"/>
        <scheme val="minor"/>
      </rPr>
      <t xml:space="preserve">Confidence: </t>
    </r>
    <r>
      <rPr>
        <sz val="11"/>
        <color theme="1"/>
        <rFont val="Calibri"/>
        <family val="2"/>
        <scheme val="minor"/>
      </rPr>
      <t xml:space="preserve">Low. </t>
    </r>
  </si>
  <si>
    <r>
      <rPr>
        <b/>
        <sz val="11"/>
        <color theme="1"/>
        <rFont val="Calibri"/>
        <family val="2"/>
        <scheme val="minor"/>
      </rPr>
      <t>Role:</t>
    </r>
    <r>
      <rPr>
        <sz val="11"/>
        <color theme="1"/>
        <rFont val="Calibri"/>
        <family val="2"/>
        <scheme val="minor"/>
      </rPr>
      <t xml:space="preserve"> Category manager mapping geopolitical exposure for [CATEGORY].
</t>
    </r>
    <r>
      <rPr>
        <b/>
        <sz val="11"/>
        <color theme="1"/>
        <rFont val="Calibri"/>
        <family val="2"/>
        <scheme val="minor"/>
      </rPr>
      <t xml:space="preserve">Goal: </t>
    </r>
    <r>
      <rPr>
        <sz val="11"/>
        <color theme="1"/>
        <rFont val="Calibri"/>
        <family val="2"/>
        <scheme val="minor"/>
      </rPr>
      <t xml:space="preserve">High/Medium/Low Volume risk rating (resilience). If there is a clear cost channel (tariffs/insurance), also rate Price risk.
</t>
    </r>
    <r>
      <rPr>
        <b/>
        <sz val="11"/>
        <color theme="1"/>
        <rFont val="Calibri"/>
        <family val="2"/>
        <scheme val="minor"/>
      </rPr>
      <t>Hypothesis:</t>
    </r>
    <r>
      <rPr>
        <sz val="11"/>
        <color theme="1"/>
        <rFont val="Calibri"/>
        <family val="2"/>
        <scheme val="minor"/>
      </rPr>
      <t xml:space="preserve"> Credible geopolitical risk/governance indicators signal structural supply risk in top regions.
</t>
    </r>
    <r>
      <rPr>
        <b/>
        <sz val="11"/>
        <color theme="1"/>
        <rFont val="Calibri"/>
        <family val="2"/>
        <scheme val="minor"/>
      </rPr>
      <t xml:space="preserve">Inputs: </t>
    </r>
    <r>
      <rPr>
        <sz val="11"/>
        <color theme="1"/>
        <rFont val="Calibri"/>
        <family val="2"/>
        <scheme val="minor"/>
      </rPr>
      <t xml:space="preserve">supplier footprint by country/region [LIST] and approximate weight by spend/volume [WEIGHTS if available].
</t>
    </r>
    <r>
      <rPr>
        <b/>
        <sz val="11"/>
        <color theme="1"/>
        <rFont val="Calibri"/>
        <family val="2"/>
        <scheme val="minor"/>
      </rPr>
      <t xml:space="preserve">Flag criteria (print first, then apply):
</t>
    </r>
    <r>
      <rPr>
        <sz val="11"/>
        <color theme="1"/>
        <rFont val="Calibri"/>
        <family val="2"/>
        <scheme val="minor"/>
      </rPr>
      <t xml:space="preserve">- High risk if ANY TWO are true:
  A) ≥50% of supply weight is in countries in bottom quartile of political stability/governance (or “high risk” category)
  B) ≥1 critical node is in a “high risk” country AND no alternate region can be qualified within 3–6 months
  C) Clear recent deterioration trend in risk indicators or credible warnings (evidence-based)
- Medium risk if:
  A) 20–49% supply weight in higher-risk countries OR mixed indicators
  AND alternates exist but require effort/time
- Low risk if:
  A) &lt;20% supply weight in higher-risk countries
  AND region diversification exists for critical items
</t>
    </r>
    <r>
      <rPr>
        <b/>
        <sz val="11"/>
        <color theme="1"/>
        <rFont val="Calibri"/>
        <family val="2"/>
        <scheme val="minor"/>
      </rPr>
      <t>Steps:</t>
    </r>
    <r>
      <rPr>
        <sz val="11"/>
        <color theme="1"/>
        <rFont val="Calibri"/>
        <family val="2"/>
        <scheme val="minor"/>
      </rPr>
      <t xml:space="preserve">
1) Pull latest credible country risk/governance indicators for each key country (cite sources).
2) Normalize to a 3-level country risk (Low/Med/High) and show the mapping.
3) Compute weighted exposure and identify the top drivers.
4) Convert into disruption scenarios and time-to-recover assumptions.
</t>
    </r>
    <r>
      <rPr>
        <b/>
        <sz val="11"/>
        <color theme="1"/>
        <rFont val="Calibri"/>
        <family val="2"/>
        <scheme val="minor"/>
      </rPr>
      <t>Output:</t>
    </r>
    <r>
      <rPr>
        <sz val="11"/>
        <color theme="1"/>
        <rFont val="Calibri"/>
        <family val="2"/>
        <scheme val="minor"/>
      </rPr>
      <t xml:space="preserve">
Summarise in 150 words the rating "High", "Medium" and "Low" with justification and key insights</t>
    </r>
  </si>
  <si>
    <r>
      <rPr>
        <b/>
        <sz val="11"/>
        <color theme="1"/>
        <rFont val="Calibri"/>
        <family val="2"/>
        <scheme val="minor"/>
      </rPr>
      <t xml:space="preserve">Rating: </t>
    </r>
    <r>
      <rPr>
        <sz val="11"/>
        <color theme="1"/>
        <rFont val="Calibri"/>
        <family val="2"/>
        <scheme val="minor"/>
      </rPr>
      <t xml:space="preserve">Volume = Medium, Overall = Medium.
</t>
    </r>
    <r>
      <rPr>
        <b/>
        <sz val="11"/>
        <color theme="1"/>
        <rFont val="Calibri"/>
        <family val="2"/>
        <scheme val="minor"/>
      </rPr>
      <t>Justification / insights:</t>
    </r>
    <r>
      <rPr>
        <sz val="11"/>
        <color theme="1"/>
        <rFont val="Calibri"/>
        <family val="2"/>
        <scheme val="minor"/>
      </rPr>
      <t xml:space="preserve"> The sample shows sourcing spread across multiple countries/regions (not fully concentrated in one), which reduces single-country exposure. That said, vegetable oils (especially palm/related derivatives) often have meaningful exposure to SE Asia supply ecosystems, and geopolitical/policy actions (export measures, domestic allocation priorities) can quickly affect availability. With a multi-country footprint but still meaningful concentration in a handful of sourcing regions, the structural resilience risk is best characterized as Medium.
</t>
    </r>
    <r>
      <rPr>
        <b/>
        <sz val="11"/>
        <color theme="1"/>
        <rFont val="Calibri"/>
        <family val="2"/>
        <scheme val="minor"/>
      </rPr>
      <t>Assumptions / gaps:</t>
    </r>
    <r>
      <rPr>
        <sz val="11"/>
        <color theme="1"/>
        <rFont val="Calibri"/>
        <family val="2"/>
        <scheme val="minor"/>
      </rPr>
      <t xml:space="preserve"> No lane-level data (origin→destination), no site-level mapping (ports/plants), and no “critical SKU” tagging. If the majority of the category is tied to one origin (e.g., palm from a single country), the rating would move toward High. 
</t>
    </r>
    <r>
      <rPr>
        <b/>
        <sz val="11"/>
        <color theme="1"/>
        <rFont val="Calibri"/>
        <family val="2"/>
        <scheme val="minor"/>
      </rPr>
      <t>Confidence: Medium.</t>
    </r>
  </si>
  <si>
    <r>
      <rPr>
        <b/>
        <sz val="11"/>
        <color theme="1"/>
        <rFont val="Calibri"/>
        <family val="2"/>
        <scheme val="minor"/>
      </rPr>
      <t xml:space="preserve">Role: </t>
    </r>
    <r>
      <rPr>
        <sz val="11"/>
        <color theme="1"/>
        <rFont val="Calibri"/>
        <family val="2"/>
        <scheme val="minor"/>
      </rPr>
      <t xml:space="preserve">Procurement risk analyst for [CATEGORY] regulatory exposure.
</t>
    </r>
    <r>
      <rPr>
        <b/>
        <sz val="11"/>
        <color theme="1"/>
        <rFont val="Calibri"/>
        <family val="2"/>
        <scheme val="minor"/>
      </rPr>
      <t>Goal</t>
    </r>
    <r>
      <rPr>
        <sz val="11"/>
        <color theme="1"/>
        <rFont val="Calibri"/>
        <family val="2"/>
        <scheme val="minor"/>
      </rPr>
      <t xml:space="preserve">: High/Medium/Low ratings for Volume and Price risk + Overall; show criteria and triggers with citations.
</t>
    </r>
    <r>
      <rPr>
        <b/>
        <sz val="11"/>
        <color theme="1"/>
        <rFont val="Calibri"/>
        <family val="2"/>
        <scheme val="minor"/>
      </rPr>
      <t xml:space="preserve">Hypothesis: </t>
    </r>
    <r>
      <rPr>
        <sz val="11"/>
        <color theme="1"/>
        <rFont val="Calibri"/>
        <family val="2"/>
        <scheme val="minor"/>
      </rPr>
      <t xml:space="preserve">Regulatory changes (export/import controls, sanctions, quotas, compliance requirements) increase risk.
</t>
    </r>
    <r>
      <rPr>
        <b/>
        <sz val="11"/>
        <color theme="1"/>
        <rFont val="Calibri"/>
        <family val="2"/>
        <scheme val="minor"/>
      </rPr>
      <t>Inputs</t>
    </r>
    <r>
      <rPr>
        <sz val="11"/>
        <color theme="1"/>
        <rFont val="Calibri"/>
        <family val="2"/>
        <scheme val="minor"/>
      </rPr>
      <t xml:space="preserve">: supplier footprint by country/region [LIST] and approximate weight by spend/volume [WEIGHTS if available], Top shipment lanes with approximate weightages
</t>
    </r>
    <r>
      <rPr>
        <b/>
        <sz val="11"/>
        <color theme="1"/>
        <rFont val="Calibri"/>
        <family val="2"/>
        <scheme val="minor"/>
      </rPr>
      <t>Flag criteria (print first, then apply):</t>
    </r>
    <r>
      <rPr>
        <sz val="11"/>
        <color theme="1"/>
        <rFont val="Calibri"/>
        <family val="2"/>
        <scheme val="minor"/>
      </rPr>
      <t xml:space="preserve">
- High risk if ANY TWO are true:
  A) Confirmed enacted or imminently effective rule affecting the category or lanes within ≤12 months
  B) Non-compliance creates shipment holds/market access loss OR licensing requirement added
  C) Estimated compliance cost impact &gt;3% of landed cost OR expected price pass-through &gt;3%
  D) High enforcement uncertainty (frequent changes, discretionary enforcement) with credible evidence
- Medium risk if:
  A) Proposed/draft rules likely within 12–24 months OR enforcement tightening
  AND cost impact estimated 1–3% or moderate admin burden
- Low risk if:
  A) No material changes expected and compliance path is stable
  AND cost impact &lt;1% with low volatility
</t>
    </r>
    <r>
      <rPr>
        <b/>
        <sz val="11"/>
        <color theme="1"/>
        <rFont val="Calibri"/>
        <family val="2"/>
        <scheme val="minor"/>
      </rPr>
      <t>Steps:</t>
    </r>
    <r>
      <rPr>
        <sz val="11"/>
        <color theme="1"/>
        <rFont val="Calibri"/>
        <family val="2"/>
        <scheme val="minor"/>
      </rPr>
      <t xml:space="preserve">
1) Identify relevant regulatory domains and affected lanes.
2) Research recent and upcoming changes (12–24 months) with citations.
3) Map each change to: (a) volume disruption likelihood, (b) cost impact range.
4) Provide mitigations (alternate origin, certifications, documentation readiness).
</t>
    </r>
    <r>
      <rPr>
        <b/>
        <sz val="11"/>
        <color theme="1"/>
        <rFont val="Calibri"/>
        <family val="2"/>
        <scheme val="minor"/>
      </rPr>
      <t>Output:</t>
    </r>
    <r>
      <rPr>
        <sz val="11"/>
        <color theme="1"/>
        <rFont val="Calibri"/>
        <family val="2"/>
        <scheme val="minor"/>
      </rPr>
      <t xml:space="preserve">
Summarise in 150 words the rating "High", "Medium" and "Low" with justification and key insights</t>
    </r>
  </si>
  <si>
    <r>
      <rPr>
        <b/>
        <sz val="11"/>
        <color theme="1"/>
        <rFont val="Calibri"/>
        <family val="2"/>
        <scheme val="minor"/>
      </rPr>
      <t>Rating:</t>
    </r>
    <r>
      <rPr>
        <sz val="11"/>
        <color theme="1"/>
        <rFont val="Calibri"/>
        <family val="2"/>
        <scheme val="minor"/>
      </rPr>
      <t xml:space="preserve"> Volume = Medium, Price = Medium, Overall = Medium.
</t>
    </r>
    <r>
      <rPr>
        <b/>
        <sz val="11"/>
        <color theme="1"/>
        <rFont val="Calibri"/>
        <family val="2"/>
        <scheme val="minor"/>
      </rPr>
      <t>Justification / insights:</t>
    </r>
    <r>
      <rPr>
        <sz val="11"/>
        <color theme="1"/>
        <rFont val="Calibri"/>
        <family val="2"/>
        <scheme val="minor"/>
      </rPr>
      <t xml:space="preserve"> Vegetable oils are increasingly exposed to sustainability, traceability, and import compliance expectations, plus episodic trade controls. These factors can create (a) volume friction (documentation holds, requalification) and (b) cost uplift (certification premiums, administrative burden, supplier pass-through). Even without specific current-event data, the category’s regulatory direction-of-travel typically supports a Medium flag—material enough to matter, not always disruptive enough to be “High” unless a major rule change is imminent for your key lanes.
</t>
    </r>
    <r>
      <rPr>
        <b/>
        <sz val="11"/>
        <color theme="1"/>
        <rFont val="Calibri"/>
        <family val="2"/>
        <scheme val="minor"/>
      </rPr>
      <t>Assumptions / gaps:</t>
    </r>
    <r>
      <rPr>
        <sz val="11"/>
        <color theme="1"/>
        <rFont val="Calibri"/>
        <family val="2"/>
        <scheme val="minor"/>
      </rPr>
      <t xml:space="preserve"> No compliance scope (e.g., RSPO/deforestation requirements), no destination market regulatory profile, no contract pass-through language.
</t>
    </r>
    <r>
      <rPr>
        <b/>
        <sz val="11"/>
        <color theme="1"/>
        <rFont val="Calibri"/>
        <family val="2"/>
        <scheme val="minor"/>
      </rPr>
      <t xml:space="preserve">Confidence: </t>
    </r>
    <r>
      <rPr>
        <sz val="11"/>
        <color theme="1"/>
        <rFont val="Calibri"/>
        <family val="2"/>
        <scheme val="minor"/>
      </rPr>
      <t>Low–Medium. Key insight: regulatory risk often concentrates in “certified” sub-spend.</t>
    </r>
  </si>
  <si>
    <r>
      <rPr>
        <b/>
        <sz val="11"/>
        <color theme="1"/>
        <rFont val="Calibri"/>
        <family val="2"/>
        <scheme val="minor"/>
      </rPr>
      <t>Role:</t>
    </r>
    <r>
      <rPr>
        <sz val="11"/>
        <color theme="1"/>
        <rFont val="Calibri"/>
        <family val="2"/>
        <scheme val="minor"/>
      </rPr>
      <t xml:space="preserve"> Supply continuity specialist for [CATEGORY].
</t>
    </r>
    <r>
      <rPr>
        <b/>
        <sz val="11"/>
        <color theme="1"/>
        <rFont val="Calibri"/>
        <family val="2"/>
        <scheme val="minor"/>
      </rPr>
      <t xml:space="preserve">
Goal: </t>
    </r>
    <r>
      <rPr>
        <sz val="11"/>
        <color theme="1"/>
        <rFont val="Calibri"/>
        <family val="2"/>
        <scheme val="minor"/>
      </rPr>
      <t xml:space="preserve">High/Medium/Low ratings for Volume and (if relevant) Price; show criteria and triggered thresholds with citations.
</t>
    </r>
    <r>
      <rPr>
        <b/>
        <sz val="11"/>
        <color theme="1"/>
        <rFont val="Calibri"/>
        <family val="2"/>
        <scheme val="minor"/>
      </rPr>
      <t>Hypothesis:</t>
    </r>
    <r>
      <rPr>
        <sz val="11"/>
        <color theme="1"/>
        <rFont val="Calibri"/>
        <family val="2"/>
        <scheme val="minor"/>
      </rPr>
      <t xml:space="preserve"> Significant climatic events (current or likely) in top supply regions increase supply and cost risk.
</t>
    </r>
    <r>
      <rPr>
        <b/>
        <sz val="11"/>
        <color theme="1"/>
        <rFont val="Calibri"/>
        <family val="2"/>
        <scheme val="minor"/>
      </rPr>
      <t>Inputs:</t>
    </r>
    <r>
      <rPr>
        <sz val="11"/>
        <color theme="1"/>
        <rFont val="Calibri"/>
        <family val="2"/>
        <scheme val="minor"/>
      </rPr>
      <t xml:space="preserve"> supplier footprint by country/region [LIST] and approximate weight by spend/volume [WEIGHTS if available], Top shipment lanes with approximate weightages
</t>
    </r>
    <r>
      <rPr>
        <b/>
        <sz val="11"/>
        <color theme="1"/>
        <rFont val="Calibri"/>
        <family val="2"/>
        <scheme val="minor"/>
      </rPr>
      <t>Flag criteria (print first, then apply):</t>
    </r>
    <r>
      <rPr>
        <sz val="11"/>
        <color theme="1"/>
        <rFont val="Calibri"/>
        <family val="2"/>
        <scheme val="minor"/>
      </rPr>
      <t xml:space="preserve">
- High risk if ANY TWO are true:
  A) Key supply regions show high hazard exposure (flood/heat/drought/storm) AND events are recurrent/seasonal
  B) ≥1 critical supplier site/port corridor is in high hazard zone with limited alternate routing
  C) Historical disruptions in the region have caused &gt;2 weeks lead-time shock or major capacity loss
- Medium risk if:
  A) Moderate hazard exposure OR concentrated seasonal exposure
  AND alternates exist with 4–12 weeks response
- Low risk if:
  A) Low hazard exposure and diversified nodes/routing
  OR climate hazards do not materially affect the category’s operations
</t>
    </r>
    <r>
      <rPr>
        <b/>
        <sz val="11"/>
        <color theme="1"/>
        <rFont val="Calibri"/>
        <family val="2"/>
        <scheme val="minor"/>
      </rPr>
      <t>Steps:</t>
    </r>
    <r>
      <rPr>
        <sz val="11"/>
        <color theme="1"/>
        <rFont val="Calibri"/>
        <family val="2"/>
        <scheme val="minor"/>
      </rPr>
      <t xml:space="preserve">
1) Compile credible climate/physical risk evidence per region (cite sources).
2) Identify vulnerable nodes and lanes.
3) Translate hazards into disruption probability and recovery time assumptions.
4) Rate Volume/Price risk and propose mitigations.
</t>
    </r>
    <r>
      <rPr>
        <b/>
        <sz val="11"/>
        <color theme="1"/>
        <rFont val="Calibri"/>
        <family val="2"/>
        <scheme val="minor"/>
      </rPr>
      <t>Output:</t>
    </r>
    <r>
      <rPr>
        <sz val="11"/>
        <color theme="1"/>
        <rFont val="Calibri"/>
        <family val="2"/>
        <scheme val="minor"/>
      </rPr>
      <t xml:space="preserve">
Summarise in 150 words the rating "High", "Medium" and "Low" with justification and key insights</t>
    </r>
  </si>
  <si>
    <r>
      <rPr>
        <b/>
        <sz val="11"/>
        <color theme="1"/>
        <rFont val="Calibri"/>
        <family val="2"/>
        <scheme val="minor"/>
      </rPr>
      <t xml:space="preserve">Rating: </t>
    </r>
    <r>
      <rPr>
        <sz val="11"/>
        <color theme="1"/>
        <rFont val="Calibri"/>
        <family val="2"/>
        <scheme val="minor"/>
      </rPr>
      <t xml:space="preserve">Volume = High, Price = High, Overall = High.
</t>
    </r>
    <r>
      <rPr>
        <b/>
        <sz val="11"/>
        <color theme="1"/>
        <rFont val="Calibri"/>
        <family val="2"/>
        <scheme val="minor"/>
      </rPr>
      <t>Justification / insights:</t>
    </r>
    <r>
      <rPr>
        <sz val="11"/>
        <color theme="1"/>
        <rFont val="Calibri"/>
        <family val="2"/>
        <scheme val="minor"/>
      </rPr>
      <t xml:space="preserve"> Vegetable oils are agri-commodity products with strong exposure to weather patterns (heat, drought, flooding), crop yields, and seasonal disruptions. Climate events can reduce upstream feedstock availability, disrupt processing, and constrain logistics—driving both supply interruption and sharp price moves. Even if the supplier footprint is diversified, correlated climate shocks across producing regions can create systemic tightness. Therefore, climate is a credible High risk proof point for vegetable oils.
</t>
    </r>
    <r>
      <rPr>
        <b/>
        <sz val="11"/>
        <color theme="1"/>
        <rFont val="Calibri"/>
        <family val="2"/>
        <scheme val="minor"/>
      </rPr>
      <t xml:space="preserve">Assumptions / gaps: </t>
    </r>
    <r>
      <rPr>
        <sz val="11"/>
        <color theme="1"/>
        <rFont val="Calibri"/>
        <family val="2"/>
        <scheme val="minor"/>
      </rPr>
      <t xml:space="preserve">No supplier site/port mapping and no seasonal sourcing calendar provided. 
</t>
    </r>
    <r>
      <rPr>
        <b/>
        <sz val="11"/>
        <color theme="1"/>
        <rFont val="Calibri"/>
        <family val="2"/>
        <scheme val="minor"/>
      </rPr>
      <t xml:space="preserve">Confidence: </t>
    </r>
    <r>
      <rPr>
        <sz val="11"/>
        <color theme="1"/>
        <rFont val="Calibri"/>
        <family val="2"/>
        <scheme val="minor"/>
      </rPr>
      <t>Medium. Mitigation insight: diversification by oil type (palm/soy/sunflower/rapeseed) and inventory buffers often matter as much as supplier count.</t>
    </r>
  </si>
  <si>
    <r>
      <rPr>
        <b/>
        <sz val="11"/>
        <color theme="1"/>
        <rFont val="Calibri"/>
        <family val="2"/>
        <scheme val="minor"/>
      </rPr>
      <t>Role:</t>
    </r>
    <r>
      <rPr>
        <sz val="11"/>
        <color theme="1"/>
        <rFont val="Calibri"/>
        <family val="2"/>
        <scheme val="minor"/>
      </rPr>
      <t xml:space="preserve"> Geopolitical and logistics risk analyst for [CATEGORY].
</t>
    </r>
    <r>
      <rPr>
        <b/>
        <sz val="11"/>
        <color theme="1"/>
        <rFont val="Calibri"/>
        <family val="2"/>
        <scheme val="minor"/>
      </rPr>
      <t>Goal:</t>
    </r>
    <r>
      <rPr>
        <sz val="11"/>
        <color theme="1"/>
        <rFont val="Calibri"/>
        <family val="2"/>
        <scheme val="minor"/>
      </rPr>
      <t xml:space="preserve"> High/Medium/Low Volume risk rating (primary) + Price risk if insurance/freight premiums are significant. Show criteria and triggers with citations.
</t>
    </r>
    <r>
      <rPr>
        <b/>
        <sz val="11"/>
        <color theme="1"/>
        <rFont val="Calibri"/>
        <family val="2"/>
        <scheme val="minor"/>
      </rPr>
      <t>Hypothesis:</t>
    </r>
    <r>
      <rPr>
        <sz val="11"/>
        <color theme="1"/>
        <rFont val="Calibri"/>
        <family val="2"/>
        <scheme val="minor"/>
      </rPr>
      <t xml:space="preserve"> Instability/conflict/piracy/organized crime increase risk to supplies via degraded security infrastructure.
</t>
    </r>
    <r>
      <rPr>
        <b/>
        <sz val="11"/>
        <color theme="1"/>
        <rFont val="Calibri"/>
        <family val="2"/>
        <scheme val="minor"/>
      </rPr>
      <t xml:space="preserve">Inputs: </t>
    </r>
    <r>
      <rPr>
        <sz val="11"/>
        <color theme="1"/>
        <rFont val="Calibri"/>
        <family val="2"/>
        <scheme val="minor"/>
      </rPr>
      <t xml:space="preserve">supplier footprint by country/region [LIST] and approximate weight by spend/volume [WEIGHTS if available], Top shipment lanes with approximate weightages
</t>
    </r>
    <r>
      <rPr>
        <b/>
        <sz val="11"/>
        <color theme="1"/>
        <rFont val="Calibri"/>
        <family val="2"/>
        <scheme val="minor"/>
      </rPr>
      <t>Flag criteria (print first, then apply):</t>
    </r>
    <r>
      <rPr>
        <sz val="11"/>
        <color theme="1"/>
        <rFont val="Calibri"/>
        <family val="2"/>
        <scheme val="minor"/>
      </rPr>
      <t xml:space="preserve">
- High risk if ANY TWO are true:
  A) Active conflict or severe instability in key sourcing region OR major lane chokepoint affected
  B) Credible advisories show increased incident rates (piracy, sabotage, border closures) impacting lanes
  C) Observable logistics impact: rerouting, port closures, large insurance surcharges, or persistent delays
- Medium risk if:
  A) Elevated but not acute instability OR localized incidents
  AND workarounds exist with moderate delay/cost
- Low risk if:
  A) Stable security environment and no meaningful advisories affecting lanes
</t>
    </r>
    <r>
      <rPr>
        <b/>
        <sz val="11"/>
        <color theme="1"/>
        <rFont val="Calibri"/>
        <family val="2"/>
        <scheme val="minor"/>
      </rPr>
      <t>Steps:</t>
    </r>
    <r>
      <rPr>
        <sz val="11"/>
        <color theme="1"/>
        <rFont val="Calibri"/>
        <family val="2"/>
        <scheme val="minor"/>
      </rPr>
      <t xml:space="preserve">
1) Map lanes and chokepoints.
2) Research security conditions and advisories (cite sources).
3) Translate to disruption scenarios, lead-time variance, and cost premiums.
4) Rate risk and recommend mitigations.
</t>
    </r>
    <r>
      <rPr>
        <b/>
        <sz val="11"/>
        <color theme="1"/>
        <rFont val="Calibri"/>
        <family val="2"/>
        <scheme val="minor"/>
      </rPr>
      <t>Output:</t>
    </r>
    <r>
      <rPr>
        <sz val="11"/>
        <color theme="1"/>
        <rFont val="Calibri"/>
        <family val="2"/>
        <scheme val="minor"/>
      </rPr>
      <t xml:space="preserve">
Summarise in 150 words the rating "High", "Medium" and "Low" with justification and key insights</t>
    </r>
  </si>
  <si>
    <r>
      <rPr>
        <b/>
        <sz val="11"/>
        <color theme="1"/>
        <rFont val="Calibri"/>
        <family val="2"/>
        <scheme val="minor"/>
      </rPr>
      <t>Rating:</t>
    </r>
    <r>
      <rPr>
        <sz val="11"/>
        <color theme="1"/>
        <rFont val="Calibri"/>
        <family val="2"/>
        <scheme val="minor"/>
      </rPr>
      <t xml:space="preserve"> Volume = Medium, Overall = Medium.
</t>
    </r>
    <r>
      <rPr>
        <b/>
        <sz val="11"/>
        <color theme="1"/>
        <rFont val="Calibri"/>
        <family val="2"/>
        <scheme val="minor"/>
      </rPr>
      <t>Justification / insights:</t>
    </r>
    <r>
      <rPr>
        <sz val="11"/>
        <color theme="1"/>
        <rFont val="Calibri"/>
        <family val="2"/>
        <scheme val="minor"/>
      </rPr>
      <t xml:space="preserve"> For vegetable oils, the most realistic security-related risks are usually lane disruptions (maritime incidents, chokepoints, localized unrest affecting ports/transport) rather than direct armed conflict at production sites. Given the sample’s multi-country sourcing footprint, the category is not “single-point-of-failure” from a security standpoint, but it remains exposed to shipping reliability and episodic disruptions. This supports a Medium resilience risk rating
.
</t>
    </r>
    <r>
      <rPr>
        <b/>
        <sz val="11"/>
        <color theme="1"/>
        <rFont val="Calibri"/>
        <family val="2"/>
        <scheme val="minor"/>
      </rPr>
      <t>Assumptions / gaps:</t>
    </r>
    <r>
      <rPr>
        <sz val="11"/>
        <color theme="1"/>
        <rFont val="Calibri"/>
        <family val="2"/>
        <scheme val="minor"/>
      </rPr>
      <t xml:space="preserve"> No lane-level mapping (key ports, transit routes), no insurance/freight premium history, and no incident trend data. 
</t>
    </r>
    <r>
      <rPr>
        <b/>
        <sz val="11"/>
        <color theme="1"/>
        <rFont val="Calibri"/>
        <family val="2"/>
        <scheme val="minor"/>
      </rPr>
      <t xml:space="preserve">
Confidence:</t>
    </r>
    <r>
      <rPr>
        <sz val="11"/>
        <color theme="1"/>
        <rFont val="Calibri"/>
        <family val="2"/>
        <scheme val="minor"/>
      </rPr>
      <t xml:space="preserve"> Low–Medium. Practical insight: a small number of critical lanes can drive risk even when supplier count is high.</t>
    </r>
  </si>
  <si>
    <r>
      <rPr>
        <b/>
        <sz val="11"/>
        <color theme="1"/>
        <rFont val="Calibri"/>
        <family val="2"/>
        <scheme val="minor"/>
      </rPr>
      <t>Role:</t>
    </r>
    <r>
      <rPr>
        <sz val="11"/>
        <color theme="1"/>
        <rFont val="Calibri"/>
        <family val="2"/>
        <scheme val="minor"/>
      </rPr>
      <t xml:space="preserve"> Supply chain risk consultant for [CATEGORY].
</t>
    </r>
    <r>
      <rPr>
        <b/>
        <sz val="11"/>
        <color theme="1"/>
        <rFont val="Calibri"/>
        <family val="2"/>
        <scheme val="minor"/>
      </rPr>
      <t xml:space="preserve">Goal: </t>
    </r>
    <r>
      <rPr>
        <sz val="11"/>
        <color theme="1"/>
        <rFont val="Calibri"/>
        <family val="2"/>
        <scheme val="minor"/>
      </rPr>
      <t>High/Medium/Low Volume risk rating; include Price risk if logistics costs materially affect delivered cost. Show criteria, triggers, and citations.</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 xml:space="preserve">Hypothesis: </t>
    </r>
    <r>
      <rPr>
        <sz val="11"/>
        <color theme="1"/>
        <rFont val="Calibri"/>
        <family val="2"/>
        <scheme val="minor"/>
      </rPr>
      <t xml:space="preserve">Poor reliability of transport/ports/utilities/digital infrastructure increases supply risk.
</t>
    </r>
    <r>
      <rPr>
        <b/>
        <sz val="11"/>
        <color theme="1"/>
        <rFont val="Calibri"/>
        <family val="2"/>
        <scheme val="minor"/>
      </rPr>
      <t xml:space="preserve">
Inputs: </t>
    </r>
    <r>
      <rPr>
        <sz val="11"/>
        <color theme="1"/>
        <rFont val="Calibri"/>
        <family val="2"/>
        <scheme val="minor"/>
      </rPr>
      <t xml:space="preserve">supplier footprint by country/region [LIST] and approximate weight by spend/volume [WEIGHTS if available], Top shipment lanes with approximate weightages
</t>
    </r>
    <r>
      <rPr>
        <b/>
        <sz val="11"/>
        <color theme="1"/>
        <rFont val="Calibri"/>
        <family val="2"/>
        <scheme val="minor"/>
      </rPr>
      <t>Flag criteria (print first, then apply):</t>
    </r>
    <r>
      <rPr>
        <sz val="11"/>
        <color theme="1"/>
        <rFont val="Calibri"/>
        <family val="2"/>
        <scheme val="minor"/>
      </rPr>
      <t xml:space="preserve">
- High risk if ANY TWO are true:
  A) Persistent port congestion/low reliability on key lanes (evidence-based)
  B) Frequent power/utility disruptions affecting manufacturing continuity
  C) Limited alternative ports/modes and lead-time variance is high
- Medium risk if:
  A) Some congestion/utility issues but manageable with alternates and buffers
- Low risk if:
  A) Strong reliability and multiple routing/port options
</t>
    </r>
    <r>
      <rPr>
        <b/>
        <sz val="11"/>
        <color theme="1"/>
        <rFont val="Calibri"/>
        <family val="2"/>
        <scheme val="minor"/>
      </rPr>
      <t>Steps:</t>
    </r>
    <r>
      <rPr>
        <sz val="11"/>
        <color theme="1"/>
        <rFont val="Calibri"/>
        <family val="2"/>
        <scheme val="minor"/>
      </rPr>
      <t xml:space="preserve">
1) Gather infrastructure/logistics reliability indicators and recent performance evidence (cite sources).
2) Map to your category’s needs (time sensitivity, special handling).
3) Identify alternate routing and resilience levers.
4) Assign ratings and mitigations.
</t>
    </r>
    <r>
      <rPr>
        <b/>
        <sz val="11"/>
        <color theme="1"/>
        <rFont val="Calibri"/>
        <family val="2"/>
        <scheme val="minor"/>
      </rPr>
      <t xml:space="preserve">Output:
</t>
    </r>
    <r>
      <rPr>
        <sz val="11"/>
        <color theme="1"/>
        <rFont val="Calibri"/>
        <family val="2"/>
        <scheme val="minor"/>
      </rPr>
      <t>Summarise in 150 words the rating "High", "Medium" and "Low" with justification and key insights</t>
    </r>
  </si>
  <si>
    <r>
      <rPr>
        <b/>
        <sz val="11"/>
        <color theme="1"/>
        <rFont val="Calibri"/>
        <family val="2"/>
        <scheme val="minor"/>
      </rPr>
      <t xml:space="preserve">Rating: </t>
    </r>
    <r>
      <rPr>
        <sz val="11"/>
        <color theme="1"/>
        <rFont val="Calibri"/>
        <family val="2"/>
        <scheme val="minor"/>
      </rPr>
      <t xml:space="preserve">Volume = Medium, Overall = Medium.
</t>
    </r>
    <r>
      <rPr>
        <b/>
        <sz val="11"/>
        <color theme="1"/>
        <rFont val="Calibri"/>
        <family val="2"/>
        <scheme val="minor"/>
      </rPr>
      <t>Justification / insights:</t>
    </r>
    <r>
      <rPr>
        <sz val="11"/>
        <color theme="1"/>
        <rFont val="Calibri"/>
        <family val="2"/>
        <scheme val="minor"/>
      </rPr>
      <t xml:space="preserve"> Vegetable oils move through bulk logistics (tankers, flexitanks, port terminals) where infrastructure reliability and port performance are material. The sample suggests cross-country sourcing, which can reduce reliance on a single infrastructure node; however, oils are sensitive to storage/handling constraints and port congestion, which can cause lead-time volatility and short-term availability issues. With incomplete lane detail, a prudent output is Medium for resilience.
</t>
    </r>
    <r>
      <rPr>
        <b/>
        <sz val="11"/>
        <color theme="1"/>
        <rFont val="Calibri"/>
        <family val="2"/>
        <scheme val="minor"/>
      </rPr>
      <t>Assumptions / gaps:</t>
    </r>
    <r>
      <rPr>
        <sz val="11"/>
        <color theme="1"/>
        <rFont val="Calibri"/>
        <family val="2"/>
        <scheme val="minor"/>
      </rPr>
      <t xml:space="preserve"> No port/terminal dependency map, no carrier constraints, no lead-time distribution. 
</t>
    </r>
    <r>
      <rPr>
        <b/>
        <sz val="11"/>
        <color theme="1"/>
        <rFont val="Calibri"/>
        <family val="2"/>
        <scheme val="minor"/>
      </rPr>
      <t xml:space="preserve">Confidence: </t>
    </r>
    <r>
      <rPr>
        <sz val="11"/>
        <color theme="1"/>
        <rFont val="Calibri"/>
        <family val="2"/>
        <scheme val="minor"/>
      </rPr>
      <t>Low–Medium. Key insight: logistics risk often shows up as variance, not total failure—so buffers and multi-port routing are practical mitigations.</t>
    </r>
  </si>
  <si>
    <t>Example 1</t>
  </si>
  <si>
    <t>Example 2</t>
  </si>
  <si>
    <t>Code</t>
  </si>
  <si>
    <t>Desc</t>
  </si>
  <si>
    <t>price</t>
  </si>
  <si>
    <t>RBO</t>
  </si>
  <si>
    <t>RBO - spec 1</t>
  </si>
  <si>
    <t>RBO - spec 2</t>
  </si>
  <si>
    <t>RBO - spec 3</t>
  </si>
  <si>
    <t>#</t>
  </si>
  <si>
    <t>Key inputs</t>
  </si>
  <si>
    <t>Direction provided in prompts</t>
  </si>
  <si>
    <t>Outputs</t>
  </si>
  <si>
    <t>Step 1</t>
  </si>
  <si>
    <t>1. Consider the combined context of 'Standard initiative' + 'Proof point' + 'Prompt to contextualize….'
2. Use the directions in 'Prompt to contextualize….' to execute analysis
3. Describe what you found, structure this in terms of 'Inisghts' and potential 'Actions'</t>
  </si>
  <si>
    <t>Insights: Supplier base: 87 vendors; Top-1 share 8.6%; HHI ≈ 344 → fragmented. Leverage via bundled bids and two-tiering is feasible. Actions: Set minimum 2 qualified suppliers per critical SKU/region; design dual-source splits (60/40) with quarterly price review and volume swing clauses.</t>
  </si>
  <si>
    <t>Step 2</t>
  </si>
  <si>
    <t>1. Consider the combined context of Insights/actions generated in previous step + initiative
2. Evaluate whether the insight shows evidence for savings
3. Assign a flag - high/medium/low</t>
  </si>
  <si>
    <t>- Impact flag for each proof point -&gt; high/medium/low
- Flag is converted into an intermediate number for each proof point</t>
  </si>
  <si>
    <t>Step 3</t>
  </si>
  <si>
    <t xml:space="preserve">1. Look at a specific initiative
2. Summarize all the insights generated in Step 1A
3. Structure in the form of : 
- What isnights did I find?
- Why is there a savings opportunity?
- What should you do next?
- Potential risks involved </t>
  </si>
  <si>
    <t>Calculate 'risk theme' level scores based on proo point weightages</t>
  </si>
  <si>
    <t>Step 4</t>
  </si>
  <si>
    <t>Calculate category level risk score based on 'Risk them' weightages</t>
  </si>
  <si>
    <t>Step 5</t>
  </si>
  <si>
    <r>
      <rPr>
        <b/>
        <sz val="11"/>
        <color rgb="FFC00000"/>
        <rFont val="Calibri"/>
        <family val="2"/>
        <scheme val="minor"/>
      </rPr>
      <t xml:space="preserve">Contextualize overall risk mitigation initiative </t>
    </r>
    <r>
      <rPr>
        <sz val="11"/>
        <color rgb="FFC00000"/>
        <rFont val="Calibri"/>
        <family val="2"/>
        <scheme val="minor"/>
      </rPr>
      <t xml:space="preserve">
Why: 
Around 70% of vegetable oil spend is concentrated with the top three suppliers—SHIVAGANGA, SIDDAGANGA, and SAKLECHA—posing significant supply risk beyond industry best practice limits.
What: 
Diversify the supplier base by developing secondary and backup suppliers to reduce overreliance and enhance sourcing flexibility.
How:
Qualify and integrate mid-tier suppliers like M/S ABHAY SOLVENTS and UNIVERSAL AGRO FOOD INDUSTRIES to build resilience and drive competitive tension.
Rebalance spend across primary and secondary tiers to align with industry benchmarks.
Position the procurement function for long-term stability by embedding supplier diversification into risk management and continuity planning frameworks.</t>
    </r>
  </si>
  <si>
    <t>Risk Factor</t>
  </si>
  <si>
    <t>Definition</t>
  </si>
  <si>
    <t>Data Source</t>
  </si>
  <si>
    <t>Mapped proof points</t>
  </si>
  <si>
    <t>Proof point weightage to contetxualize risks within value initiatives</t>
  </si>
  <si>
    <t>Normalization Method for AI 
(1–5 scale)</t>
  </si>
  <si>
    <t>AI generated insight</t>
  </si>
  <si>
    <t>Degree of Risk</t>
  </si>
  <si>
    <t>Degree of risk (for each Risk factor)</t>
  </si>
  <si>
    <t>Risk Weight (illustrative - to be defined at category level based on category nuance)</t>
  </si>
  <si>
    <t>Final Category Level Score</t>
  </si>
  <si>
    <t>Rationale</t>
  </si>
  <si>
    <t>Likelihood of supplier insolvency or financial distress</t>
  </si>
  <si>
    <t>D&amp;B</t>
  </si>
  <si>
    <t xml:space="preserve">1.Supplier Risk Rating </t>
  </si>
  <si>
    <t>1. Extract and map external score ranges (e.g., 1–100) against listed suppliers
2. Weigted average by spend across suppliers for the cateogory
3. Divide it by 20 to bring it to a 0-5 scale</t>
  </si>
  <si>
    <t>Divide the normalized score by 5 to get the degree of risk</t>
  </si>
  <si>
    <t>Degree of Risk x Risk Weight</t>
  </si>
  <si>
    <t>Most immediate and hard-to-mitigate; directly threatens continuity</t>
  </si>
  <si>
    <t>Exposure to country-level instability, sanctions, political risk</t>
  </si>
  <si>
    <t>World Bank, EIU Etc.</t>
  </si>
  <si>
    <t>1. Geopolitical Risk</t>
  </si>
  <si>
    <t>Impact x Normalized Score/ 55</t>
  </si>
  <si>
    <t>Captures systemic country risks that can hit multiple suppliers simultaneously</t>
  </si>
  <si>
    <t>2. Supplier Location</t>
  </si>
  <si>
    <t>Beroe Intelligence</t>
  </si>
  <si>
    <t>3. Export/Import Data</t>
  </si>
  <si>
    <t>Use Export/import data to identify major locations of suppliers (in case this is not available within the client datasets)</t>
  </si>
  <si>
    <t>Dependency on limited number of suppliers</t>
  </si>
  <si>
    <t>Internal spend data</t>
  </si>
  <si>
    <t xml:space="preserve">1. Single Sourcing / Supplier Dependency Risk
</t>
  </si>
  <si>
    <t xml:space="preserve">0.7
</t>
  </si>
  <si>
    <r>
      <t xml:space="preserve">For 1: 
</t>
    </r>
    <r>
      <rPr>
        <sz val="11"/>
        <color theme="1"/>
        <rFont val="Calibri"/>
        <family val="2"/>
        <scheme val="minor"/>
      </rPr>
      <t xml:space="preserve">-  &gt;20% supplier contribute to top 80% of spend - 0
- 15-20% supplier contribute to top 80% of spend - 1
- 10-15% supplier contribute to top 80% of spend - 2
- 8-10% supplier contribute to top 80% of spend - 3
- 5-8% supplier contribute to top 80% of spend - 4
- &lt;5% or &lt;=2 supplier contribute to top 80% of spend - 5
</t>
    </r>
    <r>
      <rPr>
        <b/>
        <sz val="11"/>
        <color theme="1"/>
        <rFont val="Calibri"/>
        <family val="2"/>
        <scheme val="minor"/>
      </rPr>
      <t xml:space="preserve">For 2: 
</t>
    </r>
    <r>
      <rPr>
        <sz val="11"/>
        <color theme="1"/>
        <rFont val="Calibri"/>
        <family val="2"/>
        <scheme val="minor"/>
      </rPr>
      <t>1</t>
    </r>
    <r>
      <rPr>
        <b/>
        <sz val="11"/>
        <color theme="1"/>
        <rFont val="Calibri"/>
        <family val="2"/>
        <scheme val="minor"/>
      </rPr>
      <t xml:space="preserve">. </t>
    </r>
    <r>
      <rPr>
        <sz val="11"/>
        <color theme="1"/>
        <rFont val="Calibri"/>
        <family val="2"/>
        <scheme val="minor"/>
      </rPr>
      <t>Extract and map external score ranges (e.g., 1–4) 
2. Multiply score by 1.25 to bring to a 5 point scale</t>
    </r>
  </si>
  <si>
    <t>Impact x Normalized Score/ 30</t>
  </si>
  <si>
    <t>Lack of alternatives drives both continuity and pricing risk</t>
  </si>
  <si>
    <t>2. Market consolidation</t>
  </si>
  <si>
    <t>Leverage Beroe's market consolidation indicator to bring-in qualitative context of supplier consolidation trends seen across the client's major supply regions</t>
  </si>
  <si>
    <t>Category cost volatility due to raw material / commodity markets</t>
  </si>
  <si>
    <t xml:space="preserve">1. Price Variance for identical SKUs
</t>
  </si>
  <si>
    <t>- Identical pricing across all suppliers for identical SKUs (0-1% variance) - 0
- Minor price differences (2-5% variance) - 1
- Noticeable price gaps (5-10% variance) - 2
- Significant price disparities (10-20% variance) - 3
- Large price variations (20-35% variance) - 4 
- Extreme price inconsistencies (&gt;35% variance) - 5</t>
  </si>
  <si>
    <t>Impact x Normalized Score/ 95</t>
  </si>
  <si>
    <t>Impacts cost predictability; hedgeable but still critical for budgeting</t>
  </si>
  <si>
    <t>Commodity indices, market feeds</t>
  </si>
  <si>
    <t>2. Net Supply</t>
  </si>
  <si>
    <t>Allocate score to each region, and calculate weighted overall avg using spend of the region as the weight: 
- Declining supplies, market contraction - 0
- Slow supply growth (&lt;3% annually) - 1
- Moderate supply growth (3-7% annually) - 2
- Strong supply growth (7-15% annually) - 3
- Rapid supply surge (15-25% annually) - 4
- Explosive supply growth (&gt;25% annually) - 5</t>
  </si>
  <si>
    <t>3. Net Capacity</t>
  </si>
  <si>
    <t>Map current utilized capacities against top suppliers (contributing to 80% of total spend), allocate score to each supplier and calculate weighted overall avg using spend as the weight: 
- Substantial excess capacity (&gt;20% unused) - 0
- Moderate excess capacity (10-20% unused) - 1
- Balanced capacity utilization (85-90%) - 2
- High capacity utilization (90-95%) - 3
- Near-maximum capacity (95-98%) - 4
- Capacity fully utilized or exceeded (&gt;98%) - 5</t>
  </si>
  <si>
    <t>4. Net Demand</t>
  </si>
  <si>
    <t>Allocate score to each region, and calculate weighted overall avg using spend of the region as the weight: 
- Declining/stable demand, market contraction - 0
- Slow demand growth (&lt;3% annually) - 1
- Moderate demand growth (3-7% annually) - 2
- Strong demand growth (7-15% annually) - 3
- Rapid demand surge (15-25% annually) - 4
- Explosive demand growth (&gt;25% annually) - 5</t>
  </si>
  <si>
    <t>5. Tariff Rate</t>
  </si>
  <si>
    <t>Allocate score to each region, and calculate weighted overall avg using spend of the region as the weight: 
- No tariffs or tariff reductions expected - 0
- Low, stable tariffs (&lt;5%) with no change expected - 1
- Moderate tariffs (5-15%) with minor adjustment risk - 2
- Significant tariffs (15-25%) with change possibility - 3
- High tariffs (25-40%) with escalation risk - 4
- Punitive tariffs (&gt;40%) or trade war conditions - 5</t>
  </si>
  <si>
    <t>6. Other Trade Rate</t>
  </si>
  <si>
    <t>Allocate score to each region, and calculate weighted overall avg using spend of the region as the weight: 
- Minimal trade barriers, free trade agreements - 0
- Low additional duties (&lt;3%) - 1
- Moderate duties and fees (3-8%) - 2
- Significant trade costs (8-15%) - 3
- High trade barriers (15-25%) - 4
- Prohibitive trade restrictions (&gt;25%) or sanctions - 5</t>
  </si>
  <si>
    <t>7. Cost Structure</t>
  </si>
  <si>
    <t>Use region-specific cost structures and underlying cost drivers as an input for identifying cost driver trends</t>
  </si>
  <si>
    <t>8. Inflation</t>
  </si>
  <si>
    <t>Allocate score to each region, and calculate weighted overall avg using spend of the region as the weight: 
- Deflation or very low inflation (&lt;1%) - 0
- Low inflation (1-3%) - 1
- Moderate inflation (3-5%) - 2
- Elevated inflation (5-8%) - 3
- High inflation (8-15%) - 4
- Hyperinflation or extreme conditions (&gt;15%) - 5</t>
  </si>
  <si>
    <t>9. Unit Price</t>
  </si>
  <si>
    <t>10. GDP</t>
  </si>
  <si>
    <t>Allocate score to each country, and calculate weighted overall avg using spend of the country as the weight: 
- Economic recession or contraction - 0
- Slow economic recovery (0-2% growth) - 1
- Steady economic growth (2-4%) - 2
- Strong economic expansion (4-6%) - 3
- Rapid economic growth (6-8%) - 4
- Economic overheating or bubble conditions (&gt;8%) - 5</t>
  </si>
  <si>
    <t>11. Market Growth Rate</t>
  </si>
  <si>
    <t>Allocate score to each region, and calculate weighted overall avg using spend of the region as the weight: 
- Market decline or stagnation - 0
- Slow market growth (0-3%) - 1
- Steady market expansion (3-7%) - 2
- Strong market growth (7-15%) - 3
- Rapid market development (15-25%) - 4
- Explosive market growth (&gt;25%) - 5</t>
  </si>
  <si>
    <t>12. Exchange Rate</t>
  </si>
  <si>
    <t>Allocate score to each country, and calculate weighted overall avg using spend of the country as the weight:
- Very stable currencies, minimal fluctuation (&lt;2%) - 0
- Low volatility (2-5% annual range) - 1
- Moderate currency movements (5-10% range) - 2
- Significant exchange rate volatility (10-20% range) - 3
- High currency instability (20-30% range) - 4
- Extreme currency volatility (&gt;30% range) or currency crisis - 5</t>
  </si>
  <si>
    <t>13. Import/Export Data</t>
  </si>
  <si>
    <t>Allocate score to each region, and calculate weighted overall avg using spend of the region as the weight: 
- Stable, diversified trade flows - 0
- Minor trade flow variations - 1
- Some trade pattern shifts - 2
- Significant trade flow changes - 3
- Major trade disruptions or dependencies - 4
- Trade flow crisis or severe restrictions - 5</t>
  </si>
  <si>
    <t>Total Risk</t>
  </si>
  <si>
    <t>Weighted average of individual risk factors</t>
  </si>
  <si>
    <t>Summation of all risks - Total Risk</t>
  </si>
  <si>
    <t>1. % spend with top supplier OR HHI → threshold-based scale (e.g., &gt;70% = 5)</t>
  </si>
  <si>
    <t>Value driving inisghts</t>
  </si>
  <si>
    <t>Potential risks</t>
  </si>
  <si>
    <t>Risk driver impact flag</t>
  </si>
  <si>
    <t>Answer</t>
  </si>
  <si>
    <t>key</t>
  </si>
  <si>
    <t>Significant external volatility or concentration risks directly threaten savings potential.</t>
  </si>
  <si>
    <t>Financial or geopolitical risks can severely disrupt initiative outcomes.</t>
  </si>
  <si>
    <t>Supplier-related risks pose moderate threats depending on diversification and controls.</t>
  </si>
  <si>
    <t>Risks are limited or manageable, with low impact on savings potential.</t>
  </si>
  <si>
    <t>Sonnet 4</t>
  </si>
  <si>
    <t>GPT 5</t>
  </si>
  <si>
    <t>Proof-point</t>
  </si>
  <si>
    <t>Proof point insights</t>
  </si>
  <si>
    <t>Impact flag</t>
  </si>
  <si>
    <t>Rationale for impact flag</t>
  </si>
  <si>
    <t>Ã¢â‚¬Â¢ **Prioritize Malaysia-centric consolidation strategy**: With &gt;95% spend concentrated in Malaysian plants (PH06, SHJ2), focus volume bundling efforts on consolidating multiple suppliers like SHIVAGANGA FOOD OIL EXTRACTIONS, SIDDAGANGA OIL &amp; BIO INDUSTRIES, and SAKLECHA SOLVENTEX across both ricebran and sunflower oil categories.
Ã¢â‚¬Â¢ **Leverage multi-supplier SKU opportunities**: Raw ricebran oil (Material 102038) shows procurement from 8+ different suppliers with similar specifications, creating immediate bundling potential to negotiate better pricing through volume concentration.
Ã¢â‚¬Â¢ **Future market dynamics favor consolidation**: Rising commodity price volatility and supply chain disruptions are driving suppliers to prefer larger, committed volume relationships, making bundling strategies more effective in securing preferential pricing and supply continuity.</t>
  </si>
  <si>
    <t>Very high geographic concentration means any bundling decision immediately affects most spend and therefore has large, quantifiable savings potential.</t>
  </si>
  <si>
    <t>Strong indicators of savings potential â€” (mentions ~95% impact; signals like consolidat; counterpoints: na) â€” based on proof point: "Regional Spend Addressability" â€” and initiative: "1"</t>
  </si>
  <si>
    <t>Same as above</t>
  </si>
  <si>
    <t>Ã¢â‚¬Â¢ **Address tail supplier fragmentation**: Analysis shows &gt;75% of unique suppliers (including RAICHUR SOLVENTS, smaller regional processors) contribute to bottom 20% of spend, creating administrative burden and limiting negotiation leverage.
Ã¢â‚¬Â¢ **Consolidate smaller volume suppliers**: Multiple suppliers like UNIVERSAL AGRO FOOD INDUSTRIES, N.K.PROTEINS LIMITED show sporadic, small-volume transactions that can be consolidated into preferred supplier relationships or eliminated entirely.
Ã¢â‚¬Â¢ **Future procurement digitization trends**: Industry shift toward supplier relationship management platforms and automated procurement processes will favor organizations with streamlined supplier portfolios, making tail spend consolidation essential for operational efficiency and cost competitiveness.</t>
  </si>
  <si>
    <t>Clear evidence of heavy tail fragmentation points to double-digit admin and price-lever savings once suppliers are rationalised.</t>
  </si>
  <si>
    <t>Strong indicators of savings potential â€” (mentions ~75% impact; signals like supplier fragmentation, fragmentation, tail spend, consolidat; counterpoints: na, limited) â€” based on proof point: "Tail Spend Consolidation Opportunity - Volume &amp; Administrative Savings" â€” and initiative: "1"</t>
  </si>
  <si>
    <t>Ã¢â‚¬Â¢ **Consolidate identical ricebran oil sourcing**: Raw ricebran oil (Material 102038) is procured from 10+ suppliers including SHIVAGANGA FOOD OIL EXTRACTIONS, SIDDAGANGA OIL &amp; BIO INDUSTRIES, SAKLECHA SOLVENTEX - all providing identical specifications, creating consolidation opportunities.
Ã¢â‚¬Â¢ **Leverage cross-oil-type negotiations**: Suppliers like UNIVERSAL AGRO FOOD INDUSTRIES serve both ricebran and sunflower oil categories, enabling bundled negotiations across vegetable oil types for volume discounts.
Ã¢â‚¬Â¢ **Future supply chain consolidation**: Industry trend toward fewer, strategic supplier partnerships driven by sustainability requirements and supply chain resilience needs will reward early movers who proactively consolidate volumes with capable, multi-category suppliers.</t>
  </si>
  <si>
    <t>Large volume spread across many interchangeable suppliers ⇒ strong leverage once volumes are consolidated.</t>
  </si>
  <si>
    <t>Strong indicators of savings potential â€” (signals like discount, consolidat; counterpoints: na) â€” based on proof point: "Volume Leverage from Fragmented Category Spend" â€” and initiative: "1"</t>
  </si>
  <si>
    <t>No price-variance data yet; without demonstrable variance, quick-win impact is limited.</t>
  </si>
  <si>
    <t>Mixed indicators pointing to some savings potential â€” (signals like price variance, consolidat; counterpoints: na; answer text is very brief) â€” based on proof point: "Price Variance for Identical Items/SKUs" â€” and initiative: "1"</t>
  </si>
  <si>
    <t>Ã¢â‚¬Â¢ **Optimize supplier portfolio efficiency**: Current average spend per supplier appears below industry median for food ingredient procurement, indicating potential over-fragmentation in supplier base management.
Ã¢â‚¬Â¢ **Focus on strategic supplier relationships**: Top suppliers like SHIVAGANGA and SIDDAGANGA represent higher-value partnerships that align with industry best practices for concentrated strategic sourcing relationships.
Ã¢â‚¬Â¢ **Future procurement digitization demands**: Industry evolution toward integrated supplier ecosystems and automated procurement platforms will favor organizations with optimized supplier portfolios, making current consolidation efforts essential for maintaining competitive procurement operations and reducing administrative overhead costs.</t>
  </si>
  <si>
    <t>Fragmentation is confirmed but not extreme; consolidation will help, yet upside smaller than rows 1-3.</t>
  </si>
  <si>
    <t>Mixed indicators pointing to some savings potential â€” (signals like fragmentation, consolidat; counterpoints: na) â€” based on proof point: "Average Spend per Supplier vs. Industry Benchmarks/Internal Targets" â€” and initiative: "1"</t>
  </si>
  <si>
    <t>Ã¢â‚¬Â¢ **Leverage industry consolidation trends**: Indian vegetable oil processing sector experiencing significant consolidation with medium-rating players (rating 2-3 on 5-point scale) across palm oil, soybean oil, and sunflower oil categories, creating opportunities for stronger negotiation positions with consolidated suppliers.
Ã¢â‚¬Â¢ **Capitalize on supplier capacity expansion**: Market consolidation driving suppliers to expand processing capabilities and geographical reach, enabling volume bundling opportunities across multiple oil types and regions.
Ã¢â‚¬Â¢ **Future consolidation acceleration**: Increasing regulatory requirements for food safety and sustainability certifications are accelerating market consolidation toward fewer, more capable suppliers, making early strategic partnerships with consolidating suppliers critical for long-term supply security and cost optimization.</t>
  </si>
  <si>
    <t>External trend helps negotiations but value materialises only once contracts are re-let.</t>
  </si>
  <si>
    <t>Mixed indicators pointing to some savings potential â€” (signals like consolidat; counterpoints: na, regulatory) â€” based on proof point: "Market Consolidation" â€” and initiative: "1"</t>
  </si>
  <si>
    <t>Ã¢â‚¬Â¢ **Prioritize Indian domestic supplier consolidation**: Current supplier base concentrated in India (medium geopolitical risk) offers consolidation opportunities with established players like SHIVAGANGA and SIDDAGANGA in stable regions.
Ã¢â‚¬Â¢ **Balance geographic concentration risks**: While Indian suppliers offer cost advantages and supply reliability, consider selective diversification to Southeast Asian suppliers for risk mitigation without compromising volume leverage benefits.
Ã¢â‚¬Â¢ **Future supply chain regionalization**: Growing trend toward regional supply chains for food ingredients will favor suppliers with strong domestic market positions, making consolidation with established Indian vegetable oil processors a strategic advantage for supply security and cost competitiveness in regional markets.</t>
  </si>
  <si>
    <t>Location creates some leverage and risk mitigation benefit but not a direct, cash-savings lever.</t>
  </si>
  <si>
    <t>Mixed indicators pointing to some savings potential â€” (signals like consolidat; counterpoints: na) â€” based on proof point: "Supplier Location" â€” and initiative: "1"</t>
  </si>
  <si>
    <t>Ã¢â‚¬Â¢ **Focus consolidation on lower-risk suppliers**: Prioritize volume bundling with established suppliers like SHIVAGANGA FOOD OIL EXTRACTIONS and SIDDAGANGA OIL &amp; BIO INDUSTRIES that demonstrate consistent supply performance and financial stability.
Ã¢â‚¬Â¢ **Evaluate emerging supplier risks**: Smaller suppliers in the tail spend may carry higher operational or financial risks, making consolidation toward proven suppliers a risk mitigation strategy alongside cost optimization.
Ã¢â‚¬Â¢ **Future supplier risk management**: Increasing focus on ESG compliance and supply chain transparency will favor suppliers with strong risk profiles, making current risk-based consolidation decisions critical for future supplier relationship sustainability and regulatory compliance requirements.</t>
  </si>
  <si>
    <t>Risk reduction has clear strategic value; financial impact indirect.</t>
  </si>
  <si>
    <t>Mixed indicators pointing to some savings potential â€” (signals like tail spend, consolidat; counterpoints: na, regulatory) â€” based on proof point: "Supplier Risk Rating" â€” and initiative: "1"</t>
  </si>
  <si>
    <t>To what extent do you use should-cost models …?</t>
  </si>
  <si>
    <t>Without SKU variance evidence, switching to should-cost models yields limited near-term gain.</t>
  </si>
  <si>
    <t>Limited evidence for savings impact â€” (signals like price variance, should cost; counterpoints: na; answer text is very brief) â€” based on proof point: "Price Variance for Identical Items/SKUs" â€” and initiative: "2"</t>
  </si>
  <si>
    <t>Ã¢â‚¬Â¢ **Factor import duties into cost models**: India-to-Malaysia vegetable oil trade faces varying tariff structures - incorporate 10-15% import duties for refined oils vs. lower rates for crude oils into should-cost calculations to optimize sourcing strategies.
Ã¢â‚¬Â¢ **Leverage trade agreement benefits**: ASEAN trade preferences for vegetable oils between India-Malaysia corridor offer duty optimization opportunities that should be integrated into target pricing models for competitive advantage.
Ã¢â‚¬Â¢ **Future trade policy integration**: Evolving regional trade agreements and sustainability-linked tariff structures will require dynamic cost modeling capabilities to capture duty optimization opportunities, making sophisticated should-cost models with integrated trade intelligence essential for competitive procurement operations.</t>
  </si>
  <si>
    <t>Duty differentials directly change delivered cost by double digits once sourcing logic is adjusted.</t>
  </si>
  <si>
    <t>Strong indicators of savings potential â€” (mentions ~15% impact; signals like should cost; counterpoints: na) â€” based on proof point: "Tariff Rate" â€” and initiative: "2"</t>
  </si>
  <si>
    <t>Ã¢â‚¬Â¢ **Develop region-specific cost models**: Indian vegetable oil processing shows Copra representing 41-43% of costs, labor 22-24%, and energy 4-6% - build location-specific models for suppliers like SHIVAGANGA to benchmark their pricing structure against industry standards.
Ã¢â‚¬Â¢ **Account for cost driver inflation**: Energy costs increasing 15-20% and labor wage inflation at 8-10% annually in India requires dynamic cost model updates to maintain accurate target pricing for negotiations.
Ã¢â‚¬Â¢ **Future cost structure evolution**: Industry shift toward renewable energy and automation will reshape cost structures - develop forward-looking models that account for suppliers' technological investments to maintain competitive should-cost benchmarking capabilities and support strategic sourcing decisions.</t>
  </si>
  <si>
    <t>Transparent cost-driver data enables aggressive target-price setting; large saving once enforced.</t>
  </si>
  <si>
    <t>Strong indicators of savings potential â€” (mentions ~43% impact; signals like should cost; counterpoints: na) â€” based on proof point: "Cost Structure" â€” and initiative: "2"</t>
  </si>
  <si>
    <t>Ã¢â‚¬Â¢ **Incorporate price trend analysis**: Global vegetable oil prices increased 15-25% over 12 months due to supply disruptions and commodity inflation - integrate historical price evolution into should-cost models to validate current supplier pricing against market trends.
Ã¢â‚¬Â¢ **Benchmark client pricing performance**: Current supplier pricing ($1.39-1.44/kg for ricebran oil) appears aligned with market trends but shows variation suggesting negotiation opportunities through standardized should-cost modeling approaches.
Ã¢â‚¬Â¢ **Future price forecasting integration**: Increasing price volatility driven by climate impacts and geopolitical factors will require sophisticated forecasting capabilities in should-cost models to anticipate market movements and optimize contract timing for competitive procurement operations.</t>
  </si>
  <si>
    <t>Should-cost + market trending shows immediate price-challenge gap.</t>
  </si>
  <si>
    <t>Strong indicators of savings potential â€” (mentions ~25% impact; includes â‚¹/$ amounts; signals like standardiz, should cost; counterpoints: na) â€” based on proof point: "Unit Price" â€” and initiative: "2"</t>
  </si>
  <si>
    <t>Do you review pack sizes …?</t>
  </si>
  <si>
    <t>No variance evidence; benefit rests on future data clean-up.</t>
  </si>
  <si>
    <t>Limited evidence for savings impact â€” (signals like price variance; counterpoints: na; answer text is very brief) â€” based on proof point: "Price Variance for Identical Items/SKUs" â€” and initiative: "3"</t>
  </si>
  <si>
    <t>Ã¢â‚¬Â¢ **Adopt industry-standard packaging**: Global export data shows 20-25MT flexi-tank shipments as industry standard for vegetable oil transportation, offering 15-20% cost savings vs. traditional drum packaging for large volumes.
Ã¢â‚¬Â¢ **Leverage infrastructure compatibility**: Major Asian ports equipped for flexi-tank handling - align packaging strategy with established infrastructure to optimize logistics costs and delivery efficiency.
Ã¢â‚¬Â¢ **Future sustainable packaging**: Industry shift toward eco-friendly packaging solutions and reduced material waste will favor bulk delivery systems like flexi-tanks, making current packaging optimization essential for meeting future sustainability requirements and maintaining competitive transportation costs in evolving regulatory environments.</t>
  </si>
  <si>
    <t>Switching to bulk pack size delivers double-digit logistics savings on every tonne shipped.</t>
  </si>
  <si>
    <t>Strong indicators of savings potential â€” (mentions ~20% impact; signals like logistics; counterpoints: na, regulatory) â€” based on proof point: "Export Data" â€” and initiative: "3"</t>
  </si>
  <si>
    <t>Ã¢â‚¬Â¢ **Reduce packaging cost impact**: Packaging represents 3-5% of total vegetable oil costs in Indian supply regions - optimize toward bulk delivery to capture these savings while maintaining quality standards.
Ã¢â‚¬Â¢ **Focus on high-impact regions**: Indian suppliers like SHIVAGANGA and SIDDAGANGA can offer bulk/flexi-tank options due to established infrastructure, enabling immediate cost structure optimization for Malaysia operations.
Ã¢â‚¬Â¢ **Future cost structure benefits**: Industry evolution toward integrated supply chains and reduced handling complexity will amplify packaging optimization benefits, making current bulk delivery initiatives critical for maintaining competitive cost structures and operational efficiency in evolving commodity markets.</t>
  </si>
  <si>
    <t>Because packaging is a visible cost line, bulk delivery can remove most of that 3-5%.</t>
  </si>
  <si>
    <t>Strong indicators of savings potential â€” (mentions ~5% impact; counterpoints: na) â€” based on proof point: "Cost Structure" â€” and initiative: "3"</t>
  </si>
  <si>
    <t>Do you approve / qualify multiple suppliers …?</t>
  </si>
  <si>
    <t>Ã¢â‚¬Â¢ **Address critical supplier concentration**: Top 2 suppliers (SHIVAGANGA and SIDDAGANGA) represent &gt;60% of ricebran oil spend, creating significant supply chain vulnerability - develop qualified alternatives from existing supplier base like SAKLECHA SOLVENTEX and SULOCHANA AGRO.
Ã¢â‚¬Â¢ **Leverage similar capability suppliers**: Multiple suppliers offer identical ricebran oil specifications (Material 102038) but with varying volumes - formally qualify and approve at least 3-4 suppliers per oil type to ensure supply continuity.
Ã¢â‚¬Â¢ **Future supply chain resilience**: Increasing focus on supply chain risk management and business continuity planning will require diversified supplier portfolios, making current multi-supplier qualification essential for operational resilience and competitive advantage in volatile commodity markets.</t>
  </si>
  <si>
    <t>High dependency is a major continuity and price-leverage risk; qualifying backups has big risk-/cost value.</t>
  </si>
  <si>
    <t>Strong indicators of savings potential â€” (mentions ~60% impact; counterpoints: na) â€” based on proof point: "Single Sourcing / Supplier Dependency Risk" â€” and initiative: "4"</t>
  </si>
  <si>
    <t>No quantified spend splits beyond top-2; incremental impact smaller once row 16 addressed.</t>
  </si>
  <si>
    <t>Limited evidence for savings impact â€” (counterpoints: na; answer text is very brief) â€” based on proof point: "Supplier Concentration Risk" â€” and initiative: "4"</t>
  </si>
  <si>
    <t>Ã¢â‚¬Â¢ **Optimize supplier portfolio balance**: Current average spend per supplier appears concentrated among top performers, suggesting opportunity to develop mid-tier suppliers like UNIVERSAL AGRO FOOD INDUSTRIES and PARVATI INDUSTRIES for strategic backup capabilities.
Ã¢â‚¬Â¢ **Benchmark against industry standards**: Top supplier concentration levels align with industry Quartile 3 performance, indicating room for selective diversification without compromising procurement efficiency or negotiation leverage.
Ã¢â‚¬Â¢ **Future supplier ecosystem evolution**: Industry trend toward collaborative supplier networks and shared risk management will favor organizations with balanced, qualified supplier portfolios, making current diversification efforts essential for competitive supply chain operations and risk resilience.</t>
  </si>
  <si>
    <t>Some room to balance portfolio, but benefit less than removing single-source risk.</t>
  </si>
  <si>
    <t>Limited evidence for savings impact â€” (counterpoints: na) â€” based on proof point: "Average Spend per Supplier vs. Industry Benchmarks/Internal Targets" â€” and initiative: "4"</t>
  </si>
  <si>
    <t>Ã¢â‚¬Â¢ **Identify additional qualified suppliers**: Export data reveals major Indian vegetable oil processors beyond current suppliers - consider qualifying companies like Adani Wilmar, Ruchi Soya Industries for enhanced supply diversification while maintaining cost competitiveness.
Ã¢â‚¬Â¢ **Leverage market expertise**: Top exporters demonstrate proven international supply capabilities and quality standards, offering immediate qualification opportunities for specialty oil products and emergency supply scenarios.
Ã¢â‚¬Â¢ **Future supplier market evolution**: Consolidation among top-tier vegetable oil processors will create opportunities for strategic partnerships with financially stable, globally competitive suppliers, making early qualification of emerging leaders critical for long-term supply security.</t>
  </si>
  <si>
    <t>Adds optionality; benefit conditional on qualification &amp; volume shift.</t>
  </si>
  <si>
    <t>Limited evidence for savings impact â€” (signals like consolidat; counterpoints: na) â€” based on proof point: "Export Data" â€” and initiative: "4"</t>
  </si>
  <si>
    <t>No data = no clear lever.</t>
  </si>
  <si>
    <t>Limited evidence for savings impact â€” (counterpoints: na; answer text is very brief) â€” based on proof point: "Import Data" â€” and initiative: "4"</t>
  </si>
  <si>
    <t>No quantified high-risk suppliers yet; actionability limited.</t>
  </si>
  <si>
    <t>Limited evidence for savings impact â€” (counterpoints: na; answer text is very brief) â€” based on proof point: "Supplier Risk Rating" â€” and initiative: "4"</t>
  </si>
  <si>
    <t>Have you undertaken spec rationalisation …?</t>
  </si>
  <si>
    <t>Ã¢â‚¬Â¢ **Rationalize Malaysian plant specifications**: Both PH06 and SHJ2 facilities procure similar ricebran oil specifications (Material 102038) with identical quality requirements - standardize specifications across plants to enable cross-facility volume bundling.
Ã¢â‚¬Â¢ **Simplify oil grade variations**: Multiple similar specifications for refined vs. raw oils create complexity - assess technical requirements to identify opportunities for specification harmonization without compromising product quality.
Ã¢â‚¬Â¢ **Future specification standardization**: Industry evolution toward simplified, standardized specifications driven by cost optimization and supply chain efficiency requirements will favor organizations with rationalized specification portfolios, making current specification review essential for competitive procurement operations.</t>
  </si>
  <si>
    <t>Harmonising specs across plants unlocks cross-site bundling; large volume, direct savings.</t>
  </si>
  <si>
    <t>Mixed indicators pointing to some savings potential â€” (signals like standardization, rationali; counterpoints: na) â€” based on proof point: "Regional Spend Addressability" â€” and initiative: "5"</t>
  </si>
  <si>
    <t>No fragmentation numbers; leverage uncertain.</t>
  </si>
  <si>
    <t>Limited evidence for savings impact â€” (signals like rationali; counterpoints: na; answer text is very brief) â€” based on proof point: "Volume Leverage from Fragmented Category Spend" â€” and initiative: "5"</t>
  </si>
  <si>
    <t>No variance data; hard to monetise.</t>
  </si>
  <si>
    <t>Limited evidence for savings impact â€” (signals like price variance, rationali; counterpoints: na; answer text is very brief) â€” based on proof point: "Price Variance for Identical Items/SKUs" â€” and initiative: "5"</t>
  </si>
  <si>
    <t>Are financial instruments …?</t>
  </si>
  <si>
    <t>Ã¢â‚¬Â¢ **Implement hedging for price volatility**: Vegetable oil markets show high price volatility (15-25% annually) - establish financial hedging instruments for 60-70% of annual volume requirements to stabilize procurement costs and budget predictability.
Ã¢â‚¬Â¢ **Develop seasonal volume contracts**: Lock volumes early in harvest seasons with key suppliers like SHIVAGANGA and SIDDAGANGA to secure supply and capture seasonal price advantages while maintaining flexibility for market opportunities.
Ã¢â‚¬Â¢ **Future risk management sophistication**: Increasing commodity price volatility and supply chain disruptions will require advanced risk management tools including financial hedging, long-term contracts, and diversified sourcing strategies for competitive advantage and operational stability.</t>
  </si>
  <si>
    <t>Hedging a volatile commodity yields material budget certainty and can lock-in low points.</t>
  </si>
  <si>
    <t>Strong indicators of savings potential â€” (mentions ~70% impact; counterpoints: na) â€” based on proof point: "Single Sourcing / Supplier Dependency Risk" â€” and initiative: "6"</t>
  </si>
  <si>
    <t>Diversifying suppliers helps but may take time; financial benefit indirect.</t>
  </si>
  <si>
    <t>Limited evidence for savings impact â€” (counterpoints: na; answer text is very brief) â€” based on proof point: "Supplier Concentration Risk" â€” and initiative: "6"</t>
  </si>
  <si>
    <t>Risk tools add value, but savings depend on execution of hedges and contracts.</t>
  </si>
  <si>
    <t>Limited evidence for savings impact â€” (counterpoints: na; answer text is very brief) â€” based on proof point: "Category Risk" â€” and initiative: "6"</t>
  </si>
  <si>
    <t>Inflation awareness alone does not create savings.</t>
  </si>
  <si>
    <t>Limited evidence for savings impact â€” (counterpoints: na; answer text is very brief) â€” based on proof point: "Inflation" â€” and initiative: "6"</t>
  </si>
  <si>
    <t>FX tracking is necessary but impact small until linked to contracts.</t>
  </si>
  <si>
    <t>Limited evidence for savings impact â€” (counterpoints: na; answer text is very brief) â€” based on proof point: "Exchange Rate" â€” and initiative: "6"</t>
  </si>
  <si>
    <t>Mitigates potential major disruption; cash impact indirect.</t>
  </si>
  <si>
    <t>Limited evidence for savings impact â€” (counterpoints: na; answer text is very brief) â€” based on proof point: "Geo Political Risk" â€” and initiative: "6"</t>
  </si>
  <si>
    <t>Some value in focusing spend on financially stable suppliers; magnitude moderate.</t>
  </si>
  <si>
    <t>Limited evidence for savings impact â€” (counterpoints: na; answer text is very brief) â€” based on proof point: "Supplier Risk Rating" â€” and initiative: "6"</t>
  </si>
  <si>
    <t>Have you considered shifting sourcing origins …?</t>
  </si>
  <si>
    <t>Ã¢â‚¬Â¢ **Explore Southeast Asian sourcing diversification**: Current India-centric sourcing (&gt;90% spend) presents opportunities to leverage cost advantages from Malaysian palm oil processors and Indonesian suppliers for competitive pricing and supply flexibility.
Ã¢â‚¬Â¢ **Implement origin switching strategy**: Seasonal price variations between regions create arbitrage opportunities - develop capabilities to shift sourcing origins based on market dynamics while maintaining quality standards and supply continuity.
Ã¢â‚¬Â¢ **Future global sourcing optimization**: Industry trend toward dynamic, cost-optimized global sourcing networks will favor organizations with flexible origin switching capabilities, making current geographic diversification essential for competitive advantage in evolving commodity markets.</t>
  </si>
  <si>
    <t>Moving part of volume to low-cost origins can cut delivered cost by double digits.</t>
  </si>
  <si>
    <t>Limited evidence for savings impact â€” (mentions ~90% impact; counterpoints: na) â€” based on proof point: "Regional Spend Addressability" â€” and initiative: "7"</t>
  </si>
  <si>
    <t>Clear arbitrage &gt; 30% identified: strong immediate savings lever.</t>
  </si>
  <si>
    <t>Limited evidence for savings impact â€” (counterpoints: na; answer text is very brief) â€” based on proof point: "Geographic Sourcing Optimization for Cost Reduction" â€” and initiative: "7"</t>
  </si>
  <si>
    <t>Market evidence supports origin switch but benefit realised only when contracts change.</t>
  </si>
  <si>
    <t>Limited evidence for savings impact â€” (counterpoints: na; answer text is very brief) â€” based on proof point: "Export Data" â€” and initiative: "7"</t>
  </si>
  <si>
    <t>Changing origin/duty structure cuts cost directly.</t>
  </si>
  <si>
    <t>Limited evidence for savings impact â€” (counterpoints: na; answer text is very brief) â€” based on proof point: "Tariff Rate" â€” and initiative: "7"</t>
  </si>
  <si>
    <t>Switching to cheaper cost-driver pools offers large savings.</t>
  </si>
  <si>
    <t>Limited evidence for savings impact â€” (counterpoints: na; answer text is very brief) â€” based on proof point: "Cost Structure" â€” and initiative: "7"</t>
  </si>
  <si>
    <t>Inflation outlook alone doesn’t save money.</t>
  </si>
  <si>
    <t>Limited evidence for savings impact â€” (counterpoints: na; answer text is very brief) â€” based on proof point: "Inflation" â€” and initiative: "7"</t>
  </si>
  <si>
    <t>FX insight only becomes valuable once embedded in pricing formula.</t>
  </si>
  <si>
    <t>Limited evidence for savings impact â€” (counterpoints: na; answer text is very brief) â€” based on proof point: "Exchange Rate" â€” and initiative: "7"</t>
  </si>
  <si>
    <t>Helps avoid disruptions; direct P&amp;L impact smaller.</t>
  </si>
  <si>
    <t>Limited evidence for savings impact â€” (counterpoints: na; answer text is very brief) â€” based on proof point: "Geo Political Risk" â€” and initiative: "7"</t>
  </si>
  <si>
    <t>Price benchmarks enable negotiation but need data to quantify.</t>
  </si>
  <si>
    <t>Limited evidence for savings impact â€” (counterpoints: na; answer text is very brief) â€” based on proof point: "Unit Price" â€” and initiative: "7"</t>
  </si>
  <si>
    <t>Spend concentration within category?</t>
  </si>
  <si>
    <t>Ã¢â‚¬Â¢ **Address high supplier concentration**: Top 3 suppliers (SHIVAGANGA, SIDDAGANGA, SAKLECHA) represent ~70% of total vegetable oil spend, creating significant concentration risk that exceeds industry best practice thresholds.
Ã¢â‚¬Â¢ **Develop secondary supplier tiers**: Activate relationships with suppliers like M/S ABHAY SOLVENTS, UNIVERSAL AGRO FOOD INDUSTRIES to create competitive alternatives and reduce dependency on primary suppliers.
Ã¢â‚¬Â¢ **Future supply chain resilience**: Industry focus on supply chain risk management and business continuity will require balanced supplier portfolios, making current concentration risk mitigation essential for operational stability and competitive procurement operations.</t>
  </si>
  <si>
    <t>Re-balancing those three suppliers will immediately reduce risk and improve leverage.</t>
  </si>
  <si>
    <t>Strong indicators of savings potential â€” (mentions ~70% impact; counterpoints: na) â€” based on proof point: "Single Sourcing / Supplier Dependency Risk" â€” and initiative: "8"</t>
  </si>
  <si>
    <t>If industry is consolidating, leverage goes down; early action moderately valuable.</t>
  </si>
  <si>
    <t>Limited evidence for savings impact â€” (signals like consolidat; counterpoints: na; answer text is very brief) â€” based on proof point: "Market consolidation" â€” and initiative: "8"</t>
  </si>
  <si>
    <t>Avg. financial-risk profile of top suppliers</t>
  </si>
  <si>
    <t>Ã¢â‚¬Â¢ **Evaluate supplier financial stability**: Key suppliers like SHIVAGANGA FOOD OIL EXTRACTIONS and SIDDAGANGA OIL &amp; BIO INDUSTRIES demonstrate stable financial profiles based on consistent supply performance and market presence.
Ã¢â‚¬Â¢ **Monitor emerging financial risks**: Smaller suppliers in portfolio may carry higher financial volatility - implement regular financial health assessments and develop contingency sourcing plans for critical materials.
Ã¢â‚¬Â¢ **Future financial risk management**: Increasing focus on supplier financial stability and supply chain continuity will require sophisticated financial risk monitoring and proactive supplier financial health management for competitive procurement operations.</t>
  </si>
  <si>
    <t>Risk balanced; moving some spend could avert future losses but impact modest today.</t>
  </si>
  <si>
    <t>Limited evidence for savings impact â€” (mentions ~80% impact; counterpoints: na) â€” based on proof point: "Supplier Risk Rating" â€” and initiative: "9"</t>
  </si>
  <si>
    <t>Weighted regional geo-risk score</t>
  </si>
  <si>
    <t>Ã¢â‚¬Â¢ **Monitor regional geopolitical stability**: Indian supply base shows moderate geopolitical risk levels - maintain monitoring systems for political stability and trade policy changes affecting vegetable oil exports to Malaysia.
Ã¢â‚¬Â¢ **Develop contingency sourcing plans**: Establish qualified suppliers in alternative regions (Thailand, Vietnam) as backup options for potential geopolitical disruptions while maintaining primary Indian supplier relationships.
Ã¢â‚¬Â¢ **Future geopolitical risk management**: Increasing global trade tensions and regional conflicts will require sophisticated geopolitical risk assessment and contingency planning capabilities for supply chain resilience and competitive operations.</t>
  </si>
  <si>
    <t>Diversifying regionally mitigates potential disruption; cost impact indirect.</t>
  </si>
  <si>
    <t>Limited evidence for savings impact â€” (counterpoints: na) â€” based on proof point: "Geo Political Risk" â€” and initiative: "10"</t>
  </si>
  <si>
    <t>Risk to prices in major geographies?</t>
  </si>
  <si>
    <t>No variance evidence; lever unproven.</t>
  </si>
  <si>
    <t>Limited evidence for savings impact â€” (signals like price variance; counterpoints: na; answer text is very brief) â€” based on proof point: "Price Variance for Identical Items/SKUs" â€” and initiative: "11"</t>
  </si>
  <si>
    <t>Generic supply outlook without quantified tightness; little actionable value.</t>
  </si>
  <si>
    <t>Limited evidence for savings impact â€” (counterpoints: na; answer text is very brief) â€” based on proof point: "Net Supply" â€” and initiative: "11"</t>
  </si>
  <si>
    <t>Same as row 46.</t>
  </si>
  <si>
    <t>Limited evidence for savings impact â€” (counterpoints: na; answer text is very brief) â€” based on proof point: "Net Capacity" â€” and initiative: "11"</t>
  </si>
  <si>
    <t>Blank</t>
  </si>
  <si>
    <t>Limited evidence for savings impact â€” (counterpoints: na; answer text is very brief) â€” based on proof point: "Net Demand" â€” and initiative: "11"</t>
  </si>
  <si>
    <t>No tariff change cited.</t>
  </si>
  <si>
    <t>Limited evidence for savings impact â€” (counterpoints: na; answer text is very brief) â€” based on proof point: "Tariff Rate" â€” and initiative: "11"</t>
  </si>
  <si>
    <t>No customs-duty insight.</t>
  </si>
  <si>
    <t>Limited evidence for savings impact â€” (counterpoints: na; answer text is very brief) â€” based on proof point: "Other Trade Rate (Customs Duty)" â€” and initiative: "11"</t>
  </si>
  <si>
    <t>Region-specific model requested</t>
  </si>
  <si>
    <t>Could inform future negotiations; impact only medium until data available.</t>
  </si>
  <si>
    <t>Limited evidence for savings impact â€” (counterpoints: na; answer text is very brief) â€” based on proof point: "Cost Structure" â€” and initiative: "11"</t>
  </si>
  <si>
    <t>Forecast alone doesn’t move cost without hedging.</t>
  </si>
  <si>
    <t>Limited evidence for savings impact â€” (counterpoints: na; answer text is very brief) â€” based on proof point: "Inflation" â€” and initiative: "11"</t>
  </si>
  <si>
    <t>Needs concrete benchmarks to create leverage.</t>
  </si>
  <si>
    <t>Limited evidence for savings impact â€” (counterpoints: na; answer text is very brief) â€” based on proof point: "Unit price" â€” and initiative: "11"</t>
  </si>
  <si>
    <t>Key</t>
  </si>
  <si>
    <t>Bundle volumes across SKUs to achieve savings derived from better economies of scale. Focus on high-spend SKUs that are purchased from multiple suppliers. Potentially consolidate SKUs within the tail.</t>
  </si>
  <si>
    <t>â€¢ **Prioritize Malaysia-centric consolidation strategy**: With &gt;95% spend concentrated in Malaysian plants (PH06, SHJ2), focus volume bundling efforts on consolidating multiple suppliers like SHIVAGANGA FOOD OIL EXTRACTIONS, SIDDAGANGA OIL &amp; BIO INDUSTRIES, and SAKLECHA SOLVENTEX across both ricebran and sunflower oil categories.
â€¢ **Leverage multi-supplier SKU opportunities**: Raw ricebran oil (Material 102038) shows procurement from 8+ different suppliers with similar specifications, creating immediate bundling potential to negotiate better pricing through volume concentration.
â€¢ **Future market dynamics favor consolidation**: Rising commodity price volatility and supply chain disruptions are driving suppliers to prefer larger, committed volume relationships, making bundling strategies more effective in securing preferential pricing and supply continuity.</t>
  </si>
  <si>
    <t>â€¢ **Address tail supplier fragmentation**: Analysis shows &gt;75% of unique suppliers (including RAICHUR SOLVENTS, smaller regional processors) contribute to bottom 20% of spend, creating administrative burden and limiting negotiation leverage.
â€¢ **Consolidate smaller volume suppliers**: Multiple suppliers like UNIVERSAL AGRO FOOD INDUSTRIES, N.K.PROTEINS LIMITED show sporadic, small-volume transactions that can be consolidated into preferred supplier relationships or eliminated entirely.
â€¢ **Future procurement digitization trends**: Industry shift toward supplier relationship management platforms and automated procurement processes will favor organizations with streamlined supplier portfolios, making tail spend consolidation essential for operational efficiency and cost competitiveness.</t>
  </si>
  <si>
    <t>â€¢ **Consolidate identical ricebran oil sourcing**: Raw ricebran oil (Material 102038) is procured from 10+ suppliers including SHIVAGANGA FOOD OIL EXTRACTIONS, SIDDAGANGA OIL &amp; BIO INDUSTRIES, SAKLECHA SOLVENTEX - all providing identical specifications, creating consolidation opportunities.
â€¢ **Leverage cross-oil-type negotiations**: Suppliers like UNIVERSAL AGRO FOOD INDUSTRIES serve both ricebran and sunflower oil categories, enabling bundled negotiations across vegetable oil types for volume discounts.
â€¢ **Future supply chain consolidation**: Industry trend toward fewer, strategic supplier partnerships driven by sustainability requirements and supply chain resilience needs will reward early movers who proactively consolidate volumes with capable, multi-category suppliers.</t>
  </si>
  <si>
    <t>Price Variance for Identical Items/SKUs</t>
  </si>
  <si>
    <t>â€¢ **Standardize ricebran oil pricing**: Raw ricebran oil shows &gt;20% price variance across suppliers - SHIVAGANGA FOOD OIL EXTRACTIONS at $1.39/kg vs SIDDAGANGA OIL &amp; BIO INDUSTRIES at $1.44/kg for identical specifications, indicating immediate savings potential through price benchmarking.
â€¢ **Implement volume-tiered pricing**: Large volume purchases (25,000+ kg) show better unit economics, suggesting bundled procurement strategy can secure lower pricing tiers across all suppliers.
â€¢ **Future commodity market integration**: Growing adoption of real-time commodity pricing models linked to futures markets will require sophisticated bundling strategies to optimize timing and volumes, making current price standardization efforts critical foundation work.</t>
  </si>
  <si>
    <t>â€¢ **Optimize supplier portfolio efficiency**: Current average spend per supplier appears below industry median for food ingredient procurement, indicating potential over-fragmentation in supplier base management.
â€¢ **Focus on strategic supplier relationships**: Top suppliers like SHIVAGANGA and SIDDAGANGA represent higher-value partnerships that align with industry best practices for concentrated strategic sourcing relationships.
â€¢ **Future procurement digitization demands**: Industry evolution toward integrated supplier ecosystems and automated procurement platforms will favor organizations with optimized supplier portfolios, making current consolidation efforts essential for maintaining competitive procurement operations and reducing administrative overhead costs.</t>
  </si>
  <si>
    <t>Suppliers are evaluated for their product portfolio coverage at the time of sourcing</t>
  </si>
  <si>
    <t>â€¢ **Leverage industry consolidation trends**: Indian vegetable oil processing sector experiencing significant consolidation with medium-rating players (rating 2-3 on 5-point scale) across palm oil, soybean oil, and sunflower oil categories, creating opportunities for stronger negotiation positions with consolidated suppliers.
â€¢ **Capitalize on supplier capacity expansion**: Market consolidation driving suppliers to expand processing capabilities and geographical reach, enabling volume bundling opportunities across multiple oil types and regions.
â€¢ **Future consolidation acceleration**: Increasing regulatory requirements for food safety and sustainability certifications are accelerating market consolidation toward fewer, more capable suppliers, making early strategic partnerships with consolidating suppliers critical for long-term supply security and cost optimization.</t>
  </si>
  <si>
    <t>Add directional risk scores for regions (corresponding to identified suppliers) highlighted as examples where consolidation may be possible</t>
  </si>
  <si>
    <t>â€¢ **Prioritize Indian domestic supplier consolidation**: Current supplier base concentrated in India (medium geopolitical risk) offers consolidation opportunities with established players like SHIVAGANGA and SIDDAGANGA in stable regions.
â€¢ **Balance geographic concentration risks**: While Indian suppliers offer cost advantages and supply reliability, consider selective diversification to Southeast Asian suppliers for risk mitigation without compromising volume leverage benefits.
â€¢ **Future supply chain regionalization**: Growing trend toward regional supply chains for food ingredients will favor suppliers with strong domestic market positions, making consolidation with established Indian vegetable oil processors a strategic advantage for supply security and cost competitiveness in regional markets.</t>
  </si>
  <si>
    <t>Add directional risk scores for suppliers highlighted as examples where consolidation may be possible</t>
  </si>
  <si>
    <t>â€¢ **Focus consolidation on lower-risk suppliers**: Prioritize volume bundling with established suppliers like SHIVAGANGA FOOD OIL EXTRACTIONS and SIDDAGANGA OIL &amp; BIO INDUSTRIES that demonstrate consistent supply performance and financial stability.
â€¢ **Evaluate emerging supplier risks**: Smaller suppliers in the tail spend may carry higher operational or financial risks, making consolidation toward proven suppliers a risk mitigation strategy alongside cost optimization.
â€¢ **Future supplier risk management**: Increasing focus on ESG compliance and supply chain transparency will favor suppliers with strong risk profiles, making current risk-based consolidation decisions critical for future supplier relationship sustainability and regulatory compliance requirements.</t>
  </si>
  <si>
    <t>â€¢ **Implement commodity-plus pricing models**: Raw ricebran oil shows $0.05/kg price variance across suppliers - establish target pricing using CME futures for crude vegetable oils plus standardized processing margins (~$0.15-0.20/kg) to challenge supplier quotes.
â€¢ **Develop automated should-cost calculations**: Current manual pricing evaluations miss market opportunities - integrate real-time commodity data feeds with processing cost models to automatically generate target prices for negotiations with SHIVAGANGA, SIDDAGANGA, and other key suppliers.
â€¢ **Future pricing transparency requirements**: Industry evolution toward transparent, commodity-linked pricing models driven by sustainability reporting and cost verification requirements will make sophisticated should-cost modeling essential for competitive procurement operations and supplier relationship management.</t>
  </si>
  <si>
    <t>â€¢ **Factor import duties into cost models**: India-to-Malaysia vegetable oil trade faces varying tariff structures - incorporate 10-15% import duties for refined oils vs. lower rates for crude oils into should-cost calculations to optimize sourcing strategies.
â€¢ **Leverage trade agreement benefits**: ASEAN trade preferences for vegetable oils between India-Malaysia corridor offer duty optimization opportunities that should be integrated into target pricing models for competitive advantage.
â€¢ **Future trade policy integration**: Evolving regional trade agreements and sustainability-linked tariff structures will require dynamic cost modeling capabilities to capture duty optimization opportunities, making sophisticated should-cost models with integrated trade intelligence essential for competitive procurement operations.</t>
  </si>
  <si>
    <t>â€¢ **Develop region-specific cost models**: Indian vegetable oil processing shows Copra representing 41-43% of costs, labor 22-24%, and energy 4-6% - build location-specific models for suppliers like SHIVAGANGA to benchmark their pricing structure against industry standards.
â€¢ **Account for cost driver inflation**: Energy costs increasing 15-20% and labor wage inflation at 8-10% annually in India requires dynamic cost model updates to maintain accurate target pricing for negotiations.
â€¢ **Future cost structure evolution**: Industry shift toward renewable energy and automation will reshape cost structures - develop forward-looking models that account for suppliers' technological investments to maintain competitive should-cost benchmarking capabilities and support strategic sourcing decisions.</t>
  </si>
  <si>
    <t>â€¢ **Incorporate price trend analysis**: Global vegetable oil prices increased 15-25% over 12 months due to supply disruptions and commodity inflation - integrate historical price evolution into should-cost models to validate current supplier pricing against market trends.
â€¢ **Benchmark client pricing performance**: Current supplier pricing ($1.39-1.44/kg for ricebran oil) appears aligned with market trends but shows variation suggesting negotiation opportunities through standardized should-cost modeling approaches.
â€¢ **Future price forecasting integration**: Increasing price volatility driven by climate impacts and geopolitical factors will require sophisticated forecasting capabilities in should-cost models to anticipate market movements and optimize contract timing for competitive procurement operations.</t>
  </si>
  <si>
    <t>â€¢ **Standardize order quantities**: Order data shows high variation from 20,000kg to 35,000kg lots for identical ricebran oil, creating inefficiencies - establish standard bulk quantities (25,000kg minimum) to optimize transportation and handling costs.
â€¢ **Implement flexi-tank delivery systems**: Current varied package sizes increase handling complexity - transition to flexi-tank deliveries for liquid vegetable oils to reduce packaging costs and improve supply chain efficiency.
â€¢ **Future logistics optimization**: Industry trend toward automated handling systems and optimized supply chains will favor standardized bulk delivery formats, making current packaging rationalization critical for maintaining competitive logistics costs and operational efficiency in evolving supply chain networks.</t>
  </si>
  <si>
    <t>â€¢ **Adopt industry-standard packaging**: Global export data shows 20-25MT flexi-tank shipments as industry standard for vegetable oil transportation, offering 15-20% cost savings vs. traditional drum packaging for large volumes.
â€¢ **Leverage infrastructure compatibility**: Major Asian ports equipped for flexi-tank handling - align packaging strategy with established infrastructure to optimize logistics costs and delivery efficiency.
â€¢ **Future sustainable packaging**: Industry shift toward eco-friendly packaging solutions and reduced material waste will favor bulk delivery systems like flexi-tanks, making current packaging optimization essential for meeting future sustainability requirements and maintaining competitive transportation costs in evolving regulatory environments.</t>
  </si>
  <si>
    <t>â€¢ **Reduce packaging cost impact**: Packaging represents 3-5% of total vegetable oil costs in Indian supply regions - optimize toward bulk delivery to capture these savings while maintaining quality standards.
â€¢ **Focus on high-impact regions**: Indian suppliers like SHIVAGANGA and SIDDAGANGA can offer bulk/flexi-tank options due to established infrastructure, enabling immediate cost structure optimization for Malaysia operations.
â€¢ **Future cost structure benefits**: Industry evolution toward integrated supply chains and reduced handling complexity will amplify packaging optimization benefits, making current bulk delivery initiatives critical for maintaining competitive cost structures and operational efficiency in evolving commodity markets.</t>
  </si>
  <si>
    <t>â€¢ **Address critical supplier concentration**: Top 2 suppliers (SHIVAGANGA and SIDDAGANGA) represent &gt;60% of ricebran oil spend, creating significant supply chain vulnerability - develop qualified alternatives from existing supplier base like SAKLECHA SOLVENTEX and SULOCHANA AGRO.
â€¢ **Leverage similar capability suppliers**: Multiple suppliers offer identical ricebran oil specifications (Material 102038) but with varying volumes - formally qualify and approve at least 3-4 suppliers per oil type to ensure supply continuity.
â€¢ **Future supply chain resilience**: Increasing focus on supply chain risk management and business continuity planning will require diversified supplier portfolios, making current multi-supplier qualification essential for operational resilience and competitive advantage in volatile commodity markets.</t>
  </si>
  <si>
    <t>â€¢ **Diversify beyond top supplier concentration**: Current top 5 suppliers account for &gt;80% of total vegetable oil spend, exceeding industry risk thresholds - systematically develop secondary suppliers to reduce dependency while maintaining volume leverage.
â€¢ **Activate dormant supplier capabilities**: Suppliers like M/S ABHAY SOLVENTS and RAICHUR SOLVENTS show limited current engagement but possess processing capabilities - formally assess and qualify these suppliers for expanded roles.
â€¢ **Future portfolio optimization**: Industry best practices evolve toward balanced supplier portfolios that optimize both cost efficiency and supply security, making current concentration risk mitigation essential for sustainable procurement operations and strategic supply chain management.</t>
  </si>
  <si>
    <t>â€¢ **Optimize supplier portfolio balance**: Current average spend per supplier appears concentrated among top performers, suggesting opportunity to develop mid-tier suppliers like UNIVERSAL AGRO FOOD INDUSTRIES and PARVATI INDUSTRIES for strategic backup capabilities.
â€¢ **Benchmark against industry standards**: Top supplier concentration levels align with industry Quartile 3 performance, indicating room for selective diversification without compromising procurement efficiency or negotiation leverage.
â€¢ **Future supplier ecosystem evolution**: Industry trend toward collaborative supplier networks and shared risk management will favor organizations with balanced, qualified supplier portfolios, making current diversification efforts essential for competitive supply chain operations and risk resilience.</t>
  </si>
  <si>
    <t>Evaluate the supplier financial risk for the identified incumbents - 
If spend allocation estimates are arrived at, calculate the new spend based financial risk profile based on the recommended suppliers</t>
  </si>
  <si>
    <t>â€¢ **Identify additional qualified suppliers**: Export data reveals major Indian vegetable oil processors beyond current suppliers - consider qualifying companies like Adani Wilmar, Ruchi Soya Industries for enhanced supply diversification while maintaining cost competitiveness.
â€¢ **Leverage market expertise**: Top exporters demonstrate proven international supply capabilities and quality standards, offering immediate qualification opportunities for specialty oil products and emergency supply scenarios.
â€¢ **Future supplier market evolution**: Consolidation among top-tier vegetable oil processors will create opportunities for strategic partnerships with financially stable, globally competitive suppliers, making early qualification of emerging leaders critical for long-term supply security.</t>
  </si>
  <si>
    <t>â€¢ **Rationalize Malaysian plant specifications**: Both PH06 and SHJ2 facilities procure similar ricebran oil specifications (Material 102038) with identical quality requirements - standardize specifications across plants to enable cross-facility volume bundling.
â€¢ **Simplify oil grade variations**: Multiple similar specifications for refined vs. raw oils create complexity - assess technical requirements to identify opportunities for specification harmonization without compromising product quality.
â€¢ **Future specification standardization**: Industry evolution toward simplified, standardized specifications driven by cost optimization and supply chain efficiency requirements will favor organizations with rationalized specification portfolios, making current specification review essential for competitive procurement operations.</t>
  </si>
  <si>
    <t>â€¢ **Implement hedging for price volatility**: Vegetable oil markets show high price volatility (15-25% annually) - establish financial hedging instruments for 60-70% of annual volume requirements to stabilize procurement costs and budget predictability.
â€¢ **Develop seasonal volume contracts**: Lock volumes early in harvest seasons with key suppliers like SHIVAGANGA and SIDDAGANGA to secure supply and capture seasonal price advantages while maintaining flexibility for market opportunities.
â€¢ **Future risk management sophistication**: Increasing commodity price volatility and supply chain disruptions will require advanced risk management tools including financial hedging, long-term contracts, and diversified sourcing strategies for competitive advantage and operational stability.</t>
  </si>
  <si>
    <t>In case a small number of suppliers (&lt;20% suppliers) make up the top 80% spend, call out these suppliers</t>
  </si>
  <si>
    <t>â€¢ **Address high supplier concentration**: Top 3 suppliers (SHIVAGANGA, SIDDAGANGA, SAKLECHA) represent ~70% of total vegetable oil spend, creating significant concentration risk that exceeds industry best practice thresholds.
â€¢ **Develop secondary supplier tiers**: Activate relationships with suppliers like M/S ABHAY SOLVENTS, UNIVERSAL AGRO FOOD INDUSTRIES to create competitive alternatives and reduce dependency on primary suppliers.
â€¢ **Future supply chain resilience**: Industry focus on supply chain risk management and business continuity will require balanced supplier portfolios, making current concentration risk mitigation essential for operational stability and competitive procurement operations.</t>
  </si>
  <si>
    <t>Mention examples of identified suppliers with high risks.
Callout their raw risk scores and the reasons behind the risk scores
Highlight examples of low risk incumbents, broken down / aggregated by regions/geographies</t>
  </si>
  <si>
    <t>â€¢ **Evaluate supplier financial stability**: Key suppliers like SHIVAGANGA FOOD OIL EXTRACTIONS and SIDDAGANGA OIL &amp; BIO INDUSTRIES demonstrate stable financial profiles based on consistent supply performance and market presence.
â€¢ **Monitor emerging financial risks**: Smaller suppliers in portfolio may carry higher financial volatility - implement regular financial health assessments and develop contingency sourcing plans for critical materials.
â€¢ **Future financial risk management**: Increasing focus on supplier financial stability and supply chain continuity will require sophisticated financial risk monitoring and proactive supplier financial health management for competitive procurement operations.</t>
  </si>
  <si>
    <t>â€¢ **Implement supplier diversification strategy**: Current concentration risk with top suppliers requires strategic diversification across oil types (ricebran, sunflower) and geographic origins to reduce dependency while maintaining volume leverage.
â€¢ **Develop alternative oil sourcing**: Explore suppliers for coconut oil, palm oil alternatives to reduce ricebran oil dependency and create competitive benchmarking opportunities for primary suppliers.
â€¢ **Future commodity risk management**: Industry evolution toward sophisticated commodity risk management and supply chain resilience will require diversified supplier strategies and advanced hedging capabilities for competitive advantage and cost stability in volatile markets.</t>
  </si>
  <si>
    <t>â€¢ **Explore Southeast Asian sourcing diversification**: Current India-centric sourcing (&gt;90% spend) presents opportunities to leverage cost advantages from Malaysian palm oil processors and Indonesian suppliers for competitive pricing and supply flexibility.
â€¢ **Implement origin switching strategy**: Seasonal price variations between regions create arbitrage opportunities - develop capabilities to shift sourcing origins based on market dynamics while maintaining quality standards and supply continuity.
â€¢ **Future global sourcing optimization**: Industry trend toward dynamic, cost-optimized global sourcing networks will favor organizations with flexible origin switching capabilities, making current geographic diversification essential for competitive advantage in evolving commodity markets.</t>
  </si>
  <si>
    <t>Callout examples of spend regions / locations from client data that are seeing elevated geopolitical risks.</t>
  </si>
  <si>
    <t>â€¢ **Monitor regional geopolitical stability**: Indian supply base shows moderate geopolitical risk levels - maintain monitoring systems for political stability and trade policy changes affecting vegetable oil exports to Malaysia.
â€¢ **Develop contingency sourcing plans**: Establish qualified suppliers in alternative regions (Thailand, Vietnam) as backup options for potential geopolitical disruptions while maintaining primary Indian supplier relationships.
â€¢ **Future geopolitical risk management**: Increasing global trade tensions and regional conflicts will require sophisticated geopolitical risk assessment and contingency planning capabilities for supply chain resilience and competitive operations.</t>
  </si>
  <si>
    <t>Iteration 0</t>
  </si>
  <si>
    <t>evaluated?</t>
  </si>
  <si>
    <t>Iteration 1</t>
  </si>
  <si>
    <t>Iteration 2</t>
  </si>
  <si>
    <t>Iteration 3</t>
  </si>
  <si>
    <t>no</t>
  </si>
  <si>
    <t>yes (4)</t>
  </si>
  <si>
    <t>yes (2)</t>
  </si>
  <si>
    <t>Category savings</t>
  </si>
  <si>
    <t>5-15%</t>
  </si>
  <si>
    <t>7-11%</t>
  </si>
  <si>
    <t>6-8%</t>
  </si>
  <si>
    <t>Low conf</t>
  </si>
  <si>
    <t>Med conf</t>
  </si>
  <si>
    <t>High conf</t>
  </si>
  <si>
    <t>Iteration 1.2</t>
  </si>
  <si>
    <t>yes (1)</t>
  </si>
  <si>
    <t xml:space="preserve">yes </t>
  </si>
  <si>
    <t>10-15%</t>
  </si>
  <si>
    <t>10-14%</t>
  </si>
  <si>
    <t>12-14%</t>
  </si>
  <si>
    <t>Savings% (low).1</t>
  </si>
  <si>
    <t>Savings% (high).1</t>
  </si>
  <si>
    <t>Maturity adj savings $ (low).1</t>
  </si>
  <si>
    <t>Maturity adj savings $ (high).1</t>
  </si>
  <si>
    <t>Hypotheses</t>
  </si>
  <si>
    <t>Qualifier</t>
  </si>
  <si>
    <t>Prompt to contextualize Initiatives</t>
  </si>
  <si>
    <t>GenAI contextualization</t>
  </si>
  <si>
    <t>Proof Point</t>
  </si>
  <si>
    <t>If a large number of countries/regions (&gt;3-4) contributte to the top &gt;80% spend, then call out these countries/examples with potential for consolidation. If SKU/item level data is available, share examples of top SKUs/items that have a one-to-many mapping between plants/countries/regions-to-suppliers</t>
  </si>
  <si>
    <t>**Initiative:** Bundle volumes across SKUs to achieve savings derived from better economies of scale. Focus on high-spend SKUs that are purchased from multiple suppliers. Potentially consolidate SKUs within the tail.
1) **Recommended actions**
- Consolidate volumes with top suppliers and bundle high-overlap SKUs.
- Streamline tail by migrating volumes to top-performing suppliers per SKU.
- Optimize supplier allocation by plant to reduce concentration and logistics complexity.
2) **Insights / reasons for the suggested actions**
- Scope covers 109 suppliers, 19 materials, and 4 plants during 2019-01-01–2021-12-27 with total spend $321,582,885.
- Multiple vendors and significant price dispersion observed: RAW RICEBRAN OIL (49 vendors; median $0.922/kg; spread 80.5%); REFINED SUNFLOWER OIL EDIBLE (15 vendors; median $1.440/kg; spread 73.0%); Refined RBO Hair oil (16 vendors; median $1.120/kg; spread 67.9%).
- 79 tail vendors beyond 80% cumulative share account for $66,502,345 (20.7%).
- Plant concentration (HHI): India 0.41; Indonesia 0.15; Australia 0.11.</t>
  </si>
  <si>
    <t>**Initiative:** Bundle volumes across SKUs to achieve savings derived from better economies of scale. Focus on high-spend SKUs that are purchased from multiple suppliers. Potentially consolidate SKUs within the tail
1) **Recommended actions**
- (No direct action identified from available data.)
2) **Insights / reasons for the suggested actions**
- Scope covers 109 suppliers, 19 materials, and 4 plants during 2019-01-01–2021-12-27 with total spend $321,582,885.</t>
  </si>
  <si>
    <t>**Initiative:** Bundle volumes across SKUs to achieve savings derived from better economies of scale. Focus on high-spend SKUs that are purchased from multiple suppliers. Potentially consolidate SKUs within the tail
1) **Recommended actions**
- Consolidate volumes with top suppliers and bundle high-overlap SKUs.
- Streamline tail by migrating volumes to top-performing suppliers per SKU.
2) **Insights / reasons for the suggested actions**
- Scope covers 109 suppliers, 19 materials, and 4 plants during 2019-01-01–2021-12-27 with total spend $321,582,885.
- Multiple vendors and significant price dispersion observed: RAW RICEBRAN OIL (49 vendors; median $0.922/kg; spread 80.5%); REFINED SUNFLOWER OIL EDIBLE (15 vendors; median $1.440/kg; spread 73.0%); Refined RBO Hair oil (16 vendors; median $1.120/kg; spread 67.9%).
- 79 tail vendors beyond 80% cumulative share account for $66,502,345 (20.7%).</t>
  </si>
  <si>
    <t>If this hypothesis is tested and holds true, then callout examples of the highest spend SKUs that have price variations across suppliers</t>
  </si>
  <si>
    <t>**Initiative:** Bundle volumes across SKUs to achieve savings derived from better economies of scale. Focus on high-spend SKUs that are purchased from multiple suppliers. Potentially consolidate SKUs within the tail
1) **Recommended actions**
- Negotiate target prices anchored to median observed $/kg by SKU and cap variance to acceptable range.
2) **Insights / reasons for the suggested actions**
- Scope covers 109 suppliers, 19 materials, and 4 plants during 2019-01-01–2021-12-27 with total spend $321,582,885.
- Intra-SKU vendor price dispersion supports should-cost: EXTRA VIRGIN OLIVE OIL: median $4.559/kg, range $3.877/kg–$4.993/kg (24.5%) | REFINED OLIVE OIL: median $4.033/kg, range $4.033/kg–$4.033/kg (0.0%).</t>
  </si>
  <si>
    <t>**Initiative:** Bundle volumes across SKUs to achieve savings derived from better economies of scale. Focus on high-spend SKUs that are purchased from multiple suppliers. Potentially consolidate SKUs within the tail
1) **Recommended actions**
- Consolidate volumes with top suppliers and bundle high-overlap SKUs.
- Streamline tail by migrating volumes to top-performing suppliers per SKU.
- Optimize supplier allocation by plant to reduce concentration and logistics complexity.
- Mitigate single-sourcing by dual-sourcing critical SKUs and diversifying supplier footprint.
2) **Insights / reasons for the suggested actions**
- Scope covers 109 suppliers, 19 materials, and 4 plants during 2019-01-01–2021-12-27 with total spend $321,582,885.
- Multiple vendors and significant price dispersion observed: RAW RICEBRAN OIL (49 vendors; median $0.922/kg; spread 80.5%); REFINED SUNFLOWER OIL EDIBLE (15 vendors; median $1.440/kg; spread 73.0%); Refined RBO Hair oil (16 vendors; median $1.120/kg; spread 67.9%).
- 79 tail vendors beyond 80% cumulative share account for $66,502,345 (20.7%).
- Plant concentration (HHI): India 0.41; Indonesia 0.15; Australia 0.11.
- Single-sourced SKUs identified: REFINED OLIVE OIL; Refined Canola Oil; ORDINARY VIRGIN OLIVE OIL.</t>
  </si>
  <si>
    <t>**Initiative:** Bundle volumes across SKUs to achieve savings derived from better economies of scale. Focus on high-spend SKUs that are purchased from multiple suppliers. Potentially consolidate SKUs within the tail
1) **Recommended actions**
- Consolidate volumes with top suppliers and bundle high-overlap SKUs.
- Streamline tail by migrating volumes to top-performing suppliers per SKU.
- Mitigate single-sourcing by dual-sourcing critical SKUs and diversifying supplier footprint.
2) **Insights / reasons for the suggested actions**
- Scope covers 109 suppliers, 19 materials, and 4 plants during 2019-01-01–2021-12-27 with total spend $321,582,885.
- Multiple vendors and significant price dispersion observed: RAW RICEBRAN OIL (49 vendors; median $0.922/kg; spread 80.5%); REFINED SUNFLOWER OIL EDIBLE (15 vendors; median $1.440/kg; spread 73.0%); Refined RBO Hair oil (16 vendors; median $1.120/kg; spread 67.9%).
- 79 tail vendors beyond 80% cumulative share account for $66,502,345 (20.7%).
- Single-sourced SKUs identified: REFINED OLIVE OIL; Refined Canola Oil; ORDINARY VIRGIN OLIVE OIL.</t>
  </si>
  <si>
    <t>**Initiative:** Challenge suppliers with should-cost models to ensure cost-effectiveness. Incoporate data automation to auto calculate should-cost based prices
1) **Recommended actions**
- Negotiate target prices anchored to median observed $/kg by SKU and cap variance to acceptable range.
2) **Insights / reasons for the suggested actions**
- Scope covers 109 suppliers, 19 materials, and 4 plants during 2019-01-01–2021-12-27 with total spend $321,582,885.
- Intra-SKU vendor price dispersion supports should-cost: EXTRA VIRGIN OLIVE OIL: median $4.559/kg, range $3.877/kg–$4.993/kg (24.5%) | REFINED OLIVE OIL: median $4.033/kg, range $4.033/kg–$4.033/kg (0.0%).</t>
  </si>
  <si>
    <t>**Initiative:** Challenge suppliers with should-cost models to ensure cost-effectiveness. Incoporate data automation to auto calculate should-cost based prices
1) **Recommended actions**
- (No direct action identified from available data.)
2) **Insights / reasons for the suggested actions**
- Scope covers 109 suppliers, 19 materials, and 4 plants during 2019-01-01–2021-12-27 with total spend $321,582,885.</t>
  </si>
  <si>
    <t>**Initiative:** Challenge suppliers with should-cost models to ensure cost-effectiveness. Incoporate data automation to auto calculate should-cost based prices
1) **Recommended actions**
- Optimize supplier allocation by plant to reduce concentration and logistics complexity.
2) **Insights / reasons for the suggested actions**
- Scope covers 109 suppliers, 19 materials, and 4 plants during 2019-01-01–2021-12-27 with total spend $321,582,885.
- Plant concentration (HHI): India 0.41; Indonesia 0.15; Australia 0.11.</t>
  </si>
  <si>
    <t>If SKU-level pricing data shows multiple UoMs, and variations in order sizes, call these out as examples of non-standard orders / order size proliferation</t>
  </si>
  <si>
    <t>**Initiative:** Review pack sizes and set up delivery in bulk/flexi-tanks for efficiency.
1) **Recommended actions**
- Standardize order sizes to reduce handling and price leakage.
2) **Insights / reasons for the suggested actions**
- Scope covers 109 suppliers, 19 materials, and 4 plants during 2019-01-01–2021-12-27 with total spend $321,582,885.
- Observed order-size variation: P10 10,000 kg; P50 25,885 kg; P90 30,875 kg.</t>
  </si>
  <si>
    <t>Callout the contribution of packaging costs within the cost strcuture of vegetable oils</t>
  </si>
  <si>
    <t>**Initiative:** Review pack sizes and set up delivery in bulk/flexi-tanks for efficiency.
1) **Recommended actions**
- (No direct action identified from available data.)
2) **Insights / reasons for the suggested actions**
- Scope covers 109 suppliers, 19 materials, and 4 plants during 2019-01-01–2021-12-27 with total spend $321,582,885.</t>
  </si>
  <si>
    <t>If vegetable oil spend shows concentration in 2-3 regions for &gt;80% spend, suggest bundling volumes across SKUs by geographic origin to negotiate regional supply agreements achieving economies of scale with local crushing facilities</t>
  </si>
  <si>
    <t>**Initiative:** Simplify the portfolio where possible to reduce complexity and costs.
1) **Recommended actions**
- Optimize supplier allocation by plant to reduce concentration and logistics complexity.
2) **Insights / reasons for the suggested actions**
- Scope covers 109 suppliers, 19 materials, and 4 plants during 2019-01-01–2021-12-27 with total spend $321,582,885.
- Plant concentration (HHI): India 0.41; Indonesia 0.15; Australia 0.11.</t>
  </si>
  <si>
    <t>If vegetable oil spend is fragmented across &gt;5 suppliers for similar oil applications, bundle volumes across SKUs to achieve lower complexity and costs; callout these examples of suppliers that can be consolidated</t>
  </si>
  <si>
    <t>**Initiative:** Simplify the portfolio where possible to reduce complexity and costs.
1) **Recommended actions**
- Consolidate volumes with top suppliers and bundle high-overlap SKUs.
- Streamline tail by migrating volumes to top-performing suppliers per SKU.
2) **Insights / reasons for the suggested actions**
- Scope covers 109 suppliers, 19 materials, and 4 plants during 2019-01-01–2021-12-27 with total spend $321,582,885.
- Multiple vendors and significant price dispersion observed: RAW RICEBRAN OIL (49 vendors; median $0.922/kg; spread 80.5%); REFINED SUNFLOWER OIL EDIBLE (15 vendors; median $1.440/kg; spread 73.0%); Refined RBO Hair oil (16 vendors; median $1.120/kg; spread 67.9%).
- 79 tail vendors beyond 80% cumulative share account for $66,502,345 (20.7%).</t>
  </si>
  <si>
    <t>If vegetable oil PO/invoice analysis reveals identical oil grades with &gt;20% price variance across suppliers, simplify portfolio by consolidating to suppliers offering consistent pricing while maintaining quality specifications that meet &gt;80% of applications. List down those potential suppliers</t>
  </si>
  <si>
    <t>**Initiative:** Simplify the portfolio where possible to reduce complexity and costs.
1) **Recommended actions**
- Consolidate volumes with top suppliers and bundle high-overlap SKUs.
- Streamline tail by migrating volumes to top-performing suppliers per SKU.
- Negotiate target prices anchored to median observed $/kg by SKU and cap variance to acceptable range.
- Evaluate substitution to lower-cost, widely available oils where technically feasible.
2) **Insights / reasons for the suggested actions**
- Scope covers 109 suppliers, 19 materials, and 4 plants during 2019-01-01–2021-12-27 with total spend $321,582,885.
- Multiple vendors and significant price dispersion observed: RAW RICEBRAN OIL (49 vendors; median $0.922/kg; spread 80.5%); REFINED SUNFLOWER OIL EDIBLE (15 vendors; median $1.440/kg; spread 73.0%); Refined RBO Hair oil (16 vendors; median $1.120/kg; spread 67.9%).
- 79 tail vendors beyond 80% cumulative share account for $66,502,345 (20.7%).
- Intra-SKU vendor price dispersion supports should-cost: EXTRA VIRGIN OLIVE OIL: median $4.559/kg, range $3.877/kg–$4.993/kg (24.5%) | REFINED OLIVE OIL: median $4.033/kg, range $4.033/kg–$4.033/kg (0.0%).
- Candidate oils with low median price and broad supply: RAW RICEBRAN OIL ($0.922/kg); Raw Corn Oil ($1.039/kg); REFINED RICEBRAN OIL ($1.116/kg).</t>
  </si>
  <si>
    <t>**Initiative:** Rationalize specifications to allow for volume bundling and simplification.
1) **Recommended actions**
- Optimize supplier allocation by plant to reduce concentration and logistics complexity.
2) **Insights / reasons for the suggested actions**
- Scope covers 109 suppliers, 19 materials, and 4 plants during 2019-01-01–2021-12-27 with total spend $321,582,885.
- Plant concentration (HHI): India 0.41; Indonesia 0.15; Australia 0.11.</t>
  </si>
  <si>
    <t>**Initiative:** Rationalize specifications to allow for volume bundling and simplification.
1) **Recommended actions**
- (No direct action identified from available data.)
2) **Insights / reasons for the suggested actions**
- Scope covers 109 suppliers, 19 materials, and 4 plants during 2019-01-01–2021-12-27 with total spend $321,582,885.</t>
  </si>
  <si>
    <t>If speific vegetable oils' (e.g., sunflower, canola, Palm etc) spend data shows &gt;5-10% price variance across multiple SKUs with similar descriptions, highlight examples of such high price variance yet high similarilty SKUs</t>
  </si>
  <si>
    <t>**Initiative:** Rationalize specifications to allow for volume bundling and simplification.
1) **Recommended actions**
- Negotiate target prices anchored to median observed $/kg by SKU and cap variance to acceptable range.
2) **Insights / reasons for the suggested actions**
- Scope covers 109 suppliers, 19 materials, and 4 plants during 2019-01-01–2021-12-27 with total spend $321,582,885.
- Intra-SKU vendor price dispersion supports should-cost: EXTRA VIRGIN OLIVE OIL: median $4.559/kg, range $3.877/kg–$4.993/kg (24.5%) | REFINED OLIVE OIL: median $4.033/kg, range $4.033/kg–$4.033/kg (0.0%).</t>
  </si>
  <si>
    <t>If vegetable oil spend/revenue ratio exceeds external benchmarks, add this as an additional callout to highlight an outside-in view on the category</t>
  </si>
  <si>
    <t>**Initiative:** Broader supplier strategy to determine where to focus R&amp;D. Lock part of the price (mark-up) and follow market-based pricing. Use financial instruments to hedge risks. Lock volumes early in the season.
Approve multiple suppliers for specialty products to hedge against large risks.
1) **Recommended actions**
- Mitigate single-sourcing by dual-sourcing critical SKUs and diversifying supplier footprint.
2) **Insights / reasons for the suggested actions**
- Scope covers 109 suppliers, 19 materials, and 4 plants during 2019-01-01–2021-12-27 with total spend $321,582,885.
- Single-sourced SKUs identified: REFINED OLIVE OIL; Refined Canola Oil; ORDINARY VIRGIN OLIVE OIL.</t>
  </si>
  <si>
    <t>**Initiative:** Broader supplier strategy to determine where to focus R&amp;D. Lock part of the price (mark-up) and follow market-based pricing. Use financial instruments to hedge risks. Lock volumes early in the season.
Approve multiple suppliers for specialty products to hedge against large risks.
1) **Recommended actions**
- Mitigate single-sourcing by dual-sourcing critical SKUs and diversifying supplier footprint.
- Evaluate substitution to lower-cost, widely available oils where technically feasible.
2) **Insights / reasons for the suggested actions**
- Scope covers 109 suppliers, 19 materials, and 4 plants during 2019-01-01–2021-12-27 with total spend $321,582,885.
- Single-sourced SKUs identified: REFINED OLIVE OIL; Refined Canola Oil; ORDINARY VIRGIN OLIVE OIL.
- Candidate oils with low median price and broad supply: RAW RICEBRAN OIL ($0.922/kg); Raw Corn Oil ($1.039/kg); REFINED RICEBRAN OIL ($1.116/kg).</t>
  </si>
  <si>
    <t>**Initiative:** Broader supplier strategy to determine where to focus R&amp;D. Lock part of the price (mark-up) and follow market-based pricing. Use financial instruments to hedge risks. Lock volumes early in the season.
Approve multiple suppliers for specialty products to hedge against large risks.
1) **Recommended actions**
- Negotiate target prices anchored to median observed $/kg by SKU and cap variance to acceptable range.
- Mitigate single-sourcing by dual-sourcing critical SKUs and diversifying supplier footprint.
2) **Insights / reasons for the suggested actions**
- Scope covers 109 suppliers, 19 materials, and 4 plants during 2019-01-01–2021-12-27 with total spend $321,582,885.
- Intra-SKU vendor price dispersion supports should-cost: EXTRA VIRGIN OLIVE OIL: median $4.559/kg, range $3.877/kg–$4.993/kg (24.5%) | REFINED OLIVE OIL: median $4.033/kg, range $4.033/kg–$4.033/kg (0.0%).
- Single-sourced SKUs identified: REFINED OLIVE OIL; Refined Canola Oil; ORDINARY VIRGIN OLIVE OIL.</t>
  </si>
  <si>
    <t>**Initiative:** Broader supplier strategy to determine where to focus R&amp;D. Lock part of the price (mark-up) and follow market-based pricing. Use financial instruments to hedge risks. Lock volumes early in the season.
Approve multiple suppliers for specialty products to hedge against large risks.
1) **Recommended actions**
- Optimize supplier allocation by plant to reduce concentration and logistics complexity.
- Mitigate single-sourcing by dual-sourcing critical SKUs and diversifying supplier footprint.
2) **Insights / reasons for the suggested actions**
- Scope covers 109 suppliers, 19 materials, and 4 plants during 2019-01-01–2021-12-27 with total spend $321,582,885.
- Plant concentration (HHI): India 0.41; Indonesia 0.15; Australia 0.11.
- Single-sourced SKUs identified: REFINED OLIVE OIL; Refined Canola Oil; ORDINARY VIRGIN OLIVE OIL.</t>
  </si>
  <si>
    <t>Broader supplier strategy to determine where to focus R&amp;D. Lock part of the price (mark-up) and follow market-based pricing. Use financial instruments to hedge risks. Lock volumes early in the season.
Enable recipe flexibility to expand sourcing options.</t>
  </si>
  <si>
    <t>Innovation breakthrough</t>
  </si>
  <si>
    <t>If vegetable oil category has single supplier &gt;60% of spend for specific oil type (e.g., palm oil), enable recipe flexibility to substitute with alternative oils during supply disruptions</t>
  </si>
  <si>
    <t>**Initiative:** Broader supplier strategy to determine where to focus R&amp;D. Lock part of the price (mark-up) and follow market-based pricing. Use financial instruments to hedge risks. Lock volumes early in the season.
Enable recipe flexibility to expand sourcing options.
1) **Recommended actions**
- Evaluate substitution to lower-cost, widely available oils where technically feasible.
2) **Insights / reasons for the suggested actions**
- Scope covers 109 suppliers, 19 materials, and 4 plants during 2019-01-01–2021-12-27 with total spend $321,582,885.
- Candidate oils with low median price and broad supply: RAW RICEBRAN OIL ($0.922/kg); Raw Corn Oil ($1.039/kg); REFINED RICEBRAN OIL ($1.116/kg).</t>
  </si>
  <si>
    <t>If external data shows vegetable oil market &gt;$X billion with alternative oil segments (algae, synthetic) growing &gt;40%, while vegetable oil spend analysis shows &gt;85% traditional oils (palm, soy, canola), enable recipe flexibility to incorporate innovative oil alternatives</t>
  </si>
  <si>
    <t>If external vegetable oil market shows specialty/functional oils growing &gt;25% CAGR while vegetable oil category shows &gt;70% conventional oils, implement recipe flexibility to access high-growth oil segments like avocado, coconut, or specialty blends</t>
  </si>
  <si>
    <t>If external vegetable oil market shows emerging segments (sustainable oils) while vegetable oil contracts show &gt;60% traditional commodity oils with no flexibility clauses, develop recipe innovation to access next-generation oil solutions</t>
  </si>
  <si>
    <t>If external vegetable oil consolidation shows integrated suppliers offering multiple oil types while vegetable oil spend shows &gt;50% single-oil suppliers, enable recipe flexibility to leverage consolidated suppliers' broader oil portfolios</t>
  </si>
  <si>
    <t>**Initiative:** Broader supplier strategy to determine where to focus R&amp;D. Lock part of the price (mark-up) and follow market-based pricing. Use financial instruments to hedge risks. Lock volumes early in the season.
Enable recipe flexibility to expand sourcing options.
1) **Recommended actions**
- Consolidate volumes with top suppliers and bundle high-overlap SKUs.
- Streamline tail by migrating volumes to top-performing suppliers per SKU.
- Evaluate substitution to lower-cost, widely available oils where technically feasible.
2) **Insights / reasons for the suggested actions**
- Scope covers 109 suppliers, 19 materials, and 4 plants during 2019-01-01–2021-12-27 with total spend $321,582,885.
- Multiple vendors and significant price dispersion observed: RAW RICEBRAN OIL (49 vendors; median $0.922/kg; spread 80.5%); REFINED SUNFLOWER OIL EDIBLE (15 vendors; median $1.440/kg; spread 73.0%); Refined RBO Hair oil (16 vendors; median $1.120/kg; spread 67.9%).
- 79 tail vendors beyond 80% cumulative share account for $66,502,345 (20.7%).
- Candidate oils with low median price and broad supply: RAW RICEBRAN OIL ($0.922/kg); Raw Corn Oil ($1.039/kg); REFINED RICEBRAN OIL ($1.116/kg).</t>
  </si>
  <si>
    <t>Contextualized initiative summary</t>
  </si>
  <si>
    <t>The spend data indicates a very high degree of regional concentration, presenting a strong opportunity for focused consolidation efforts. Analysis of plant-level spend reveals that the top three plants—PH06 (Malaysia), SHJ2 (Malaysia), and PH1A (Malaysia)—collectively account for approximately 87% of the total vegetable oil expenditure. This concentration suggests that initial volume bundling and supplier consolidation strategies can be highly effective by targeting these key Malaysian operations to maximize negotiation leverage and achieve economies of scale.</t>
  </si>
  <si>
    <t>The analysis confirms a strong opportunity for volume bundling, primarily driven by high spend concentration in Malaysian plants and significant supplier fragmentation for key materials like Raw Ricebran Oil. The data also reveals single-sourcing risks for critical materials such as Refined Sunflower Oil. A dual strategy is recommended: first, focus consolidation efforts on the top suppliers in Malaysia to yield immediate savings, and second, use the resulting leverage to develop secondary supply sources, mitigating both geographic and supplier dependency risks.</t>
  </si>
  <si>
    <t>The spend data reveals a critical single-sourcing risk for 'Refined Sunflower Oil Edible' (Material 105777), a high-value product. All transactions for this material are with a single supplier, FRIGORIFICO ALLANA PRIVATE LIMITED, primarily at the SHHJ plant in India. This complete dependency on one supplier for a key edible oil creates significant supply chain vulnerability. Any disruption at this supplier could halt production, highlighting an urgent need to qualify and onboard alternative vendors to mitigate this risk.</t>
  </si>
  <si>
    <t>Supplier Fragmentation</t>
  </si>
  <si>
    <t>If the top 20% of suppliers for a high-spend category account for less than 80% of the spend, then significant opportunities for volume consolidation and negotiation exist</t>
  </si>
  <si>
    <t>If the top 20% of suppliers for a high-spend category account for less than 80% of the spend, then significant opportunities for volume consolidation and negotiation exist. Call out top suppliers as examples where consolidation may be possible</t>
  </si>
  <si>
    <t>The supplier base for the highest-spend material, 'RAW RICEBRAN OIL' (Material 102038), is highly fragmented. The top 20% of suppliers (approximately 8 out of 40+ unique vendors) account for only 48% of the total spend for this category. This falls well below the 80% threshold, indicating a long tail of low-volume suppliers and a substantial opportunity to consolidate spend. Strategic consolidation with high-volume incumbents like SAKLECHA SOLVENTEX PVT. LTD., SIDDAGANGA OIL &amp; BIO INDUSTRIES, and SULOCHANA AGRO &amp; INFRATECH could significantly increase negotiation leverage.</t>
  </si>
  <si>
    <t>Supplier Fragmentation - Inefficiency</t>
  </si>
  <si>
    <t>No analysis prompt provided.</t>
  </si>
  <si>
    <t>SKU Proliferation</t>
  </si>
  <si>
    <t>If a large number of unique SKUs/Items (&gt;10) that do not represent unique functionalities or specialized needs, then significant opportunities for volume consolidation and negotiation exist</t>
  </si>
  <si>
    <t>Price Variance</t>
  </si>
  <si>
    <t>If analysis of PO/invoice line-item data for the same item/SKU reveals significant unit price variance (e.g., &gt;15%) across different suppliers or plants within the same time frame, then there's an immediate, quantifiable savings opportunity through price standardization</t>
  </si>
  <si>
    <t>If analysis of PO/invoice line-item data for the same item/SKU reveals significant unit price variance (e.g., &gt;15%) across different suppliers or plants within the same time frame, then there's an immediate, quantifiable savings opportunity through price standardization. List down those suppliers and plants</t>
  </si>
  <si>
    <t>Significant price variance exists for identical materials, indicating a clear opportunity for cost savings. For 'RAW RICEBRAN OIL' (Material 102038) procured for the Malaysia plant (PH06), the price per kg varied by over 16% in July-August 2021. For example, transactions with RAICHUR SOLVENTS LIMITED were priced at approximately $1.27/kg, while transactions with VIJAY KUMAR AGRO OILS PVT. LTD. were as high as $1.48/kg. This variance on a high-volume commodity presents a strong case for standardizing prices by shifting volume to more competitive suppliers or using the lowest price as a benchmark for negotiation with all incumbents.</t>
  </si>
  <si>
    <t>Significant opportunities exist to apply more rigorous pricing strategies. Data reveals high price variance (over 15%) for the same material at the same location, indicating that immediate savings can be achieved through price standardization and shifting volume to lower-cost incumbents. This provides a strong business case for developing should-cost models to better challenge supplier pricing during negotiations. The high percentage of spend with a limited number of suppliers also suggests that the organization has sufficient leverage to drive these pricing discussions effectively.</t>
  </si>
  <si>
    <t>Supplier Concentration - High Leverage</t>
  </si>
  <si>
    <t>If the top 10-20% of suppliers (by count) account for a disproportionately high percentage of total spend (e.g., &gt;80%), then the client has significant leverage to negotiate favorable terms, including volume discounts and rebates</t>
  </si>
  <si>
    <t>The analysis shows a high degree of supplier concentration, indicating significant negotiation leverage. The top 10% of suppliers (approximately 5 vendors) account for over 40% of the total spend in the vegetable oils category. Key suppliers in this group include TIRUMALA OIL CHEM INDIA PVT LTD, SAKLECHA SOLVENTEX PVT. LTD., and UNIVERSAL AGRO FOOD INDUSTRIES. While this does not meet the 80% threshold for extreme concentration, it demonstrates that a substantial portion of the total expenditure is directed towards a small, strategic group of suppliers, providing considerable leverage for negotiating volume-based discounts, rebates, and standardized pricing.</t>
  </si>
  <si>
    <t>Maverick Spend - Process Efficiency &amp; Control Issue</t>
  </si>
  <si>
    <t>If a high percentage of invoices lack an associated PO in the spend data, or if the average invoice value is significantly lower than the average PO value, then transactional control is weak, leading to potential no PO, no pay policy violations and higher processing costs</t>
  </si>
  <si>
    <t>Local Sourcing Opportunity</t>
  </si>
  <si>
    <t>If a significant portion of spend for a plant/region is sourced from distant or international suppliers when viable local alternatives exist, then a sourcing shift could yield savings due to reduced transportation and tarriffs</t>
  </si>
  <si>
    <t>The data does not contain supplier location information, which is necessary to conduct a detailed local sourcing analysis. However, the heavy concentration of spend in Malaysia and India suggests that a review of the supply base for each region is warranted. An initiative to map the geographic location of key suppliers like UNIVERSAL STARCH-CHEM ALLIED LTD (for Corn Oil) or SANJAY SOYA PRIVATE LTD (for Soyabean Oil) against the plant locations they serve could reveal opportunities to reduce freight costs and lead times by prioritizing suppliers closer to the points of consumption.</t>
  </si>
  <si>
    <t>SKU Rationalization &amp; Price Standardization</t>
  </si>
  <si>
    <t>If analysis of PO/invoice line-item data for similar items/SKUs (e.g., different grades of the same material) reveals significant unit prices (e.g., &gt;15% variance) in the time frame, then there's an immediate, quantifiable savings opportunity through price standardization</t>
  </si>
  <si>
    <t>The portfolio contains multiple SKUs with similar descriptions that could be rationalized. For example, the company procures both 'REFINED RICEBRAN OIL' (Material 100288) and 'Refined RBO Hair oil' (Material 301866). These are sourced from different suppliers at varying price points. A technical review is warranted to determine if these specifications can be harmonized into a single, standard grade. Consolidating volume under one SKU would enhance negotiating power with key suppliers in this sub-category, such as RAMDEVBABA SOLVENT PVT LTD and RICELA HEALTH FOODS LTD, and reduce overall portfolio complexity.</t>
  </si>
  <si>
    <t>The product portfolio shows clear signs of complexity that can be addressed for savings. The presence of multiple, functionally similar SKUs like different grades of Refined Ricebran Oil, often with significant price variance between them, suggests a strong opportunity for a specification rationalization initiative. By harmonizing specifications and consolidating volume, the company can reduce its supplier base and achieve better pricing through economies of scale.</t>
  </si>
  <si>
    <t>Tail Spend Consolidation - Administrative &amp; Price Savings</t>
  </si>
  <si>
    <t>If the lowest 10-20% of total spend (by value) is distributed across more than 70-80% of the total unique suppliers, then significant opportunity exists for both administrative cost reduction (managing fewer vendors) and price savings through consolidation. Call out some of the tail spend suppliers as examples</t>
  </si>
  <si>
    <t>The analysis confirms a significant tail spend that is ripe for consolidation. The bottom 10% of total spend is fragmented across approximately 75% of the entire supplier base. This means a large number of vendors, such as M/S ABHAY SOLVENTS PVT LTD and PRAKRUTHI SOLVEX PRIVATE LIMITED, receive a very small volume of business. This fragmentation creates disproportionately high administrative and transactional costs relative to the spend value. An aggressive rationalization of this tail spend, potentially by migrating purchases to a single distributor or consolidating with strategic suppliers, would yield substantial process efficiencies and likely price benefits.</t>
  </si>
  <si>
    <t>The analysis strongly supports an initiative for specification and supplier base rationalization. A highly fragmented tail spend, where over 75% of suppliers account for just 10% of the spend, indicates significant administrative inefficiency and untapped consolidation savings. Furthermore, high price variance among SKUs with similar descriptions points to a clear opportunity to harmonize specifications, which would enable further volume bundling and cost reduction.</t>
  </si>
  <si>
    <t>If analysis of PO/invoice line-item data for similar items/SKUs (e.g., different grades of the same material) reveals significant unit prices (e.g., &gt;15% variance) in the time frame, then there's an immediate, quantifiable savings opportunity through price standardization. Highlight examples of such high price variance yet high similarilty SKUs</t>
  </si>
  <si>
    <t>The data shows a clear opportunity for SKU rationalization. The company purchases multiple rice bran oil variants, including 'RAW RICEBRAN OIL' (102038), 'REFINED RICEBRAN OIL' (100288), and 'Refined RBO Hair oil' (301866). While raw and refined oils serve different purposes, the distinction between the two refined oils should be technically validated. If their functional specifications are similar, the volumes could be consolidated. This would increase purchasing power and simplify the supply chain by reducing the number of unique materials being managed.</t>
  </si>
  <si>
    <t>Broader supplier strategy to determine where to focus R&amp;D. Lock part of the price (mark-up) and follow market-based pricing. Use financial instruments to hedge risks. Lock volumes early in the season. Approve multiple suppliers for specialty products to hedge against large risks.</t>
  </si>
  <si>
    <t>The spend data includes over 10 unique vegetable oil SKUs, including multiple grades of Ricebran Oil (Raw, Refined, Refined for Hair Oil), Sunflower Oil (Refined Edible, standard), Soyabean Oil, Corn Oil, and Mustard Oil. While some of these serve distinct functions, the presence of multiple refined rice bran oil products suggests an opportunity for consolidation. A technical review to harmonize specifications could reduce this number, allowing for larger volume contracts with key suppliers, which would in turn facilitate more effective risk management strategies like long-term agreements or hedging.</t>
  </si>
  <si>
    <t>The data highlights clear opportunities to enhance risk management. The existence of single-source dependency for critical items like 'Refined Sunflower Oil Edible' (supplier: FRIGORIFICO ALLANA PRIVATE LIMITED) poses a significant supply continuity risk. Furthermore, the proliferation of over 10 unique SKUs fragments volume, making it difficult to engage in strategic risk mitigation tactics like hedging or long-term contracts. A dual approach of qualifying alternative suppliers for critical oils and rationalizing the SKU portfolio would create a more resilient and strategically managed supply chain.</t>
  </si>
  <si>
    <t>If a high-spend category (e.g., top 10% of total spend categories) or a critical category is supplied by only one unique supplier, then the client faces elevated supply chain and operational risk due to dependency. List down those suppliers including financially stable alternatives and emerging market suppliers</t>
  </si>
  <si>
    <t>Supplier Concentration - Low Leverage</t>
  </si>
  <si>
    <t>If the top 10-20% of suppliers (by count) account for a low percentage of total spend (e.g., &lt;50%), then the client has limited negotiation leverage, potentially limiting leverage and increasing exposure to a few vendor's issues</t>
  </si>
  <si>
    <t>The current sourcing strategy is heavily concentrated in Malaysia and India, which together account for nearly all of the spend. While this simplifies logistics, it also creates significant geographic risk. There is a clear opportunity to diversify sourcing origins to mitigate this risk and potentially capture cost advantages from other markets. An initiative to explore and qualify suppliers in alternative low-cost regions (e.g., Indonesia for palm oil derivatives, South America for soyabean oil) would build a more resilient and cost-effective global supply chain.</t>
  </si>
  <si>
    <t>Use export data to identify top exporting-to-importing region combinations, e.g., Malaysia to China for palm oil or Argentina to India for soybean oil, to validate current sourcing routes or identify new, potentially lower-cost sourcing origins</t>
  </si>
  <si>
    <t>...</t>
  </si>
  <si>
    <r>
      <t>Contextualized Summary:</t>
    </r>
    <r>
      <rPr>
        <sz val="11"/>
        <color theme="1"/>
        <rFont val="Calibri"/>
        <family val="2"/>
        <scheme val="minor"/>
      </rPr>
      <t xml:space="preserve"> Analysis of the spend data reveals that 100% of the recorded spend occurs within a single country, Malaysia, across plants PH06, PH1A, and SHJ2. This high geographic concentration presents an immediate and highly addressable opportunity for regional volume consolidation. For instance, Raw Ricebran Oil is sourced from a fragmented base of over 10 suppliers within Malaysia alone. Bundling this volume with a smaller set of strategic partners in the region can maximize economies of scale and enhance negotiating leverage.   </t>
    </r>
  </si>
  <si>
    <r>
      <t>Contextualized Summary:</t>
    </r>
    <r>
      <rPr>
        <sz val="11"/>
        <color theme="1"/>
        <rFont val="Calibri"/>
        <family val="2"/>
        <scheme val="minor"/>
      </rPr>
      <t xml:space="preserve"> This initiative focuses on bundling volumes across various SKUs to leverage economies of scale for savings. It suggests targeting high-spend items purchased from multiple suppliers and consolidating tail-spend SKUs.</t>
    </r>
  </si>
  <si>
    <t>Supplier Fragmentation - Opportunity for Consolidation &amp; Administrative Savings</t>
  </si>
  <si>
    <t>If a category has its spend distributed across a high number of unique suppliers (e.g., &gt;10) that do not represent unique functionalities or specialized needs, then significant opportunities for volume consolidation and negotiation exist</t>
  </si>
  <si>
    <t>If the average spend per active supplier (total spend / total unique suppliers) is significantly lower than industry benchmarks or internal targets, especially when revenue is stagnant or declining, it indicates potential inefficiencies in supplier management and missed opportunities for volume-based discounts</t>
  </si>
  <si>
    <r>
      <t>Contextualized Summary:</t>
    </r>
    <r>
      <rPr>
        <sz val="11"/>
        <color theme="1"/>
        <rFont val="Calibri"/>
        <family val="2"/>
        <scheme val="minor"/>
      </rPr>
      <t xml:space="preserve"> This initiative advocates for challenging supplier pricing by implementing should-cost models. It also suggests incorporating data automation to streamline the calculation of should-cost-based prices for improved negotiation and cost-effectiveness.</t>
    </r>
  </si>
  <si>
    <r>
      <t>Contextualized Summary:</t>
    </r>
    <r>
      <rPr>
        <sz val="11"/>
        <color theme="1"/>
        <rFont val="Calibri"/>
        <family val="2"/>
        <scheme val="minor"/>
      </rPr>
      <t xml:space="preserve"> This initiative proposes reviewing packaging sizes and exploring bulk or flexi-tank delivery options. The goal is to enhance supply chain efficiency and achieve cost reductions through optimized logistics and handling.</t>
    </r>
  </si>
  <si>
    <t>Price Variance Across Suppliers - Immediate Savings Opportunity</t>
  </si>
  <si>
    <t>If identical items are purchased from different suppliers or at different times at widely varying unit prices (e.g., &gt;15% variance) in the time frame, then there's an immediate, quantifiable savings opportunity through price standardization</t>
  </si>
  <si>
    <r>
      <t>Contextualized Summary:</t>
    </r>
    <r>
      <rPr>
        <sz val="11"/>
        <color theme="1"/>
        <rFont val="Calibri"/>
        <family val="2"/>
        <scheme val="minor"/>
      </rPr>
      <t xml:space="preserve"> Spend data analysis confirms significant price variance for identical materials. For Raw Ricebran Oil purchased for plant PH06 in July-August 2021, unit prices per kg ranged from approximately $1.27 to $1.50, a variance exceeding 18%. This highlights a clear opportunity to simplify the portfolio by consolidating spend with suppliers offering consistent, competitive pricing, while ensuring quality specifications meet the needs of over 80% of applications.   </t>
    </r>
  </si>
  <si>
    <r>
      <t>Contextualized Summary:</t>
    </r>
    <r>
      <rPr>
        <sz val="11"/>
        <color theme="1"/>
        <rFont val="Calibri"/>
        <family val="2"/>
        <scheme val="minor"/>
      </rPr>
      <t xml:space="preserve"> This initiative recommends simplifying the vegetable oil portfolio to reduce complexity and associated costs. This involves a strategic review process to identify and eliminate redundant or low-value SKUs, thereby enhancing procurement efficiency.</t>
    </r>
  </si>
  <si>
    <t>If spend data for key vegetable oils (e.g., Sunflower, Palm etc) spend data shows &gt;5-10% price variance across multiple SKUs with similar descriptions, highlight examples of such high price variance yet high similarilty SKUs</t>
  </si>
  <si>
    <r>
      <t>Contextualized Summary:</t>
    </r>
    <r>
      <rPr>
        <sz val="11"/>
        <color theme="1"/>
        <rFont val="Calibri"/>
        <family val="2"/>
        <scheme val="minor"/>
      </rPr>
      <t xml:space="preserve"> Analysis of spend data for Raw Ricebran Oil and Refined Ricebran Oil reveals significant price variance, often exceeding 15% for the same material within the same month. This suggests that functionally similar SKUs are being sourced at inconsistent price points. Rationalizing specifications to a common standard would enable greater volume bundling, reduce sourcing complexity, and directly address this price variance to capture immediate savings.   </t>
    </r>
  </si>
  <si>
    <r>
      <t>Contextualized Summary:</t>
    </r>
    <r>
      <rPr>
        <sz val="11"/>
        <color theme="1"/>
        <rFont val="Calibri"/>
        <family val="2"/>
        <scheme val="minor"/>
      </rPr>
      <t xml:space="preserve"> This initiative involves rationalizing product specifications to facilitate volume bundling and simplify the sourcing process. The objective is to standardize requirements where possible, reducing SKU proliferation and creating larger, more attractive bid packages for suppliers.</t>
    </r>
  </si>
  <si>
    <t>Maverick Buying - Process Efficiency &amp; Control Issue</t>
  </si>
  <si>
    <r>
      <t>Contextualized Summary:</t>
    </r>
    <r>
      <rPr>
        <sz val="11"/>
        <color theme="1"/>
        <rFont val="Calibri"/>
        <family val="2"/>
        <scheme val="minor"/>
      </rPr>
      <t xml:space="preserve"> This initiative focuses on using financial instruments like hedging and strategic long-term contracts to manage the risks inherent in volatile vegetable oil procurement. It includes tactics such as locking in prices or volumes early and approving multiple suppliers for critical specialty products to mitigate supply disruption risks.</t>
    </r>
  </si>
  <si>
    <r>
      <t>Contextualized Summary:</t>
    </r>
    <r>
      <rPr>
        <sz val="11"/>
        <color theme="1"/>
        <rFont val="Calibri"/>
        <family val="2"/>
        <scheme val="minor"/>
      </rPr>
      <t xml:space="preserve"> This initiative involves strategically switching sourcing origins for vegetable oils to capitalize on favorable market dynamics, cost advantages, or improved availability in different geographic regions.</t>
    </r>
  </si>
  <si>
    <t>Use export data to identify top exporting-to-importing region combinations, call these out and position this as a market view on sourcing geography trends</t>
  </si>
  <si>
    <r>
      <t>Contextualized Summary:</t>
    </r>
    <r>
      <rPr>
        <sz val="11"/>
        <color theme="1"/>
        <rFont val="Calibri"/>
        <family val="2"/>
        <scheme val="minor"/>
      </rPr>
      <t xml:space="preserve"> The spend data indicates that 100% of the current sourcing for vegetable oils is concentrated in Malaysia. While this allows for regional consolidation, it also represents a geographic risk. A strategic analysis of global export data is recommended to identify other major producing and exporting countries. This market view will reveal potential alternative sourcing regions that could offer cost benefits, supply diversification, and risk mitigation against geopolitical or climate-related issues in Southeast Asia.   </t>
    </r>
  </si>
  <si>
    <t>1. Calculate 'category spend / # of unique suppliers' 2. If value &lt; benchmark, then this category is relatively fragmented compare to peers i.e., there is a potential for consolidation</t>
  </si>
  <si>
    <r>
      <t>Contextualized Summary:</t>
    </r>
    <r>
      <rPr>
        <sz val="11"/>
        <color theme="1"/>
        <rFont val="Calibri"/>
        <family val="2"/>
        <scheme val="minor"/>
      </rPr>
      <t xml:space="preserve"> This initiative aims to maximize resource utilization and reduce costs by leveraging by-product opportunities, such as implementing combo buying strategies for items like bran and wheat flour.</t>
    </r>
  </si>
  <si>
    <t>GenAI summary</t>
  </si>
  <si>
    <t>2</t>
  </si>
  <si>
    <t>0.04</t>
  </si>
  <si>
    <t>0.1</t>
  </si>
  <si>
    <t>0.8</t>
  </si>
  <si>
    <t>0.06785714285714287</t>
  </si>
  <si>
    <t>0.08285714285714287</t>
  </si>
  <si>
    <t>2714285.714285715</t>
  </si>
  <si>
    <t>3314285.7142857146</t>
  </si>
  <si>
    <t>0.02</t>
  </si>
  <si>
    <t>0.05</t>
  </si>
  <si>
    <t>0.035</t>
  </si>
  <si>
    <t>0.17283950617283952</t>
  </si>
  <si>
    <t>469135.80246913596</t>
  </si>
  <si>
    <t>572839.5061728397</t>
  </si>
  <si>
    <t>Initiative: Bundle volumes across SKUs to achieve savings derived from better economies of scale. Focus on high-spend SKUs that are purchased from multiple suppliers. Potentially consolidate SKUs within the tail. Context test: If a large number of countries/regions (&gt;3-4) contributte to the top &gt;80% spend, then call out these countries/examples with potential for consolidation. If SKU/item level data is available, share examples of top SKUs/items that have a one-to-many mapping between plants/countries/regions-to-suppliers Data signals: Vegetable oils snapshot totals $321,582,885 with 109 suppliers across 4 plant(s). Top 3 suppliers (TIRUMALA OIL CHEM INDIA PVT LTD, A.P.REFINERY PVT LTD, P.B.S.OIL INDUSTRIES LTD) hold 22.3%. max observed unit-price variance is 100.7% for SUNFLOWER OIL.  Hypothesis lens: 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Assessment: Data provides directional support; validate with targeted RFx and supplier discussions. Recommendation: Pilot on top 2–3 vendors, then scale with measurable KPIs (price, service level, on-time delivery).</t>
  </si>
  <si>
    <t>Bundle volumes across SKUs to achieve savings derived from better economies of scale. Focus on high-spend SKUs that are purchased from multiple suppliers. Potentially consolidate SKUs within the tail. If a large number of countries/regions (&gt;3-4) contributte to the top &gt;80% spend, then call out these countries/examples with potential for consolidation. If SKU/item level data is available, share examples of top SKUs/items that have a one-to-many mapping between plants/countries/regions-to-suppliers Vegetable oils snapshot totals $321,582,885 with 109 suppliers across 4 plant(s). Top 3 suppliers (TIRUMALA OIL CHEM INDIA PVT LTD, A.P.REFINERY PVT LTD, P.B.S.OIL INDUSTRIES LTD) hold 22.3%. max observed unit-price variance is 100.7% for SUNFLOWER OIL.  This aligns with the hypothesis that 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Data offers directional support, requiring targeted RFx and supplier engagement to validate potential. Pilot with top vendors, scaling based on measurable performance metrics.</t>
  </si>
  <si>
    <t>Bundle volumes across SKUs to achieve savings derived from better economies of scale. Focus on high-spend SKUs that are purchased from multiple suppliers. Potentially consolidate SKUs within the tail. If a large number of countries/regions (&gt;3-4) contributte to the top &gt;80% spend, then call out these countries/examples with potential for consolidation.</t>
  </si>
  <si>
    <t>Initiative: Bundle volumes across SKUs to achieve savings derived from better economies of scale. Focus on high-spend SKUs that are purchased from multiple suppliers. Potentially consolidate SKUs within the tail Context test: In case this proof-point shows high fragmentation in bottom 20% spend, then augment the initiative by describing the extent of fragmentation e.g., &gt;90% supplier make up the bottom 20% spend. Data signals: In the vegetable oils snapshot, total spend is $321,582,885 across 109 suppliers and 4 plant(s); top 3 suppliers (TIRUMALA OIL CHEM INDIA PVT LTD, A.P.REFINERY PVT LTD, P.B.S.OIL INDUSTRIES LTD) hold 22.3% share (top 1 holds 7.9%). max observed unit-price variance is 100.7% for SUNFLOWER OIL.  Hypothesis lens: If the lowest 10-20% of total spend (by value) is distributed across more than 70-80% of the total unique suppliers, then significant opportunity exists for both administrative cost reduction (managing fewer vendors) and price savings through consolidation Assessment: Supplier concentration is moderate; bundle selectively around top vendors. Recommendation: Run a two-lot RFx: (1) strategic bundle across highest-overlap sites, (2) tail consolidation with exit plan for long tail.</t>
  </si>
  <si>
    <t>Bundle volumes across SKUs to achieve savings derived from better economies of scale. Focus on high-spend SKUs that are purchased from multiple suppliers. Potentially consolidate SKUs within the tail In case this proof-point shows high fragmentation in bottom 20% spend, then augment the initiative by describing the extent of fragmentation e.g., &gt;90% supplier make up the bottom 20% spend. In the vegetable oils snapshot, total spend is $321,582,885 across 109 suppliers and 4 plant(s); top 3 suppliers (TIRUMALA OIL CHEM INDIA PVT LTD, A.P.REFINERY PVT LTD, P.B.S.OIL INDUSTRIES LTD) hold 22.3% share (top 1 holds 7.9%). max observed unit-price variance is 100.7% for SUNFLOWER OIL.  This aligns with the hypothesis that if the lowest 10-20% of total spend (by value) is distributed across more than 70-80% of the total unique suppliers, then significant opportunity exists for both administrative cost reduction (managing fewer vendors) and price savings through consolidation. Supplier concentration is moderate, suggesting selective bundling around top vendors. Conduct a two-lot RFx combining strategic bundles with a tail consolidation plan.</t>
  </si>
  <si>
    <t>Initiative: Bundle volumes across SKUs to achieve savings derived from better economies of scale. Focus on high-spend SKUs that are purchased from multiple suppliers. Potentially consolidate SKUs within the tail Context test: If top categories and/or SKUs/items have multiple suppliers; and if these suppliers provide similar/identical products and services; then callout these examples of suppliers that can be consolidated Data signals: Across the vegetable oils snapshot, max observed unit-price variance is 100.7% for SUNFLOWER OIL; consider specification harmonization and should-cost benchmarking. Supplier base: 109; top vendor share: 7.9%. Hypothesis lens: 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 Assessment: Significant price dispersion observed (up to 100.7%); supports variance-reduction actions. Recommendation: Benchmark identical SKUs, normalize specs, and set variance guardrails; shift volume to best-value vendors.</t>
  </si>
  <si>
    <t>Bundle volumes across SKUs to achieve savings derived from better economies of scale. Focus on high-spend SKUs that are purchased from multiple suppliers. Potentially consolidate SKUs within the tail If top categories and/or SKUs/items have multiple suppliers; and if these suppliers provide similar/identical products and services; then callout these examples of suppliers that can be consolidated Across the vegetable oils snapshot, max observed unit-price variance is 100.7% for SUNFLOWER OIL; consider specification harmonization and should-cost benchmarking. Supplier base: 109; top vendor share: 7.9%. This aligns with the hypothesis that 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 Significant price dispersion observed (up to 100.7%), supporting variance-reduction actions. Benchmark identical SKUs, harmonize specifications, and shift volumes to best-value vendors.</t>
  </si>
  <si>
    <t>Initiative: Bundle volumes across SKUs to achieve savings derived from better economies of scale. Focus on high-spend SKUs that are purchased from multiple suppliers. Potentially consolidate SKUs within the tail Context test: If this hypothesis is tested and holds true, then callout examples of the highest spend SKUs that have price variations across suppliers Data signals: Vegetable oils snapshot totals $321,582,885 with 109 suppliers across 4 plant(s). Top 3 suppliers (TIRUMALA OIL CHEM INDIA PVT LTD, A.P.REFINERY PVT LTD, P.B.S.OIL INDUSTRIES LTD) hold 22.3%. max observed unit-price variance is 100.7% for SUNFLOWER OIL.  Hypothesis lens: If the same SKU, part number, or highly similar service description is purchased from different suppliers or at different times at widely varying unit prices (e.g., &gt;15% variance) in the time frame, then there's an immediate, quantifiable savings opportunity through price standardization Assessment: Data provides directional support; validate with targeted RFx and supplier discussions. Recommendation: Pilot on top 2–3 vendors, then scale with measurable KPIs (price, service level, on-time delivery).</t>
  </si>
  <si>
    <t>Bundle volumes across SKUs to achieve savings derived from better economies of scale. Focus on high-spend SKUs that are purchased from multiple suppliers. Potentially consolidate SKUs within the tail If this hypothesis is tested and holds true, then callout examples of the highest spend SKUs that have price variations across suppliers Vegetable oils snapshot totals $321,582,885 with 109 suppliers across 4 plant(s). Top 3 suppliers (TIRUMALA OIL CHEM INDIA PVT LTD, A.P.REFINERY PVT LTD, P.B.S.OIL INDUSTRIES LTD) hold 22.3%. max observed unit-price variance is 100.7% for SUNFLOWER OIL.  This aligns with the hypothesis that if the same SKU, part number, or highly similar service description is purchased from different suppliers or at different times at widely varying unit prices (e.g., &gt;15% variance) in the time frame, then there's an immediate, quantifiable savings opportunity through price standardization. Data offers directional support, requiring targeted RFx and supplier engagement to validate potential. Pilot with top vendors, scaling based on measurable performance metrics.</t>
  </si>
  <si>
    <t>Initiative: Bundle volumes across SKUs to achieve savings derived from better economies of scale. Focus on high-spend SKUs that are purchased from multiple suppliers. Potentially consolidate SKUs within the tail Context test: In case there are recent industry / supplier examples of consolidation, especially for any of the incumbents, then call out those examples Data signals: Current supplier base is 109 with 4 plant(s) served; max observed unit-price variance is 100.7% for SUNFLOWER OIL. Catalog and spec alignment can unlock cross-site comparability. Hypothesis lens: Market Consolidation Assessment: Data provides directional support; validate with targeted RFx and supplier discussions. Recommendation: Define a core spec and approved substitute list; enforce catalog and price parity across plants.</t>
  </si>
  <si>
    <t>Bundle volumes across SKUs to achieve savings derived from better economies of scale. Focus on high-spend SKUs that are purchased from multiple suppliers. Potentially consolidate SKUs within the tail In case there are recent industry / supplier examples of consolidation, especially for any of the incumbents, then call out those examples Current supplier base is 109 with 4 plant(s) served; max observed unit-price variance is 100.7% for SUNFLOWER OIL. Catalog and spec alignment can unlock cross-site comparability. This aligns with the hypothesis that market Consolidation. Data offers directional support, requiring targeted RFx and supplier engagement to validate potential. Define a unified specification and enforce catalog alignment across plants.</t>
  </si>
  <si>
    <t>Initiative: Bundle volumes across SKUs to achieve savings derived from better economies of scale. Focus on high-spend SKUs that are purchased from multiple suppliers. Potentially consolidate SKUs within the tail Context test: Add directional risk scores for regions (corresponding to identified suppliers) highlighted as examples where consolidation may be possible Data signals: Vegetable oils snapshot totals $321,582,885 with 109 suppliers across 4 plant(s). Top 3 suppliers (TIRUMALA OIL CHEM INDIA PVT LTD, A.P.REFINERY PVT LTD, P.B.S.OIL INDUSTRIES LTD) hold 22.3%. max observed unit-price variance is 100.7% for SUNFLOWER OIL.  Hypothesis lens: Supplier Location Assessment: Data provides directional support; validate with targeted RFx and supplier discussions. Recommendation: Pilot on top 2–3 vendors, then scale with measurable KPIs (price, service level, on-time delivery).</t>
  </si>
  <si>
    <t>Bundle volumes across SKUs to achieve savings derived from better economies of scale. Focus on high-spend SKUs that are purchased from multiple suppliers. Potentially consolidate SKUs within the tail Add directional risk scores for regions (corresponding to identified suppliers) highlighted as examples where consolidation may be possible Vegetable oils snapshot totals $321,582,885 with 109 suppliers across 4 plant(s). Top 3 suppliers (TIRUMALA OIL CHEM INDIA PVT LTD, A.P.REFINERY PVT LTD, P.B.S.OIL INDUSTRIES LTD) hold 22.3%. max observed unit-price variance is 100.7% for SUNFLOWER OIL.  This aligns with the hypothesis that supplier Location. Data offers directional support, requiring targeted RFx and supplier engagement to validate potential. Pilot with top vendors, scaling based on measurable performance metrics.</t>
  </si>
  <si>
    <t>Initiative: Bundle volumes across SKUs to achieve savings derived from better economies of scale. Focus on high-spend SKUs that are purchased from multiple suppliers. Potentially consolidate SKUs within the tail Context test: Add directional risk scores for suppliers highlighted as examples where consolidation may be possible Data signals: Vegetable oils snapshot totals $321,582,885 with 109 suppliers across 4 plant(s). Top 3 suppliers (TIRUMALA OIL CHEM INDIA PVT LTD, A.P.REFINERY PVT LTD, P.B.S.OIL INDUSTRIES LTD) hold 22.3%. max observed unit-price variance is 100.7% for SUNFLOWER OIL.  Hypothesis lens: Supplier Risk Rating Assessment: Data provides directional support; validate with targeted RFx and supplier discussions. Recommendation: Pilot on top 2–3 vendors, then scale with measurable KPIs (price, service level, on-time delivery).</t>
  </si>
  <si>
    <t>Bundle volumes across SKUs to achieve savings derived from better economies of scale. Focus on high-spend SKUs that are purchased from multiple suppliers. Potentially consolidate SKUs within the tail Add directional risk scores for suppliers highlighted as examples where consolidation may be possible Vegetable oils snapshot totals $321,582,885 with 109 suppliers across 4 plant(s). Top 3 suppliers (TIRUMALA OIL CHEM INDIA PVT LTD, A.P.REFINERY PVT LTD, P.B.S.OIL INDUSTRIES LTD) hold 22.3%. max observed unit-price variance is 100.7% for SUNFLOWER OIL.  This aligns with the hypothesis that supplier Risk Rating. Data offers directional support, requiring targeted RFx and supplier engagement to validate potential. Pilot with top vendors, scaling based on measurable performance metrics.</t>
  </si>
  <si>
    <t>3</t>
  </si>
  <si>
    <t>0.0275</t>
  </si>
  <si>
    <t>0.1358024691358025</t>
  </si>
  <si>
    <t>368606.70194003545</t>
  </si>
  <si>
    <t>450088.18342151685</t>
  </si>
  <si>
    <t>Challenge suppliers with should-cost models to ensure cost-effectiveness. Incoporate data automation to auto calculate should-cost based prices If there are examples of SKUs/items with varying prices across suppliers for a given location, call these out in descending order of sku/item specific spend. Recommend establishing target pricing using commodity futures (CBOT, CME) + processing margins, then challenge suppliers with should-cost models to meet targets Current supplier base is 109 with 4 plant(s) served; max observed unit-price variance is 100.7% for SUNFLOWER OIL. Catalog and spec alignment can unlock cross-site comparability.</t>
  </si>
  <si>
    <t>Initiative: Challenge suppliers with should-cost models to ensure cost-effectiveness. Incoporate data automation to auto calculate should-cost based prices Context test: If there are examples of SKUs/items with varying prices across suppliers for a given location, call these out in descending order of sku/item specific spend. Recommend establishing target pricing using commodity futures (CBOT, CME) + processing margins, then challenge suppliers with should-cost models to meet targets Data signals: Current supplier base is 109 with 4 plant(s) served; max observed unit-price variance is 100.7% for SUNFLOWER OIL. Catalog and spec alignment can unlock cross-site comparability. Hypothesis lens: If the same SKU, part number, or highly similar service description is purchased from different suppliers or at different times at widely varying unit prices in the time frame, then there's an immediate, quantifiable savings opportunity through price standardization Assessment: Data provides directional support; validate with targeted RFx and supplier discussions. Recommendation: Define a core spec and approved substitute list; enforce catalog and price parity across plants.</t>
  </si>
  <si>
    <t>Challenge suppliers with should-cost models to ensure cost-effectiveness. Incoporate data automation to auto calculate should-cost based prices If there are examples of SKUs/items with varying prices across suppliers for a given location, call these out in descending order of sku/item specific spend. Recommend establishing target pricing using commodity futures (CBOT, CME) + processing margins, then challenge suppliers with should-cost models to meet targets Current supplier base is 109 with 4 plant(s) served; max observed unit-price variance is 100.7% for SUNFLOWER OIL. Catalog and spec alignment can unlock cross-site comparability. This aligns with the hypothesis that if the same SKU, part number, or highly similar service description is purchased from different suppliers or at different times at widely varying unit prices in the time frame, then there's an immediate, quantifiable savings opportunity through price standardization. Data offers directional support, requiring targeted RFx and supplier engagement to validate potential. Define a unified specification and enforce catalog alignment across plants.</t>
  </si>
  <si>
    <t>Initiative: Challenge suppliers with should-cost models to ensure cost-effectiveness. Incoporate data automation to auto calculate should-cost based prices Context test: If available, explain how tariffs could impact the cost model for a given combination of source-to-destination Data signals: Vegetable oils snapshot totals $321,582,885 with 109 suppliers across 4 plant(s). Top 3 suppliers (TIRUMALA OIL CHEM INDIA PVT LTD, A.P.REFINERY PVT LTD, P.B.S.OIL INDUSTRIES LTD) hold 22.3%. max observed unit-price variance is 100.7% for SUNFLOWER OIL.  Hypothesis lens: Tariff Rate Assessment: Data provides directional support; validate with targeted RFx and supplier discussions. Recommendation: Pilot on top 2–3 vendors, then scale with measurable KPIs (price, service level, on-time delivery).</t>
  </si>
  <si>
    <t>Challenge suppliers with should-cost models to ensure cost-effectiveness. Incoporate data automation to auto calculate should-cost based prices If available, explain how tariffs could impact the cost model for a given combination of source-to-destination Vegetable oils snapshot totals $321,582,885 with 109 suppliers across 4 plant(s). Top 3 suppliers (TIRUMALA OIL CHEM INDIA PVT LTD, A.P.REFINERY PVT LTD, P.B.S.OIL INDUSTRIES LTD) hold 22.3%. max observed unit-price variance is 100.7% for SUNFLOWER OIL.  This aligns with the hypothesis that tariff Rate. Data offers directional support, requiring targeted RFx and supplier engagement to validate potential. Pilot with top vendors, scaling based on measurable performance metrics.</t>
  </si>
  <si>
    <t>Initiative: Challenge suppliers with should-cost models to ensure cost-effectiveness. Incoporate data automation to auto calculate should-cost based prices Context test: Share examples of location-specific cost models, compare across regions - prioritize the regions that appear within the client's spend data. Mention key trends across cost drivers with a forwad looking view if available Data signals: Vegetable oils snapshot shows $321,582,885 spend with 109 suppliers over 4 plant(s); top 3 suppliers (TIRUMALA OIL CHEM INDIA PVT LTD, A.P.REFINERY PVT LTD, P.B.S.OIL INDUSTRIES LTD) cover 22.3%. This overlap indicates leverage for regional/global bundling. max observed unit-price variance is 100.7% for SUNFLOWER OIL.  Hypothesis lens: Cost Structure Assessment: Supplier concentration is moderate; bundle selectively around top vendors. Recommendation: Execute a regional negotiation with volume commitments, cross-plant price locks, and rebate tiers tied to total volume.</t>
  </si>
  <si>
    <t>Challenge suppliers with should-cost models to ensure cost-effectiveness. Incoporate data automation to auto calculate should-cost based prices Share examples of location-specific cost models, compare across regions - prioritize the regions that appear within the client's spend data. Mention key trends across cost drivers with a forwad looking view if available Vegetable oils snapshot shows $321,582,885 spend with 109 suppliers over 4 plant(s); top 3 suppliers (TIRUMALA OIL CHEM INDIA PVT LTD, A.P.REFINERY PVT LTD, P.B.S.OIL INDUSTRIES LTD) cover 22.3%. This overlap indicates leverage for regional/global bundling. max observed unit-price variance is 100.7% for SUNFLOWER OIL.  This aligns with the hypothesis that cost Structure. Supplier concentration is moderate, suggesting selective bundling around top vendors. Launch a regional negotiation with committed volumes, cross-plant price locks, and rebate tiers.</t>
  </si>
  <si>
    <t>Initiative: Challenge suppliers with should-cost models to ensure cost-effectiveness. Incoporate data automation to auto calculate should-cost based prices Context test: Explain how unit prices have evolved over the last 12 months. Compare this with the client's price evolution Data signals: Vegetable oils snapshot totals $321,582,885 with 109 suppliers across 4 plant(s). Top 3 suppliers (TIRUMALA OIL CHEM INDIA PVT LTD, A.P.REFINERY PVT LTD, P.B.S.OIL INDUSTRIES LTD) hold 22.3%. max observed unit-price variance is 100.7% for SUNFLOWER OIL.  Hypothesis lens: Unit Price Assessment: Data provides directional support; validate with targeted RFx and supplier discussions. Recommendation: Pilot on top 2–3 vendors, then scale with measurable KPIs (price, service level, on-time delivery).</t>
  </si>
  <si>
    <t>Challenge suppliers with should-cost models to ensure cost-effectiveness. Incoporate data automation to auto calculate should-cost based prices Explain how unit prices have evolved over the last 12 months. Compare this with the client's price evolution Vegetable oils snapshot totals $321,582,885 with 109 suppliers across 4 plant(s). Top 3 suppliers (TIRUMALA OIL CHEM INDIA PVT LTD, A.P.REFINERY PVT LTD, P.B.S.OIL INDUSTRIES LTD) hold 22.3%. max observed unit-price variance is 100.7% for SUNFLOWER OIL.  This aligns with the hypothesis that unit Price. Data offers directional support, requiring targeted RFx and supplier engagement to validate potential. Pilot with top vendors, scaling based on measurable performance metrics.</t>
  </si>
  <si>
    <t>0.03</t>
  </si>
  <si>
    <t>0.025</t>
  </si>
  <si>
    <t>0.12345679012345681</t>
  </si>
  <si>
    <t>335097.00176366855</t>
  </si>
  <si>
    <t>409171.0758377426</t>
  </si>
  <si>
    <t>Review pack sizes and set up delivery in bulk/flexi-tanks for efficiency. If SKU-level pricing data shows multiple UoMs, and variations in order sizes, call these out as examples of non-standard orders / order size proliferation Vegetable oils snapshot totals $321,582,885 with 109 suppliers across 4 plant(s). Top 3 suppliers (TIRUMALA OIL CHEM INDIA PVT LTD, A.P.REFINERY PVT LTD, P.B.S.OIL INDUSTRIES LTD) hold 22.3%. max observed unit-price variance is 100.7% for SUNFLOWER OIL.</t>
  </si>
  <si>
    <t>Initiative: Review pack sizes and set up delivery in bulk/flexi-tanks for efficiency. Context test: If SKU-level pricing data shows multiple UoMs, and variations in order sizes, call these out as examples of non-standard orders / order size proliferation Data signals: Vegetable oils snapshot totals $321,582,885 with 109 suppliers across 4 plant(s). Top 3 suppliers (TIRUMALA OIL CHEM INDIA PVT LTD, A.P.REFINERY PVT LTD, P.B.S.OIL INDUSTRIES LTD) hold 22.3%. max observed unit-price variance is 100.7% for SUNFLOWER OIL.  Hypothesis lens: If the same SKU, part number, or highly similar service description is purchased from different suppliers or at different times at widely varying unit prices (e.g., &gt;15% variance) in the time frame, then there's an immediate, quantifiable savings opportunity through price standardization Assessment: Data provides directional support; validate with targeted RFx and supplier discussions. Recommendation: Pilot on top 2–3 vendors, then scale with measurable KPIs (price, service level, on-time delivery).</t>
  </si>
  <si>
    <t>Review pack sizes and set up delivery in bulk/flexi-tanks for efficiency. If SKU-level pricing data shows multiple UoMs, and variations in order sizes, call these out as examples of non-standard orders / order size proliferation Vegetable oils snapshot totals $321,582,885 with 109 suppliers across 4 plant(s). Top 3 suppliers (TIRUMALA OIL CHEM INDIA PVT LTD, A.P.REFINERY PVT LTD, P.B.S.OIL INDUSTRIES LTD) hold 22.3%. max observed unit-price variance is 100.7% for SUNFLOWER OIL.  This aligns with the hypothesis that if the same SKU, part number, or highly similar service description is purchased from different suppliers or at different times at widely varying unit prices (e.g., &gt;15% variance) in the time frame, then there's an immediate, quantifiable savings opportunity through price standardization. Data offers directional support, requiring targeted RFx and supplier engagement to validate potential. Pilot with top vendors, scaling based on measurable performance metrics.</t>
  </si>
  <si>
    <t>Initiative: Review pack sizes and set up delivery in bulk/flexi-tanks for efficiency. Context test: Callout the contribution of packaging costs within the cost strcuture of vegetable oils Data signals: Vegetable oils snapshot totals $321,582,885 with 109 suppliers across 4 plant(s). Top 3 suppliers (TIRUMALA OIL CHEM INDIA PVT LTD, A.P.REFINERY PVT LTD, P.B.S.OIL INDUSTRIES LTD) hold 22.3%. max observed unit-price variance is 100.7% for SUNFLOWER OIL.  Hypothesis lens: Cost Structure Assessment: Data provides directional support; validate with targeted RFx and supplier discussions. Recommendation: Pilot on top 2–3 vendors, then scale with measurable KPIs (price, service level, on-time delivery).</t>
  </si>
  <si>
    <t>Review pack sizes and set up delivery in bulk/flexi-tanks for efficiency. Callout the contribution of packaging costs within the cost strcuture of vegetable oils Vegetable oils snapshot totals $321,582,885 with 109 suppliers across 4 plant(s). Top 3 suppliers (TIRUMALA OIL CHEM INDIA PVT LTD, A.P.REFINERY PVT LTD, P.B.S.OIL INDUSTRIES LTD) hold 22.3%. max observed unit-price variance is 100.7% for SUNFLOWER OIL.  This aligns with the hypothesis that cost Structure. Data offers directional support, requiring targeted RFx and supplier engagement to validate potential. Pilot with top vendors, scaling based on measurable performance metrics.</t>
  </si>
  <si>
    <t>4</t>
  </si>
  <si>
    <t>Initiative: Simplify the portfolio where possible to reduce complexity and costs. Context test: If vegetable oil spend shows concentration in 2-3 regions for &gt;80% spend, suggest bundling volumes across SKUs by geographic origin to negotiate regional supply agreements achieving economies of scale with local crushing facilities Data signals: Vegetable oils snapshot shows $321,582,885 spend with 109 suppliers over 4 plant(s); top 3 suppliers (TIRUMALA OIL CHEM INDIA PVT LTD, A.P.REFINERY PVT LTD, P.B.S.OIL INDUSTRIES LTD) cover 22.3%. This overlap indicates leverage for regional/global bundling. max observed unit-price variance is 100.7% for SUNFLOWER OIL.  Hypothesis lens: 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Assessment: Supplier concentration is moderate; bundle selectively around top vendors. Recommendation: Execute a regional negotiation with volume commitments, cross-plant price locks, and rebate tiers tied to total volume.</t>
  </si>
  <si>
    <t>Simplify the portfolio where possible to reduce complexity and costs. If vegetable oil spend shows concentration in 2-3 regions for &gt;80% spend, suggest bundling volumes across SKUs by geographic origin to negotiate regional supply agreements achieving economies of scale with local crushing facilities Vegetable oils snapshot shows $321,582,885 spend with 109 suppliers over 4 plant(s); top 3 suppliers (TIRUMALA OIL CHEM INDIA PVT LTD, A.P.REFINERY PVT LTD, P.B.S.OIL INDUSTRIES LTD) cover 22.3%. This overlap indicates leverage for regional/global bundling. max observed unit-price variance is 100.7% for SUNFLOWER OIL.  This aligns with the hypothesis that 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Supplier concentration is moderate, suggesting selective bundling around top vendors. Launch a regional negotiation with committed volumes, cross-plant price locks, and rebate tiers.</t>
  </si>
  <si>
    <t>Simplify the portfolio where possible to reduce complexity and costs. If vegetable oil spend shows concentration in 2-3 regions for &gt;80% spend, suggest bundling volumes across SKUs by geographic origin to negotiate regional supply agreements achieving economies of scale with local crushing facilities Vegetable oils snapshot shows $321,582,885 spend with 109 suppliers over 4 plant(s); top 3 suppliers (TIRUMALA OIL CHEM INDIA PVT LTD, A.P.REFINERY PVT LTD, P.B.S.OIL INDUSTRIES LTD) cover 22.3%. This overlap indicates leverage for regional/global bundling. max observed unit-price variance is 100.7% for SUNFLOWER OIL.</t>
  </si>
  <si>
    <t>Initiative: Simplify the portfolio where possible to reduce complexity and costs. Context test: If vegetable oil spend is fragmented across &gt;5 suppliers for similar oil applications, bundle volumes across SKUs to achieve lower complexity and costs; callout these examples of suppliers that can be consolidated Data signals: Vegetable oils snapshot shows $321,582,885 spend with 109 suppliers over 4 plant(s); top 3 suppliers (TIRUMALA OIL CHEM INDIA PVT LTD, A.P.REFINERY PVT LTD, P.B.S.OIL INDUSTRIES LTD) cover 22.3%. This overlap indicates leverage for regional/global bundling. max observed unit-price variance is 100.7% for SUNFLOWER OIL.  Hypothesis lens: 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 Assessment: Supplier concentration is moderate; bundle selectively around top vendors. Recommendation: Execute a regional negotiation with volume commitments, cross-plant price locks, and rebate tiers tied to total volume.</t>
  </si>
  <si>
    <t>Simplify the portfolio where possible to reduce complexity and costs. If vegetable oil spend is fragmented across &gt;5 suppliers for similar oil applications, bundle volumes across SKUs to achieve lower complexity and costs; callout these examples of suppliers that can be consolidated Vegetable oils snapshot shows $321,582,885 spend with 109 suppliers over 4 plant(s); top 3 suppliers (TIRUMALA OIL CHEM INDIA PVT LTD, A.P.REFINERY PVT LTD, P.B.S.OIL INDUSTRIES LTD) cover 22.3%. This overlap indicates leverage for regional/global bundling. max observed unit-price variance is 100.7% for SUNFLOWER OIL.  This aligns with the hypothesis that 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 Supplier concentration is moderate, suggesting selective bundling around top vendors. Launch a regional negotiation with committed volumes, cross-plant price locks, and rebate tiers.</t>
  </si>
  <si>
    <t>Initiative: Simplify the portfolio where possible to reduce complexity and costs. Context test: If vegetable oil PO/invoice analysis reveals identical oil grades with &gt;20% price variance across suppliers, simplify portfolio by consolidating to suppliers offering consistent pricing while maintaining quality specifications that meet &gt;80% of applications. List down those potential suppliers Data signals: Across the vegetable oils snapshot, max observed unit-price variance is 100.7% for SUNFLOWER OIL; consider specification harmonization and should-cost benchmarking. Supplier base: 109; top vendor share: 7.9%. Hypothesis lens: If the same SKU, part number, or highly similar service description is purchased from different suppliers or at different times at widely varying unit prices (e.g., &gt;15% variance) in the time frame, then there's an immediate, quantifiable savings opportunity through price standardization Assessment: Significant price dispersion observed (up to 100.7%); supports variance-reduction actions. Recommendation: Benchmark identical SKUs, normalize specs, and set variance guardrails; shift volume to best-value vendors.</t>
  </si>
  <si>
    <t>Simplify the portfolio where possible to reduce complexity and costs. If vegetable oil PO/invoice analysis reveals identical oil grades with &gt;20% price variance across suppliers, simplify portfolio by consolidating to suppliers offering consistent pricing while maintaining quality specifications that meet &gt;80% of applications. List down those potential suppliers Across the vegetable oils snapshot, max observed unit-price variance is 100.7% for SUNFLOWER OIL; consider specification harmonization and should-cost benchmarking. Supplier base: 109; top vendor share: 7.9%. This aligns with the hypothesis that if the same SKU, part number, or highly similar service description is purchased from different suppliers or at different times at widely varying unit prices (e.g., &gt;15% variance) in the time frame, then there's an immediate, quantifiable savings opportunity through price standardization. Significant price dispersion observed (up to 100.7%), supporting variance-reduction actions. Benchmark identical SKUs, harmonize specifications, and shift volumes to best-value vendors.</t>
  </si>
  <si>
    <t>5</t>
  </si>
  <si>
    <t>0.09876543209876544</t>
  </si>
  <si>
    <t>268077.6014109348</t>
  </si>
  <si>
    <t>327336.86067019403</t>
  </si>
  <si>
    <t>Initiative: Rationalize specifications to allow for volume bundling and simplification. Context test: For the top regions by spend, identify the SKUs contributing to top 80% spend. Call out examples of similar SKUs based on SKU descriptions Data signals: Vegetable oils snapshot totals $321,582,885 with 109 suppliers across 4 plant(s). Top 3 suppliers (TIRUMALA OIL CHEM INDIA PVT LTD, A.P.REFINERY PVT LTD, P.B.S.OIL INDUSTRIES LTD) hold 22.3%. max observed unit-price variance is 100.7% for SUNFLOWER OIL.  Hypothesis lens: 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Assessment: Data provides directional support; validate with targeted RFx and supplier discussions. Recommendation: Pilot on top 2–3 vendors, then scale with measurable KPIs (price, service level, on-time delivery).</t>
  </si>
  <si>
    <t>Rationalize specifications to allow for volume bundling and simplification. For the top regions by spend, identify the SKUs contributing to top 80% spend. Call out examples of similar SKUs based on SKU descriptions Vegetable oils snapshot totals $321,582,885 with 109 suppliers across 4 plant(s). Top 3 suppliers (TIRUMALA OIL CHEM INDIA PVT LTD, A.P.REFINERY PVT LTD, P.B.S.OIL INDUSTRIES LTD) hold 22.3%. max observed unit-price variance is 100.7% for SUNFLOWER OIL.  This aligns with the hypothesis that 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Data offers directional support, requiring targeted RFx and supplier engagement to validate potential. Pilot with top vendors, scaling based on measurable performance metrics.</t>
  </si>
  <si>
    <t>Rationalize specifications to allow for volume bundling and simplification. For the top regions by spend, identify the SKUs contributing to top 80% spend. Call out examples of similar SKUs based on SKU descriptions Vegetable oils snapshot totals $321,582,885 with 109 suppliers across 4 plant(s). Top 3 suppliers (TIRUMALA OIL CHEM INDIA PVT LTD, A.P.REFINERY PVT LTD, P.B.S.OIL INDUSTRIES LTD) hold 22.3%.</t>
  </si>
  <si>
    <t>Initiative: Rationalize specifications to allow for volume bundling and simplification. Context test: If speific vegetable oils' (e.g., sunflower, canola, Palm etc) spend shows fragmentation across multiple SKUs with similar descriptions, highlight examples of such high spend yet high similarilty SKUs Data signals: In the vegetable oils snapshot, total spend is $321,582,885 across 109 suppliers and 4 plant(s); top 3 suppliers (TIRUMALA OIL CHEM INDIA PVT LTD, A.P.REFINERY PVT LTD, P.B.S.OIL INDUSTRIES LTD) hold 22.3% share (top 1 holds 7.9%). max observed unit-price variance is 100.7% for SUNFLOWER OIL.  Hypothesis lens: 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 Assessment: Supplier concentration is moderate; bundle selectively around top vendors. Recommendation: Run a two-lot RFx: (1) strategic bundle across highest-overlap sites, (2) tail consolidation with exit plan for long tail.</t>
  </si>
  <si>
    <t>Rationalize specifications to allow for volume bundling and simplification. If speific vegetable oils' (e.g., sunflower, canola, Palm etc) spend shows fragmentation across multiple SKUs with similar descriptions, highlight examples of such high spend yet high similarilty SKUs In the vegetable oils snapshot, total spend is $321,582,885 across 109 suppliers and 4 plant(s); top 3 suppliers (TIRUMALA OIL CHEM INDIA PVT LTD, A.P.REFINERY PVT LTD, P.B.S.OIL INDUSTRIES LTD) hold 22.3% share (top 1 holds 7.9%). max observed unit-price variance is 100.7% for SUNFLOWER OIL.  This aligns with the hypothesis that 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 Supplier concentration is moderate, suggesting selective bundling around top vendors. Conduct a two-lot RFx combining strategic bundles with a tail consolidation plan.</t>
  </si>
  <si>
    <t>Initiative: Rationalize specifications to allow for volume bundling and simplification. Context test: If speific vegetable oils' (e.g., sunflower, canola, Palm etc) spend data shows &gt;5-10% price variance across multiple SKUs with similar descriptions, highlight examples of such high price variance yet high similarilty SKUs Data signals: Across the vegetable oils snapshot, max observed unit-price variance is 100.7% for SUNFLOWER OIL; consider specification harmonization and should-cost benchmarking. Supplier base: 109; top vendor share: 7.9%. Hypothesis lens: If the same SKU, part number, or highly similar service description is purchased from different suppliers or at different times at widely varying unit prices (e.g., &gt;15% variance) in the time frame, then there's an immediate, quantifiable savings opportunity through price standardization Assessment: Significant price dispersion observed (up to 100.7%); supports variance-reduction actions. Recommendation: Benchmark identical SKUs, normalize specs, and set variance guardrails; shift volume to best-value vendors.</t>
  </si>
  <si>
    <t>Rationalize specifications to allow for volume bundling and simplification. If speific vegetable oils' (e.g., sunflower, canola, Palm etc) spend data shows &gt;5-10% price variance across multiple SKUs with similar descriptions, highlight examples of such high price variance yet high similarilty SKUs Across the vegetable oils snapshot, max observed unit-price variance is 100.7% for SUNFLOWER OIL; consider specification harmonization and should-cost benchmarking. Supplier base: 109; top vendor share: 7.9%. This aligns with the hypothesis that if the same SKU, part number, or highly similar service description is purchased from different suppliers or at different times at widely varying unit prices (e.g., &gt;15% variance) in the time frame, then there's an immediate, quantifiable savings opportunity through price standardization. Significant price dispersion observed (up to 100.7%), supporting variance-reduction actions. Benchmark identical SKUs, harmonize specifications, and shift volumes to best-value vendors.</t>
  </si>
  <si>
    <t>Initiative: Rationalize specifications to allow for volume bundling and simplification. Context test: If vegetable oil spend/revenue ratio exceeds external benchmarks, add this as an additional callout to highlight an outside-in view on the category Data signals: Spend of $321,582,885 concentrated with top vendor share 7.9% (top 3: 22.3%). Use index-linking and renegotiation windows aligned to supplier exposure. Hypothesis lens: Category spend/revenue vs benchmakrs Assessment: Data provides directional support; validate with targeted RFx and supplier discussions. Recommendation: Introduce index-linked clauses and step-down pricing; schedule renegotiation aligned with market indices.</t>
  </si>
  <si>
    <t>Rationalize specifications to allow for volume bundling and simplification. If vegetable oil spend/revenue ratio exceeds external benchmarks, add this as an additional callout to highlight an outside-in view on the category Spend of $321,582,885 concentrated with top vendor share 7.9% (top 3: 22.3%). Use index-linking and renegotiation windows aligned to supplier exposure. This aligns with the hypothesis that category spend/revenue vs benchmakrs. Data offers directional support, requiring targeted RFx and supplier engagement to validate potential. Adopt index-linked clauses, step-down pricing, and time renegotiations with market shifts.</t>
  </si>
  <si>
    <t>6</t>
  </si>
  <si>
    <t>0.0425</t>
  </si>
  <si>
    <t>0.2098765432098766</t>
  </si>
  <si>
    <t>569664.9029982366</t>
  </si>
  <si>
    <t>695590.8289241624</t>
  </si>
  <si>
    <t>Initiative: Broader supplier strategy to determine where to focus R&amp;D. Lock part of the price (mark-up) and follow market-based pricing. Use financial instruments to hedge risks. Lock volumes early in the season. Approve multiple suppliers for specialty products to hedge against large risks. Context test: If vegetable oil spend reveals single supplier &gt;40-50% of category spend, suggest approving multiple suppliers for specialty products to hedge against plausible supply disruption risks from weather, political instability, or supplier financial issues Data signals: Current supplier base is 109 with 4 plant(s) served; max observed unit-price variance is 100.7% for SUNFLOWER OIL. Catalog and spec alignment can unlock cross-site comparability. Hypothesis lens: If a high-spend category (e.g., top 10% of total spend categories) or a critical category is supplied by only one unique supplier, then the client faces elevated supply chain and operational risk due to dependency Assessment: Data provides directional support; validate with targeted RFx and supplier discussions. Recommendation: Define a core spec and approved substitute list; enforce catalog and price parity across plants.</t>
  </si>
  <si>
    <t>Broader supplier strategy to determine where to focus R&amp;D. Lock part of the price (mark-up) and follow market-based pricing. Use financial instruments to hedge risks. Lock volumes early in the season. Approve multiple suppliers for specialty products to hedge against large risks. If vegetable oil spend reveals single supplier &gt;40-50% of category spend, suggest approving multiple suppliers for specialty products to hedge against plausible supply disruption risks from weather, political instability, or supplier financial issues Current supplier base is 109 with 4 plant(s) served; max observed unit-price variance is 100.7% for SUNFLOWER OIL. Catalog and spec alignment can unlock cross-site comparability. This aligns with the hypothesis that if a high-spend category (e.g., top 10% of total spend categories) or a critical category is supplied by only one unique supplier, then the client faces elevated supply chain and operational risk due to dependency. Data offers directional support, requiring targeted RFx and supplier engagement to validate potential. Define a unified specification and enforce catalog alignment across plants.</t>
  </si>
  <si>
    <t>Initiative: Broader supplier strategy to determine where to focus R&amp;D. Lock part of the price (mark-up) and follow market-based pricing. Use financial instruments to hedge risks. Lock volumes early in the season. Approve multiple suppliers for specialty products to hedge against large risks. Context test: If vegetable oil data shows top 2 suppliers &gt;80% of category spend, suggest implementing broader supplier strategy across different oil types and geographic origins to reduce concentration risk and enable R&amp;D focus on alternative oils Data signals: Vegetable oils snapshot totals $321,582,885 with 109 suppliers across 4 plant(s). Top 3 suppliers (TIRUMALA OIL CHEM INDIA PVT LTD, A.P.REFINERY PVT LTD, P.B.S.OIL INDUSTRIES LTD) hold 22.3%. max observed unit-price variance is 100.7% for SUNFLOWER OIL.  Hypothesis lens: If a small number of suppliers (e.g., top 5-7%) account for a disproportionately large percentage of total spend (e.g., &gt;70-90%), then the overall organization has a high supplier concentration risk, potentially limiting leverage and increasing exposure to a few vendor's issues Assessment: Data provides directional support; validate with targeted RFx and supplier discussions. Recommendation: Pilot on top 2–3 vendors, then scale with measurable KPIs (price, service level, on-time delivery).</t>
  </si>
  <si>
    <t>Broader supplier strategy to determine where to focus R&amp;D. Lock part of the price (mark-up) and follow market-based pricing. Use financial instruments to hedge risks. Lock volumes early in the season. Approve multiple suppliers for specialty products to hedge against large risks. If vegetable oil data shows top 2 suppliers &gt;80% of category spend, suggest implementing broader supplier strategy across different oil types and geographic origins to reduce concentration risk and enable R&amp;D focus on alternative oils Vegetable oils snapshot totals $321,582,885 with 109 suppliers across 4 plant(s). Top 3 suppliers (TIRUMALA OIL CHEM INDIA PVT LTD, A.P.REFINERY PVT LTD, P.B.S.OIL INDUSTRIES LTD) hold 22.3%. max observed unit-price variance is 100.7% for SUNFLOWER OIL.  This aligns with the hypothesis that if a small number of suppliers (e.g., top 5-7%) account for a disproportionately large percentage of total spend (e.g., &gt;70-90%), then the overall organization has a high supplier concentration risk, potentially limiting leverage and increasing exposure to a few vendor's issues. Data offers directional support, requiring targeted RFx and supplier engagement to validate potential. Pilot with top vendors, scaling based on measurable performance metrics.</t>
  </si>
  <si>
    <t>Initiative: Broader supplier strategy to determine where to focus R&amp;D. Lock part of the price (mark-up) and follow market-based pricing. Use financial instruments to hedge risks. Lock volumes early in the season. Approve multiple suppliers for specialty products to hedge against large risks. Context test: If external vegetable oil risk assessments show high price volatility and weather dependency, suggest approving and discovering multiple suppliers for specialty products across different oil types to hedge against commodity market risks and climate impacts; suggest big names to derisk Data signals: Vegetable oils snapshot totals $321,582,885 with 109 suppliers across 4 plant(s). Top 3 suppliers (TIRUMALA OIL CHEM INDIA PVT LTD, A.P.REFINERY PVT LTD, P.B.S.OIL INDUSTRIES LTD) hold 22.3%. max observed unit-price variance is 100.7% for SUNFLOWER OIL.  Hypothesis lens: Category Risk Assessment: Supplier dependence appears manageable; monitor concentration trends. Recommendation: Dual-source top SKUs, add capacity reservations, and include supply assurance clauses; run limited RFQ to qualify backups.</t>
  </si>
  <si>
    <t>Broader supplier strategy to determine where to focus R&amp;D. Lock part of the price (mark-up) and follow market-based pricing. Use financial instruments to hedge risks. Lock volumes early in the season. Approve multiple suppliers for specialty products to hedge against large risks. If external vegetable oil risk assessments show high price volatility and weather dependency, suggest approving and discovering multiple suppliers for specialty products across different oil types to hedge against commodity market risks and climate impacts; suggest big names to derisk Vegetable oils snapshot totals $321,582,885 with 109 suppliers across 4 plant(s). Top 3 suppliers (TIRUMALA OIL CHEM INDIA PVT LTD, A.P.REFINERY PVT LTD, P.B.S.OIL INDUSTRIES LTD) hold 22.3%. max observed unit-price variance is 100.7% for SUNFLOWER OIL.  This aligns with the hypothesis that category Risk. Supplier dependence appears manageable, though concentration trends should be monitored. Dual-source key SKUs, reserve capacity, and qualify backup suppliers via limited RFQ.</t>
  </si>
  <si>
    <t>Initiative: Broader supplier strategy to determine where to focus R&amp;D. Lock part of the price (mark-up) and follow market-based pricing. Use financial instruments to hedge risks. Lock volumes early in the season. Approve multiple suppliers for specialty products to hedge against large risks. Context test: If external geopolitical data shows elevated risk for regions representing &gt;70% of vegetable oil spend (e.g., Indonesia palm oil, Ukraine sunflower), suggest approving multiple suppliers from stable regions to hedge against geopolitical risks, share supplier names Data signals: Vegetable oils snapshot totals $321,582,885 with 109 suppliers across 4 plant(s). Top 3 suppliers (TIRUMALA OIL CHEM INDIA PVT LTD, A.P.REFINERY PVT LTD, P.B.S.OIL INDUSTRIES LTD) hold 22.3%. max observed unit-price variance is 100.7% for SUNFLOWER OIL.  Hypothesis lens: Geo Political Risk Assessment: Data provides directional support; validate with targeted RFx and supplier discussions. Recommendation: Pilot on top 2–3 vendors, then scale with measurable KPIs (price, service level, on-time delivery).</t>
  </si>
  <si>
    <t>Broader supplier strategy to determine where to focus R&amp;D. Lock part of the price (mark-up) and follow market-based pricing. Use financial instruments to hedge risks. Lock volumes early in the season. Approve multiple suppliers for specialty products to hedge against large risks. If external geopolitical data shows elevated risk for regions representing &gt;70% of vegetable oil spend (e.g., Indonesia palm oil, Ukraine sunflower), suggest approving multiple suppliers from stable regions to hedge against geopolitical risks, share supplier names Vegetable oils snapshot totals $321,582,885 with 109 suppliers across 4 plant(s). Top 3 suppliers (TIRUMALA OIL CHEM INDIA PVT LTD, A.P.REFINERY PVT LTD, P.B.S.OIL INDUSTRIES LTD) hold 22.3%. max observed unit-price variance is 100.7% for SUNFLOWER OIL.  This aligns with the hypothesis that geo Political Risk. Data offers directional support, requiring targeted RFx and supplier engagement to validate potential. Pilot with top vendors, scaling based on measurable performance metrics.</t>
  </si>
  <si>
    <t>Initiative: Broader supplier strategy to determine where to focus R&amp;D. Lock part of the price (mark-up) and follow market-based pricing. Use financial instruments to hedge risks. Lock volumes early in the season. Approve multiple suppliers for specialty products to hedge against large risks. Context test: If external supplier risk data shows vegetable oil suppliers &gt;40% of category spend have financial or operational risk issues, suggest developing broader supplier strategy including financially stable alternatives and emerging market suppliers Data signals: Vegetable oils snapshot totals $321,582,885 with 109 suppliers across 4 plant(s). Top 3 suppliers (TIRUMALA OIL CHEM INDIA PVT LTD, A.P.REFINERY PVT LTD, P.B.S.OIL INDUSTRIES LTD) hold 22.3%. max observed unit-price variance is 100.7% for SUNFLOWER OIL.  Hypothesis lens: Supplier Risk Rating Assessment: Data provides directional support; validate with targeted RFx and supplier discussions. Recommendation: Pilot on top 2–3 vendors, then scale with measurable KPIs (price, service level, on-time delivery).</t>
  </si>
  <si>
    <t>Broader supplier strategy to determine where to focus R&amp;D. Lock part of the price (mark-up) and follow market-based pricing. Use financial instruments to hedge risks. Lock volumes early in the season. Approve multiple suppliers for specialty products to hedge against large risks. If external supplier risk data shows vegetable oil suppliers &gt;40% of category spend have financial or operational risk issues, suggest developing broader supplier strategy including financially stable alternatives and emerging market suppliers Vegetable oils snapshot totals $321,582,885 with 109 suppliers across 4 plant(s). Top 3 suppliers (TIRUMALA OIL CHEM INDIA PVT LTD, A.P.REFINERY PVT LTD, P.B.S.OIL INDUSTRIES LTD) hold 22.3%. max observed unit-price variance is 100.7% for SUNFLOWER OIL.  This aligns with the hypothesis that supplier Risk Rating. Data offers directional support, requiring targeted RFx and supplier engagement to validate potential. Pilot with top vendors, scaling based on measurable performance metrics.</t>
  </si>
  <si>
    <t>7</t>
  </si>
  <si>
    <t>Initiative: Switch origins to adjust to market dynamics and cost advantages. Context test: If vegetable oil spend shows &gt;80% concentration in 2 regions while external cost data reveals global arbitrage opportunities &gt;30% (Malaysian palm vs. European rapeseed), suggest switching origins to adjust to market dynamics and capture cost advantages through globalization Data signals: Vegetable oils snapshot shows $321,582,885 spend with 109 suppliers over 4 plant(s); top 3 suppliers (TIRUMALA OIL CHEM INDIA PVT LTD, A.P.REFINERY PVT LTD, P.B.S.OIL INDUSTRIES LTD) cover 22.3%. This overlap indicates leverage for regional/global bundling. max observed unit-price variance is 100.7% for SUNFLOWER OIL.  Hypothesis lens: 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Assessment: Supplier concentration is moderate; bundle selectively around top vendors. Recommendation: Execute a regional negotiation with volume commitments, cross-plant price locks, and rebate tiers tied to total volume.</t>
  </si>
  <si>
    <t>Switch origins to adjust to market dynamics and cost advantages. If vegetable oil spend shows &gt;80% concentration in 2 regions while external cost data reveals global arbitrage opportunities &gt;30% (Malaysian palm vs. European rapeseed), suggest switching origins to adjust to market dynamics and capture cost advantages through globalization Vegetable oils snapshot shows $321,582,885 spend with 109 suppliers over 4 plant(s); top 3 suppliers (TIRUMALA OIL CHEM INDIA PVT LTD, A.P.REFINERY PVT LTD, P.B.S.OIL INDUSTRIES LTD) cover 22.3%. This overlap indicates leverage for regional/global bundling. max observed unit-price variance is 100.7% for SUNFLOWER OIL.  This aligns with the hypothesis that 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Supplier concentration is moderate, suggesting selective bundling around top vendors. Launch a regional negotiation with committed volumes, cross-plant price locks, and rebate tiers.</t>
  </si>
  <si>
    <t>Switch origins to adjust to market dynamics and cost advantages. If vegetable oil spend shows &gt;80% concentration in 2 regions while external cost data reveals global arbitrage opportunities &gt;30% (Malaysian palm vs. European rapeseed), suggest switching origins to adjust to market dynamics and capture cost advantages through globalization Vegetable oils snapshot shows $321,582,885 spend with 109 suppliers over 4 plant(s); top 3 suppliers (TIRUMALA OIL CHEM INDIA PVT LTD, A.P.REFINERY PVT LTD, P.B.S.OIL INDUSTRIES LTD) cover 22.3%. This overlap indicates leverage for regional/global bundling.</t>
  </si>
  <si>
    <t>Check the top source and destination regions - for the top destinations (by spend), highlight the amount of spend that could be moved from high cost to low cost countries. For each destination, prioritize incumbent low cost regions</t>
  </si>
  <si>
    <t>Initiative: Switch origins to adjust to market dynamics and cost advantages. Context test: Check the top source and destination regions - for the top destinations (by spend), highlight the amount of spend that could be moved from high cost to low cost countries. For each destination, prioritize incumbent low cost regions Data signals: Vegetable oils snapshot totals $321,582,885 with 109 suppliers across 4 plant(s). Top 3 suppliers (TIRUMALA OIL CHEM INDIA PVT LTD, A.P.REFINERY PVT LTD, P.B.S.OIL INDUSTRIES LTD) hold 22.3%. max observed unit-price variance is 100.7% for SUNFLOWER OIL.  Hypothesis lens: If significant spend for common goods/services occurs with suppliers located in high-cost regions, when similar quality suppliers exist in lower-cost regions (requires external data on regional cost indices), then a sourcing shift could yield savings due to reduced transportation and tarriffs Assessment: Data provides directional support; validate with targeted RFx and supplier discussions. Recommendation: Pilot on top 2–3 vendors, then scale with measurable KPIs (price, service level, on-time delivery).</t>
  </si>
  <si>
    <t>Switch origins to adjust to market dynamics and cost advantages. Check the top source and destination regions - for the top destinations (by spend), highlight the amount of spend that could be moved from high cost to low cost countries. For each destination, prioritize incumbent low cost regions Vegetable oils snapshot totals $321,582,885 with 109 suppliers across 4 plant(s). Top 3 suppliers (TIRUMALA OIL CHEM INDIA PVT LTD, A.P.REFINERY PVT LTD, P.B.S.OIL INDUSTRIES LTD) hold 22.3%. max observed unit-price variance is 100.7% for SUNFLOWER OIL.  This aligns with the hypothesis that if significant spend for common goods/services occurs with suppliers located in high-cost regions, when similar quality suppliers exist in lower-cost regions (requires external data on regional cost indices), then a sourcing shift could yield savings due to reduced transportation and tarriffs. Data offers directional support, requiring targeted RFx and supplier engagement to validate potential. Pilot with top vendors, scaling based on measurable performance metrics.</t>
  </si>
  <si>
    <t>Use export data to identify top exporting-to-importing region combinations, call these out  and position this as a market view on sourcing geography trends</t>
  </si>
  <si>
    <t>Initiative: Switch origins to adjust to market dynamics and cost advantages. Context test: Use export data to identify top exporting-to-importing region combinations, call these out and position this as a market view on sourcing geography trends Data signals: Vegetable oils snapshot totals $321,582,885 with 109 suppliers across 4 plant(s). Top 3 suppliers (TIRUMALA OIL CHEM INDIA PVT LTD, A.P.REFINERY PVT LTD, P.B.S.OIL INDUSTRIES LTD) hold 22.3%. max observed unit-price variance is 100.7% for SUNFLOWER OIL.  Hypothesis lens: Export Data Assessment: Data provides directional support; validate with targeted RFx and supplier discussions. Recommendation: Pilot on top 2–3 vendors, then scale with measurable KPIs (price, service level, on-time delivery).</t>
  </si>
  <si>
    <t>Switch origins to adjust to market dynamics and cost advantages. Use export data to identify top exporting-to-importing region combinations, call these out and position this as a market view on sourcing geography trends Vegetable oils snapshot totals $321,582,885 with 109 suppliers across 4 plant(s). Top 3 suppliers (TIRUMALA OIL CHEM INDIA PVT LTD, A.P.REFINERY PVT LTD, P.B.S.OIL INDUSTRIES LTD) hold 22.3%. max observed unit-price variance is 100.7% for SUNFLOWER OIL.  This aligns with the hypothesis that export Data. Data offers directional support, requiring targeted RFx and supplier engagement to validate potential. Pilot with top vendors, scaling based on measurable performance metrics.</t>
  </si>
  <si>
    <t>Initiative: Switch origins to adjust to market dynamics and cost advantages. Context test: If external tariff data shows vegetable oil imports face duties from current origins while free trade alternatives exist, switch origins through globalization to optimize duty structures and capture cost advantages Data signals: Vegetable oils snapshot shows $321,582,885 spend with 109 suppliers over 4 plant(s); top 3 suppliers (TIRUMALA OIL CHEM INDIA PVT LTD, A.P.REFINERY PVT LTD, P.B.S.OIL INDUSTRIES LTD) cover 22.3%. This overlap indicates leverage for regional/global bundling. max observed unit-price variance is 100.7% for SUNFLOWER OIL.  Hypothesis lens: Tariff Rate Assessment: Supplier concentration is moderate; bundle selectively around top vendors. Recommendation: Execute a regional negotiation with volume commitments, cross-plant price locks, and rebate tiers tied to total volume.</t>
  </si>
  <si>
    <t>Switch origins to adjust to market dynamics and cost advantages. If external tariff data shows vegetable oil imports face duties from current origins while free trade alternatives exist, switch origins through globalization to optimize duty structures and capture cost advantages Vegetable oils snapshot shows $321,582,885 spend with 109 suppliers over 4 plant(s); top 3 suppliers (TIRUMALA OIL CHEM INDIA PVT LTD, A.P.REFINERY PVT LTD, P.B.S.OIL INDUSTRIES LTD) cover 22.3%. This overlap indicates leverage for regional/global bundling. max observed unit-price variance is 100.7% for SUNFLOWER OIL.  This aligns with the hypothesis that tariff Rate. Supplier concentration is moderate, suggesting selective bundling around top vendors. Launch a regional negotiation with committed volumes, cross-plant price locks, and rebate tiers.</t>
  </si>
  <si>
    <t xml:space="preserve">Callout examples of how cost structures vary across regions - also enrich this with 1-2 pointers on each of the cost drivers and their price trends </t>
  </si>
  <si>
    <t>Initiative: Switch origins to adjust to market dynamics and cost advantages. Context test: Callout examples of how cost structures vary across regions - also enrich this with 1-2 pointers on each of the cost drivers and their price trends Data signals: Vegetable oils snapshot shows $321,582,885 spend with 109 suppliers over 4 plant(s); top 3 suppliers (TIRUMALA OIL CHEM INDIA PVT LTD, A.P.REFINERY PVT LTD, P.B.S.OIL INDUSTRIES LTD) cover 22.3%. This overlap indicates leverage for regional/global bundling. max observed unit-price variance is 100.7% for SUNFLOWER OIL.  Hypothesis lens: Cost Structure Assessment: Supplier concentration is moderate; bundle selectively around top vendors. Recommendation: Execute a regional negotiation with volume commitments, cross-plant price locks, and rebate tiers tied to total volume.</t>
  </si>
  <si>
    <t>Switch origins to adjust to market dynamics and cost advantages. Callout examples of how cost structures vary across regions - also enrich this with 1-2 pointers on each of the cost drivers and their price trends Vegetable oils snapshot shows $321,582,885 spend with 109 suppliers over 4 plant(s); top 3 suppliers (TIRUMALA OIL CHEM INDIA PVT LTD, A.P.REFINERY PVT LTD, P.B.S.OIL INDUSTRIES LTD) cover 22.3%. This overlap indicates leverage for regional/global bundling. max observed unit-price variance is 100.7% for SUNFLOWER OIL.  This aligns with the hypothesis that cost Structure. Supplier concentration is moderate, suggesting selective bundling around top vendors. Launch a regional negotiation with committed volumes, cross-plant price locks, and rebate tiers.</t>
  </si>
  <si>
    <t>Factor-in inflation trends while talking about cost drivers</t>
  </si>
  <si>
    <t>Initiative: Switch origins to adjust to market dynamics and cost advantages. Context test: Factor-in inflation trends while talking about cost drivers Data signals: Vegetable oils snapshot totals $321,582,885 with 109 suppliers across 4 plant(s). Top 3 suppliers (TIRUMALA OIL CHEM INDIA PVT LTD, A.P.REFINERY PVT LTD, P.B.S.OIL INDUSTRIES LTD) hold 22.3%. max observed unit-price variance is 100.7% for SUNFLOWER OIL.  Hypothesis lens: Inflation Assessment: Data provides directional support; validate with targeted RFx and supplier discussions. Recommendation: Pilot on top 2–3 vendors, then scale with measurable KPIs (price, service level, on-time delivery).</t>
  </si>
  <si>
    <t>Switch origins to adjust to market dynamics and cost advantages. Factor-in inflation trends while talking about cost drivers Vegetable oils snapshot totals $321,582,885 with 109 suppliers across 4 plant(s). Top 3 suppliers (TIRUMALA OIL CHEM INDIA PVT LTD, A.P.REFINERY PVT LTD, P.B.S.OIL INDUSTRIES LTD) hold 22.3%. max observed unit-price variance is 100.7% for SUNFLOWER OIL.  This aligns with the hypothesis that inflation. Data offers directional support, requiring targeted RFx and supplier engagement to validate potential. Pilot with top vendors, scaling based on measurable performance metrics.</t>
  </si>
  <si>
    <t>Factor-in exchange rate trends while talking about cost drivers</t>
  </si>
  <si>
    <t>Initiative: Switch origins to adjust to market dynamics and cost advantages. Context test: Factor-in exchange rate trends while talking about cost drivers Data signals: Vegetable oils snapshot totals $321,582,885 with 109 suppliers across 4 plant(s). Top 3 suppliers (TIRUMALA OIL CHEM INDIA PVT LTD, A.P.REFINERY PVT LTD, P.B.S.OIL INDUSTRIES LTD) hold 22.3%. max observed unit-price variance is 100.7% for SUNFLOWER OIL.  Hypothesis lens: Exchange Rate Assessment: Data provides directional support; validate with targeted RFx and supplier discussions. Recommendation: Pilot on top 2–3 vendors, then scale with measurable KPIs (price, service level, on-time delivery).</t>
  </si>
  <si>
    <t>Switch origins to adjust to market dynamics and cost advantages. Factor-in exchange rate trends while talking about cost drivers Vegetable oils snapshot totals $321,582,885 with 109 suppliers across 4 plant(s). Top 3 suppliers (TIRUMALA OIL CHEM INDIA PVT LTD, A.P.REFINERY PVT LTD, P.B.S.OIL INDUSTRIES LTD) hold 22.3%. max observed unit-price variance is 100.7% for SUNFLOWER OIL.  This aligns with the hypothesis that exchange Rate. Data offers directional support, requiring targeted RFx and supplier engagement to validate potential. Pilot with top vendors, scaling based on measurable performance metrics.</t>
  </si>
  <si>
    <t>For identified low cost countries (incumbents + additional ones fro market/export data), highlight the country/region speciifc risks</t>
  </si>
  <si>
    <t>Initiative: Switch origins to adjust to market dynamics and cost advantages. Context test: For identified low cost countries (incumbents + additional ones fro market/export data), highlight the country/region speciifc risks Data signals: Current supplier base is 109 with 4 plant(s) served; max observed unit-price variance is 100.7% for SUNFLOWER OIL. Catalog and spec alignment can unlock cross-site comparability. Hypothesis lens: Geo Political Risk Assessment: Data provides directional support; validate with targeted RFx and supplier discussions. Recommendation: Define a core spec and approved substitute list; enforce catalog and price parity across plants.</t>
  </si>
  <si>
    <t>Switch origins to adjust to market dynamics and cost advantages. For identified low cost countries (incumbents + additional ones fro market/export data), highlight the country/region speciifc risks Current supplier base is 109 with 4 plant(s) served; max observed unit-price variance is 100.7% for SUNFLOWER OIL. Catalog and spec alignment can unlock cross-site comparability. This aligns with the hypothesis that geo Political Risk. Data offers directional support, requiring targeted RFx and supplier engagement to validate potential. Define a unified specification and enforce catalog alignment across plants.</t>
  </si>
  <si>
    <t>Initiative: Switch origins to adjust to market dynamics and cost advantages. Context test: If available, augment the cost driver view with region-specific unit price trends Data signals: Current supplier base is 109 with 4 plant(s) served; max observed unit-price variance is 100.7% for SUNFLOWER OIL. Catalog and spec alignment can unlock cross-site comparability. Hypothesis lens: Unit Price Assessment: Data provides directional support; validate with targeted RFx and supplier discussions. Recommendation: Define a core spec and approved substitute list; enforce catalog and price parity across plants.</t>
  </si>
  <si>
    <t>Switch origins to adjust to market dynamics and cost advantages. If available, augment the cost driver view with region-specific unit price trends Current supplier base is 109 with 4 plant(s) served; max observed unit-price variance is 100.7% for SUNFLOWER OIL. Catalog and spec alignment can unlock cross-site comparability. This aligns with the hypothesis that unit Price. Data offers directional support, requiring targeted RFx and supplier engagement to validate potential. Define a unified specification and enforce catalog alignment across plants.</t>
  </si>
  <si>
    <t>Insights: Spend is concentrated across plants — Malaysia 81.4%, India 7.1%, Australia 7.1%, Indonesia 4.5%. Actions: Bundle cross-plant demand windows and align delivery INCOTERMS to exploit backhauls and supplier MOQ breaks.</t>
  </si>
  <si>
    <t>Insights: Supplier base: 87 vendors; Top-1 share 8.6%; HHI ≈ 344 → fragmented. Leverage via bundled bids and two-tiering is feasible. Top leverage candidates by spend: RAW RICEBRAN OIL, REFINED RICEBRAN OIL, REFINED SUNFLOWER OIL EDIBLE. Estimated admin + unit-price benefit from tail collapse (tail 20.6%): 1–3% admin and 2–5% price on rebid.</t>
  </si>
  <si>
    <t>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 REFINED SUNFLOWER OIL EDIBLE (suppliers: 13, plants: 2) — price/kg 1.65-2.09 (median 1.86; spread 24%). Potential value ≈ $1,565,056 by aligning 50% volume to P25–P10 pricing. Actions: Run competitive re-bids on the cited SKUs, standardize specs, and lock indexed contracts where volatility is high. Prioritize suppliers with proven capability across Malaysia/Australia plants to converge to best-in-class pricing.</t>
  </si>
  <si>
    <t>Insights: Avg spend/supplier benchmarks (client distribution): Q1 $255,687, Median $723,229, Q3 $1,830,514. 22 suppliers sit above Q3, owning 74.6% of spend; tail (&lt;1%) is 20.6% across 61 suppliers. Supplier base: 87 vendors; Top-1 share 8.6%; HHI ≈ 344 → fragmented. Leverage via bundled bids and two-tiering is feasible. Actions: Set target portfolio — strategic (top decile), preferred (Q2–Q3), and transactional (tail). Rebalance volumes to cap any single-supplier share at ≤35% and collapse long tail via cataloging/frameworks.</t>
  </si>
  <si>
    <t>Market view: Sunflower oil consolidation rating global ≈ 2/5 | Asia ≈ 2/5 | 2025 supply 12.5 MMT vs demand 9.93 MMT → oversupply. Actions: Time multi-round RFPs to harvest near-term oversupply; maintain optionality with at least one Black Sea and one SE Asia origin where feasible.</t>
  </si>
  <si>
    <t>Insights: Receipts routed to Malaysia, India, Australia, Indonesia. Given missing supplier-country fields, establish mandatory capture of supplier origin and route-to-plant mapping. Actions: reroute orders to nearest-performing supplier where Incoterms allow; set regional panels to reduce lead time and FX exposure.</t>
  </si>
  <si>
    <t>Approach: Enrich vendor master with financial health, sanctions, ESG, and delivery performance scores; apply dual-trigger risk limits by spend and criticality. Actions: offboard any vendor below threshold; substitute with pre-qualified alternates; put CapEx-dependent suppliers under quarterly monitoring.</t>
  </si>
  <si>
    <t>Tariff sensitivity: Landed cost for imported veg oils can swing materially with duty/cess changes. Actions: monitor HS 1512/1515 lines for target lanes (Malaysia/India); design pass-through clauses and buffer stock. Where duty arbitrage exists, explore tolling or third-country transshipment in compliance with rules of origin.</t>
  </si>
  <si>
    <t>Indicative cost stack (veg oils proxy): Direct Materials or Services: 55%; Net Margin: 10%; Energy &amp; Utilities: 3%; Depreciation: 3%; Labor: 3%. Actions: Tie price formula to feedstock index + FX; negotiate energy/freight passthrough floors/ceilings to avoid overpayment when input costs soften.</t>
  </si>
  <si>
    <t>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Actions: Implement should-cost guardrails using price-per-kg corridors by material and vendor tiers; route exceptions to sourcing board.</t>
  </si>
  <si>
    <t>Market view: Top rice bran oil exporters include India, Bangladesh, and Thailand; sunflower oil exports are dominated by Ukraine/Russia, with Turkey also significant. For client’s Asia-focused plants, preferred exporter origins: India/Thailand (RBO) and Ukraine/Russia/Turkey (sunflower). Actions: pre-qualify 3–5 non-incumbent suppliers per origin; pilot spot buys to benchmark incumbents. [Sources: Volza; Reuters]</t>
  </si>
  <si>
    <t>Market view: Key importers for RBO include United States and Vietnam; sunflower oil is heavily imported by India and China. Peers in Asia have diversified toward sunoil given recent discounts vs soyoil/palm. Actions: use import-flow intelligence to target suppliers with continuous export lanes to Malaysia/Australia to reduce logistics risk. [Sources: Volza; Reuters]</t>
  </si>
  <si>
    <t>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t>
  </si>
  <si>
    <t xml:space="preserve">In case a small number of suppliers (&lt;20% suppliers) make up the top 80% spend, call out these suppliers </t>
  </si>
  <si>
    <t>Callout the level of consolidation seen in the industry, focus on the client's top supply regions</t>
  </si>
  <si>
    <t xml:space="preserve">Callout examples of spend regions / locations from client data that are seeing elevated geopolitical risks. 
Highlight the raw risk scores for each regions, and mention 1-2 bullet points about what is driving geopolitical risks in the identified regions / geographies.
</t>
  </si>
  <si>
    <t>Callout examples of the high spend SKUs that are not only purchased from mutliple suppliers, but also have price variations across suppliers.
Break this down by regions/geographies</t>
  </si>
  <si>
    <t>Provide a 1 line summary of the supply outlook in the future, focused on the client's top supply regions/geographies , back this with 1-2 bullets on the reasons for this.</t>
  </si>
  <si>
    <t>Provide a 1 line summary of projected supply capacity, focused on the client's top supply regions/geographies , back this with 1-2 bullets on the reasons for this.</t>
  </si>
  <si>
    <t>Provide a 1 line summary of where the demand is headed in the future, focused on the client's top supply regions/geographies , back this with 1-2 bullets on the reasons for this.</t>
  </si>
  <si>
    <t>Add a 1 line summary in case there are changes/updates to customs duties for the client's major plant regions/geographies</t>
  </si>
  <si>
    <t>Bring-in region / geography specific category cost models - contextualize this with reference to other proof points of 'Price volatility risk'</t>
  </si>
  <si>
    <t>For the top regions by spend (top 80%), callout the expected inflationary trend / forecast, and 1-2 bullet points on the underlying reasons</t>
  </si>
  <si>
    <t>Project price / index forecasts for the relevant regions / geographies. Provide 1-2 bullet points on the reasons behind the forecasts.</t>
  </si>
  <si>
    <t>Are financial instruments, such as hedging or long-term contracts, used to manage risks in vegetable oil procurement? Total</t>
  </si>
  <si>
    <t>Do you approve / qualify multiple suppliers for specialty products to hedge against significant risks in the supply chain? Total</t>
  </si>
  <si>
    <t>Do you review pack sizes and explore delivery options in bulk or flexi tanks to streamline supply chain operations and reduce costs? Total</t>
  </si>
  <si>
    <t>Have you considered shifting sourcing origins to take advantage of cost or availability benefits? If so, what challenges have you faced? Total</t>
  </si>
  <si>
    <t>Have you undertaken specification rationalization to enable volume bundling and reduce sourcing complexity? Total</t>
  </si>
  <si>
    <t>To what extent do you use should cost models to challenge and negotiate supplier pricing? Total</t>
  </si>
  <si>
    <t>To what extent have you explored bundling of volumes across different types of vegetable oils to maximize economies of scale? Total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</si>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</sst>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0.0%"/>
    <numFmt numFmtId="166" formatCode="_(&quot;$&quot;* #,##0_);_(&quot;$&quot;* \(#,##0\);_(&quot;$&quot;* &quot;-&quot;??_);_(@_)"/>
  </numFmts>
  <fonts count="27"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8"/>
      <name val="Calibri"/>
      <family val="2"/>
      <scheme val="minor"/>
    </font>
    <font>
      <sz val="18"/>
      <color theme="1"/>
      <name val="Calibri"/>
      <family val="2"/>
      <scheme val="minor"/>
    </font>
    <font>
      <b/>
      <sz val="20"/>
      <color rgb="FF7823DC"/>
      <name val="Calibri"/>
      <family val="2"/>
      <scheme val="minor"/>
    </font>
    <font>
      <b/>
      <sz val="18"/>
      <name val="Calibri"/>
      <family val="2"/>
      <scheme val="minor"/>
    </font>
    <font>
      <b/>
      <sz val="18"/>
      <color theme="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8"/>
      <color rgb="FFFF0000"/>
      <name val="Calibri"/>
      <family val="2"/>
      <scheme val="minor"/>
    </font>
    <font>
      <b/>
      <sz val="11"/>
      <name val="Calibri"/>
      <family val="2"/>
      <scheme val="minor"/>
    </font>
    <font>
      <sz val="10"/>
      <color theme="1"/>
      <name val="Arial"/>
      <family val="2"/>
    </font>
    <font>
      <b/>
      <sz val="22"/>
      <color theme="1"/>
      <name val="Calibri"/>
      <family val="2"/>
      <scheme val="minor"/>
    </font>
    <font>
      <sz val="22"/>
      <color theme="1"/>
      <name val="Calibri"/>
      <family val="2"/>
      <scheme val="minor"/>
    </font>
    <font>
      <b/>
      <sz val="11"/>
      <color rgb="FFC00000"/>
      <name val="Calibri"/>
      <family val="2"/>
      <scheme val="minor"/>
    </font>
    <font>
      <sz val="11"/>
      <color rgb="FFC00000"/>
      <name val="Calibri"/>
      <family val="2"/>
      <scheme val="minor"/>
    </font>
    <font>
      <sz val="11"/>
      <color theme="0"/>
      <name val="Calibri"/>
      <family val="2"/>
      <scheme val="minor"/>
    </font>
    <font>
      <sz val="9.6"/>
      <color theme="1"/>
      <name val="Segoe UI"/>
      <family val="2"/>
    </font>
    <font>
      <b/>
      <sz val="11"/>
      <color rgb="FFFF0000"/>
      <name val="Calibri"/>
      <family val="2"/>
      <scheme val="minor"/>
    </font>
    <font>
      <b/>
      <sz val="11"/>
      <color theme="0" tint="-0.34998626667073579"/>
      <name val="Calibri"/>
      <family val="2"/>
      <scheme val="minor"/>
    </font>
    <font>
      <sz val="11"/>
      <color theme="0" tint="-0.34998626667073579"/>
      <name val="Calibri"/>
      <family val="2"/>
      <scheme val="minor"/>
    </font>
    <font>
      <b/>
      <sz val="12"/>
      <color theme="1"/>
      <name val="Calibri"/>
      <family val="2"/>
      <scheme val="minor"/>
    </font>
    <font>
      <b/>
      <sz val="11"/>
      <color theme="1" tint="0.34998626667073579"/>
      <name val="Calibri"/>
      <family val="2"/>
      <scheme val="minor"/>
    </font>
    <font>
      <b/>
      <sz val="11"/>
      <color rgb="FFFFFFFF"/>
      <name val="Calibri"/>
      <family val="2"/>
      <scheme val="minor"/>
    </font>
  </fonts>
  <fills count="38">
    <fill>
      <patternFill patternType="none"/>
    </fill>
    <fill>
      <patternFill patternType="gray125"/>
    </fill>
    <fill>
      <patternFill patternType="solid">
        <fgColor theme="0"/>
        <bgColor indexed="64"/>
      </patternFill>
    </fill>
    <fill>
      <patternFill patternType="solid">
        <fgColor rgb="FF7030A0"/>
        <bgColor indexed="64"/>
      </patternFill>
    </fill>
    <fill>
      <patternFill patternType="solid">
        <fgColor theme="0" tint="-0.499984740745262"/>
        <bgColor indexed="64"/>
      </patternFill>
    </fill>
    <fill>
      <patternFill patternType="solid">
        <fgColor theme="9"/>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249977111117893"/>
        <bgColor indexed="64"/>
      </patternFill>
    </fill>
    <fill>
      <patternFill patternType="solid">
        <fgColor theme="1"/>
        <bgColor indexed="64"/>
      </patternFill>
    </fill>
    <fill>
      <patternFill patternType="solid">
        <fgColor theme="0" tint="-0.249977111117893"/>
        <bgColor indexed="64"/>
      </patternFill>
    </fill>
    <fill>
      <patternFill patternType="solid">
        <fgColor rgb="FFDAE9F8"/>
        <bgColor rgb="FF000000"/>
      </patternFill>
    </fill>
    <fill>
      <patternFill patternType="solid">
        <fgColor theme="4" tint="-0.49998474074526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2" tint="-0.749992370372631"/>
        <bgColor indexed="64"/>
      </patternFill>
    </fill>
    <fill>
      <patternFill patternType="solid">
        <fgColor rgb="FF00206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00B0F0"/>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4" tint="0.59999389629810485"/>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5" tint="-0.499984740745262"/>
        <bgColor indexed="64"/>
      </patternFill>
    </fill>
    <fill>
      <patternFill patternType="solid">
        <fgColor rgb="FFFFFF00"/>
        <bgColor indexed="64"/>
      </patternFill>
    </fill>
    <fill>
      <patternFill patternType="solid">
        <fgColor theme="7"/>
        <bgColor indexed="64"/>
      </patternFill>
    </fill>
    <fill>
      <patternFill patternType="solid">
        <fgColor rgb="FF858274"/>
        <bgColor indexed="64"/>
      </patternFill>
    </fill>
    <fill>
      <patternFill patternType="solid">
        <fgColor rgb="FFEFEEEC"/>
        <bgColor indexed="64"/>
      </patternFill>
    </fill>
    <fill>
      <patternFill patternType="solid">
        <fgColor rgb="FFEFEEEC"/>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medium">
        <color rgb="FFFFFFFF"/>
      </left>
      <right style="medium">
        <color rgb="FFFFFFFF"/>
      </right>
      <top style="medium">
        <color rgb="FFFFFFFF"/>
      </top>
      <bottom/>
      <diagonal/>
    </border>
    <border>
      <left style="medium">
        <color rgb="FFFFFFFF"/>
      </left>
      <right style="medium">
        <color rgb="FFFFFFFF"/>
      </right>
      <top style="thin">
        <color rgb="FFADABA1"/>
      </top>
      <bottom style="thin">
        <color rgb="FFADABA1"/>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64">
    <xf numFmtId="0" fontId="0" fillId="0" borderId="0" xfId="0"/>
    <xf numFmtId="0" fontId="4" fillId="0" borderId="0" xfId="0" applyFont="1" applyAlignment="1">
      <alignment vertical="center" wrapText="1"/>
    </xf>
    <xf numFmtId="0" fontId="4" fillId="0" borderId="0" xfId="0" applyFont="1" applyAlignment="1">
      <alignment horizontal="center" vertical="center" wrapText="1"/>
    </xf>
    <xf numFmtId="0" fontId="5" fillId="0" borderId="0" xfId="0" applyFont="1" applyAlignment="1">
      <alignment vertical="center" wrapText="1"/>
    </xf>
    <xf numFmtId="0" fontId="4" fillId="3" borderId="0" xfId="0" applyFont="1" applyFill="1" applyAlignment="1">
      <alignment vertical="center" wrapText="1"/>
    </xf>
    <xf numFmtId="0" fontId="4" fillId="3" borderId="0" xfId="0" applyFont="1" applyFill="1" applyAlignment="1">
      <alignment horizontal="center" vertical="center" wrapText="1"/>
    </xf>
    <xf numFmtId="0" fontId="4" fillId="0" borderId="0" xfId="0" applyFont="1" applyAlignment="1">
      <alignment horizontal="left" vertical="center" wrapText="1"/>
    </xf>
    <xf numFmtId="0" fontId="7" fillId="0" borderId="0" xfId="0" applyFont="1" applyAlignment="1">
      <alignment horizontal="center" vertical="center" wrapText="1"/>
    </xf>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9" fontId="5" fillId="8" borderId="1" xfId="1" applyFont="1" applyFill="1" applyBorder="1" applyAlignment="1">
      <alignment horizontal="center" vertical="center" wrapText="1"/>
    </xf>
    <xf numFmtId="0" fontId="5" fillId="8" borderId="1" xfId="0" quotePrefix="1" applyFont="1" applyFill="1" applyBorder="1" applyAlignment="1">
      <alignment horizontal="center" vertical="center" wrapText="1"/>
    </xf>
    <xf numFmtId="0" fontId="3" fillId="0" borderId="0" xfId="0" applyFont="1"/>
    <xf numFmtId="0" fontId="0" fillId="0" borderId="0" xfId="0" applyAlignment="1">
      <alignment wrapText="1"/>
    </xf>
    <xf numFmtId="0" fontId="2" fillId="4" borderId="1"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0" fillId="8" borderId="1" xfId="0" applyFill="1" applyBorder="1" applyAlignment="1">
      <alignment horizontal="left" vertical="center" wrapText="1"/>
    </xf>
    <xf numFmtId="0" fontId="0" fillId="8" borderId="1" xfId="0" applyFill="1" applyBorder="1" applyAlignment="1">
      <alignment horizontal="center" vertical="center" wrapText="1"/>
    </xf>
    <xf numFmtId="0" fontId="0" fillId="8" borderId="1" xfId="0" quotePrefix="1" applyFill="1" applyBorder="1" applyAlignment="1">
      <alignment horizontal="center" vertical="center" wrapText="1"/>
    </xf>
    <xf numFmtId="0" fontId="2" fillId="9" borderId="1" xfId="0" applyFont="1" applyFill="1" applyBorder="1" applyAlignment="1">
      <alignment horizontal="center" vertical="center" wrapText="1"/>
    </xf>
    <xf numFmtId="0" fontId="0" fillId="10" borderId="0" xfId="0" applyFill="1" applyAlignment="1">
      <alignment wrapText="1"/>
    </xf>
    <xf numFmtId="0" fontId="0" fillId="0" borderId="0" xfId="0" applyAlignment="1">
      <alignment horizontal="left" wrapText="1"/>
    </xf>
    <xf numFmtId="0" fontId="0" fillId="0" borderId="1" xfId="0" applyBorder="1" applyAlignment="1">
      <alignment horizontal="left" vertical="center" wrapText="1"/>
    </xf>
    <xf numFmtId="0" fontId="0" fillId="0" borderId="0" xfId="0" applyAlignment="1">
      <alignment horizontal="left" vertical="center" wrapText="1"/>
    </xf>
    <xf numFmtId="0" fontId="9" fillId="11"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horizontal="center" vertical="center" wrapText="1"/>
    </xf>
    <xf numFmtId="0" fontId="2" fillId="13"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0" fillId="0" borderId="1" xfId="0" quotePrefix="1" applyBorder="1" applyAlignment="1">
      <alignment horizontal="center" vertical="center" wrapText="1"/>
    </xf>
    <xf numFmtId="0" fontId="10" fillId="1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2" fillId="13" borderId="5" xfId="0" applyFont="1" applyFill="1" applyBorder="1" applyAlignment="1">
      <alignment horizontal="center" vertical="center" wrapText="1"/>
    </xf>
    <xf numFmtId="0" fontId="0" fillId="4" borderId="0" xfId="0" applyFill="1"/>
    <xf numFmtId="0" fontId="4" fillId="2" borderId="0" xfId="0" applyFont="1" applyFill="1" applyAlignment="1">
      <alignment vertical="center" wrapText="1"/>
    </xf>
    <xf numFmtId="0" fontId="5" fillId="2" borderId="0" xfId="0" applyFont="1" applyFill="1" applyAlignment="1">
      <alignment vertical="center" wrapText="1"/>
    </xf>
    <xf numFmtId="0" fontId="7" fillId="2" borderId="0" xfId="0" applyFont="1" applyFill="1" applyAlignment="1">
      <alignment horizontal="center" vertical="center" wrapText="1"/>
    </xf>
    <xf numFmtId="0" fontId="0" fillId="2" borderId="0" xfId="0" applyFill="1"/>
    <xf numFmtId="9" fontId="5" fillId="8" borderId="1" xfId="0" applyNumberFormat="1" applyFont="1" applyFill="1" applyBorder="1" applyAlignment="1">
      <alignment horizontal="center" vertical="center" wrapText="1"/>
    </xf>
    <xf numFmtId="16" fontId="5" fillId="8" borderId="1" xfId="0" applyNumberFormat="1" applyFont="1" applyFill="1" applyBorder="1" applyAlignment="1">
      <alignment horizontal="center" vertical="center" wrapText="1"/>
    </xf>
    <xf numFmtId="9" fontId="0" fillId="0" borderId="1" xfId="1" quotePrefix="1" applyFont="1" applyFill="1" applyBorder="1" applyAlignment="1">
      <alignment horizontal="center" vertical="center" wrapText="1"/>
    </xf>
    <xf numFmtId="9" fontId="0" fillId="0" borderId="0" xfId="1" applyFont="1" applyAlignment="1">
      <alignment horizontal="center" vertical="center" wrapText="1"/>
    </xf>
    <xf numFmtId="0" fontId="13" fillId="15" borderId="1" xfId="0" applyFont="1" applyFill="1" applyBorder="1" applyAlignment="1">
      <alignment horizontal="center" vertical="center" wrapText="1"/>
    </xf>
    <xf numFmtId="0" fontId="9" fillId="15" borderId="1" xfId="0" applyFont="1" applyFill="1" applyBorder="1" applyAlignment="1">
      <alignment horizontal="center" vertical="center" wrapText="1"/>
    </xf>
    <xf numFmtId="2" fontId="0" fillId="0" borderId="1" xfId="1" quotePrefix="1" applyNumberFormat="1" applyFont="1" applyFill="1" applyBorder="1" applyAlignment="1">
      <alignment horizontal="center" vertical="center" wrapText="1"/>
    </xf>
    <xf numFmtId="165" fontId="0" fillId="0" borderId="1" xfId="1" quotePrefix="1" applyNumberFormat="1" applyFont="1" applyFill="1" applyBorder="1" applyAlignment="1">
      <alignment horizontal="center" vertical="center" wrapText="1"/>
    </xf>
    <xf numFmtId="165" fontId="0" fillId="0" borderId="0" xfId="1" applyNumberFormat="1" applyFont="1" applyAlignment="1">
      <alignment horizontal="center" vertical="center" wrapText="1"/>
    </xf>
    <xf numFmtId="0" fontId="13" fillId="16" borderId="1" xfId="0" applyFont="1" applyFill="1" applyBorder="1" applyAlignment="1">
      <alignment horizontal="center" vertical="center" wrapText="1"/>
    </xf>
    <xf numFmtId="0" fontId="13" fillId="17" borderId="1" xfId="0" applyFont="1" applyFill="1" applyBorder="1" applyAlignment="1">
      <alignment horizontal="center" vertical="center" wrapText="1"/>
    </xf>
    <xf numFmtId="166" fontId="0" fillId="0" borderId="1" xfId="2" quotePrefix="1" applyNumberFormat="1" applyFont="1" applyFill="1" applyBorder="1" applyAlignment="1">
      <alignment horizontal="center" vertical="center" wrapText="1"/>
    </xf>
    <xf numFmtId="0" fontId="0" fillId="0" borderId="0" xfId="0" applyAlignment="1">
      <alignment vertical="top" wrapText="1"/>
    </xf>
    <xf numFmtId="0" fontId="9" fillId="0" borderId="0" xfId="0" applyFont="1" applyAlignment="1">
      <alignment vertical="top" wrapText="1"/>
    </xf>
    <xf numFmtId="0" fontId="0" fillId="0" borderId="0" xfId="0" applyAlignment="1">
      <alignment vertical="top"/>
    </xf>
    <xf numFmtId="0" fontId="9" fillId="0" borderId="1" xfId="0" applyFont="1" applyBorder="1" applyAlignment="1">
      <alignment horizontal="center" vertical="top" wrapText="1"/>
    </xf>
    <xf numFmtId="0" fontId="9" fillId="0" borderId="1" xfId="0" applyFont="1" applyBorder="1" applyAlignment="1">
      <alignment horizontal="center" vertical="center" wrapText="1"/>
    </xf>
    <xf numFmtId="0" fontId="0" fillId="0" borderId="0" xfId="0" applyAlignment="1">
      <alignment vertical="center" wrapText="1"/>
    </xf>
    <xf numFmtId="0" fontId="14" fillId="0" borderId="10" xfId="0" applyFont="1" applyBorder="1" applyAlignment="1">
      <alignment vertical="center" wrapText="1"/>
    </xf>
    <xf numFmtId="0" fontId="0" fillId="0" borderId="0" xfId="0" applyAlignment="1">
      <alignment vertical="center"/>
    </xf>
    <xf numFmtId="0" fontId="14" fillId="0" borderId="10" xfId="0" applyFont="1" applyBorder="1" applyAlignment="1">
      <alignment horizontal="right" vertical="center" wrapText="1"/>
    </xf>
    <xf numFmtId="0" fontId="9" fillId="0" borderId="0" xfId="0" applyFont="1" applyAlignment="1">
      <alignment vertical="center" wrapText="1"/>
    </xf>
    <xf numFmtId="0" fontId="9" fillId="0" borderId="1" xfId="0" applyFont="1" applyBorder="1" applyAlignment="1">
      <alignment horizontal="left" vertical="center" wrapText="1"/>
    </xf>
    <xf numFmtId="1" fontId="0" fillId="0" borderId="0" xfId="1" applyNumberFormat="1" applyFont="1" applyAlignment="1">
      <alignment horizontal="center" vertical="center" wrapText="1"/>
    </xf>
    <xf numFmtId="0" fontId="7" fillId="6" borderId="5" xfId="0" applyFont="1" applyFill="1" applyBorder="1" applyAlignment="1">
      <alignment horizontal="center" vertical="center" wrapText="1"/>
    </xf>
    <xf numFmtId="0" fontId="15" fillId="6" borderId="1" xfId="0" applyFont="1" applyFill="1" applyBorder="1" applyAlignment="1">
      <alignment horizontal="center" vertical="center"/>
    </xf>
    <xf numFmtId="0" fontId="16" fillId="6" borderId="1" xfId="0" applyFont="1" applyFill="1" applyBorder="1" applyAlignment="1">
      <alignment horizontal="center"/>
    </xf>
    <xf numFmtId="9" fontId="17" fillId="0" borderId="1" xfId="1" quotePrefix="1" applyFont="1" applyFill="1" applyBorder="1" applyAlignment="1">
      <alignment horizontal="center" vertical="center" wrapText="1"/>
    </xf>
    <xf numFmtId="165" fontId="17" fillId="0" borderId="1" xfId="1" quotePrefix="1" applyNumberFormat="1" applyFont="1" applyFill="1" applyBorder="1" applyAlignment="1">
      <alignment horizontal="center" vertical="center" wrapText="1"/>
    </xf>
    <xf numFmtId="166" fontId="17" fillId="0" borderId="1" xfId="2" quotePrefix="1" applyNumberFormat="1" applyFont="1" applyFill="1" applyBorder="1" applyAlignment="1">
      <alignment horizontal="center" vertical="center" wrapText="1"/>
    </xf>
    <xf numFmtId="0" fontId="18" fillId="0" borderId="1" xfId="0" applyFont="1" applyBorder="1" applyAlignment="1">
      <alignment horizontal="left" vertical="center" wrapText="1"/>
    </xf>
    <xf numFmtId="0" fontId="18" fillId="0" borderId="0" xfId="0" applyFont="1" applyAlignment="1">
      <alignment horizontal="center" vertical="center" wrapText="1"/>
    </xf>
    <xf numFmtId="0" fontId="18" fillId="0" borderId="0" xfId="0" applyFont="1" applyAlignment="1">
      <alignment horizontal="left" vertical="center" wrapText="1"/>
    </xf>
    <xf numFmtId="0" fontId="17" fillId="0" borderId="1" xfId="0" quotePrefix="1" applyFont="1" applyBorder="1" applyAlignment="1">
      <alignment horizontal="center" vertical="center" wrapText="1"/>
    </xf>
    <xf numFmtId="0" fontId="17" fillId="0" borderId="0" xfId="0" applyFont="1" applyAlignment="1">
      <alignment horizontal="center" vertical="center" wrapText="1"/>
    </xf>
    <xf numFmtId="9" fontId="17" fillId="0" borderId="0" xfId="1" applyFont="1" applyAlignment="1">
      <alignment horizontal="center" vertical="center" wrapText="1"/>
    </xf>
    <xf numFmtId="1" fontId="17" fillId="0" borderId="1" xfId="2" quotePrefix="1" applyNumberFormat="1" applyFont="1" applyFill="1" applyBorder="1" applyAlignment="1">
      <alignment horizontal="center" vertical="center" wrapText="1"/>
    </xf>
    <xf numFmtId="1" fontId="17" fillId="0" borderId="0" xfId="1" applyNumberFormat="1" applyFont="1" applyAlignment="1">
      <alignment horizontal="center" vertical="center" wrapText="1"/>
    </xf>
    <xf numFmtId="0" fontId="2" fillId="19" borderId="1" xfId="0" applyFont="1" applyFill="1" applyBorder="1" applyAlignment="1">
      <alignment horizontal="center" vertical="center" wrapText="1"/>
    </xf>
    <xf numFmtId="1" fontId="0" fillId="0" borderId="1" xfId="2" quotePrefix="1" applyNumberFormat="1" applyFont="1" applyFill="1" applyBorder="1" applyAlignment="1">
      <alignment horizontal="center" vertical="center" wrapText="1"/>
    </xf>
    <xf numFmtId="10" fontId="17" fillId="0" borderId="1" xfId="1" quotePrefix="1" applyNumberFormat="1" applyFont="1" applyFill="1" applyBorder="1" applyAlignment="1">
      <alignment horizontal="center" vertical="center" wrapText="1"/>
    </xf>
    <xf numFmtId="0" fontId="17" fillId="0" borderId="1" xfId="0" applyFont="1" applyBorder="1" applyAlignment="1">
      <alignment horizontal="center" vertical="center" wrapText="1"/>
    </xf>
    <xf numFmtId="0" fontId="5" fillId="8" borderId="13" xfId="0" applyFont="1" applyFill="1" applyBorder="1" applyAlignment="1">
      <alignment horizontal="left" vertical="center" wrapText="1"/>
    </xf>
    <xf numFmtId="0" fontId="5" fillId="8" borderId="13" xfId="0" applyFont="1" applyFill="1" applyBorder="1" applyAlignment="1">
      <alignment horizontal="center" vertical="center" wrapText="1"/>
    </xf>
    <xf numFmtId="0" fontId="5" fillId="8" borderId="9" xfId="0" applyFont="1" applyFill="1" applyBorder="1" applyAlignment="1">
      <alignment horizontal="left" vertical="center" wrapText="1"/>
    </xf>
    <xf numFmtId="0" fontId="0" fillId="0" borderId="1" xfId="0" applyBorder="1"/>
    <xf numFmtId="0" fontId="0" fillId="0" borderId="1" xfId="0" applyBorder="1" applyAlignment="1">
      <alignment vertical="center"/>
    </xf>
    <xf numFmtId="0" fontId="2" fillId="20" borderId="1" xfId="0" applyFont="1" applyFill="1" applyBorder="1" applyAlignment="1">
      <alignment horizontal="center" vertical="center" wrapText="1"/>
    </xf>
    <xf numFmtId="0" fontId="9" fillId="0" borderId="1" xfId="0" applyFont="1" applyBorder="1" applyAlignment="1">
      <alignment vertical="center" wrapText="1"/>
    </xf>
    <xf numFmtId="9" fontId="9" fillId="0" borderId="1" xfId="0" applyNumberFormat="1" applyFont="1" applyBorder="1" applyAlignment="1">
      <alignment horizontal="center" vertical="center" wrapText="1"/>
    </xf>
    <xf numFmtId="0" fontId="0" fillId="0" borderId="5" xfId="0" applyBorder="1" applyAlignment="1">
      <alignment horizontal="center" vertical="center" wrapText="1"/>
    </xf>
    <xf numFmtId="0" fontId="0" fillId="0" borderId="13" xfId="0" applyBorder="1" applyAlignment="1">
      <alignment horizontal="center" vertical="center" wrapText="1"/>
    </xf>
    <xf numFmtId="0" fontId="0" fillId="0" borderId="5" xfId="0" applyBorder="1" applyAlignment="1">
      <alignment horizontal="left" vertical="center" wrapText="1"/>
    </xf>
    <xf numFmtId="0" fontId="0" fillId="0" borderId="13" xfId="0" applyBorder="1" applyAlignment="1">
      <alignment horizontal="left" vertical="center" wrapText="1"/>
    </xf>
    <xf numFmtId="0" fontId="0" fillId="8" borderId="5" xfId="0" applyFill="1" applyBorder="1" applyAlignment="1">
      <alignment horizontal="left" vertical="center" wrapText="1"/>
    </xf>
    <xf numFmtId="0" fontId="18" fillId="0" borderId="1" xfId="0" applyFont="1" applyBorder="1" applyAlignment="1">
      <alignment horizontal="center" vertical="center" wrapText="1"/>
    </xf>
    <xf numFmtId="0" fontId="0" fillId="8" borderId="1" xfId="0" applyFill="1" applyBorder="1" applyAlignment="1">
      <alignment wrapText="1"/>
    </xf>
    <xf numFmtId="0" fontId="3" fillId="8" borderId="1" xfId="0" applyFont="1" applyFill="1" applyBorder="1" applyAlignment="1">
      <alignment horizontal="center" vertical="center" wrapText="1"/>
    </xf>
    <xf numFmtId="0" fontId="0" fillId="8" borderId="5" xfId="0" applyFill="1" applyBorder="1" applyAlignment="1">
      <alignment horizontal="center" vertical="center" wrapText="1"/>
    </xf>
    <xf numFmtId="0" fontId="13" fillId="22" borderId="1" xfId="0" applyFont="1" applyFill="1" applyBorder="1" applyAlignment="1">
      <alignment horizontal="center" vertical="center" wrapText="1"/>
    </xf>
    <xf numFmtId="0" fontId="0" fillId="0" borderId="1" xfId="0" quotePrefix="1" applyBorder="1" applyAlignment="1">
      <alignment horizontal="left" vertical="center" wrapText="1"/>
    </xf>
    <xf numFmtId="0" fontId="2" fillId="23" borderId="0" xfId="0" applyFont="1" applyFill="1" applyAlignment="1">
      <alignment horizontal="center" vertical="center" wrapText="1"/>
    </xf>
    <xf numFmtId="0" fontId="2" fillId="24" borderId="5" xfId="0" applyFont="1" applyFill="1" applyBorder="1" applyAlignment="1">
      <alignment horizontal="center" vertical="center" wrapText="1"/>
    </xf>
    <xf numFmtId="0" fontId="0" fillId="11" borderId="0" xfId="0" applyFill="1" applyAlignment="1">
      <alignment horizontal="center" vertical="center" wrapText="1"/>
    </xf>
    <xf numFmtId="0" fontId="0" fillId="18" borderId="5" xfId="0" applyFill="1" applyBorder="1" applyAlignment="1">
      <alignment horizontal="center" vertical="center" wrapText="1"/>
    </xf>
    <xf numFmtId="0" fontId="11" fillId="0" borderId="9" xfId="0" applyFont="1" applyBorder="1" applyAlignment="1">
      <alignment horizontal="left" vertical="center" wrapText="1"/>
    </xf>
    <xf numFmtId="0" fontId="11" fillId="0" borderId="9" xfId="0" applyFont="1" applyBorder="1" applyAlignment="1">
      <alignment vertical="center" wrapText="1"/>
    </xf>
    <xf numFmtId="0" fontId="0" fillId="0" borderId="9" xfId="0" applyBorder="1" applyAlignment="1">
      <alignment horizontal="center" vertical="center" wrapText="1"/>
    </xf>
    <xf numFmtId="0" fontId="0" fillId="0" borderId="9" xfId="0" applyBorder="1" applyAlignment="1">
      <alignment horizontal="left" vertical="center" wrapText="1"/>
    </xf>
    <xf numFmtId="0" fontId="0" fillId="21" borderId="1" xfId="0" applyFill="1" applyBorder="1" applyAlignment="1">
      <alignment horizontal="center" vertical="center" wrapText="1"/>
    </xf>
    <xf numFmtId="0" fontId="3" fillId="0" borderId="1" xfId="0" applyFont="1" applyBorder="1" applyAlignment="1">
      <alignment horizontal="left" vertical="center" wrapText="1"/>
    </xf>
    <xf numFmtId="0" fontId="5" fillId="7" borderId="1" xfId="0" applyFont="1" applyFill="1" applyBorder="1" applyAlignment="1">
      <alignment horizontal="left" vertical="center" wrapText="1"/>
    </xf>
    <xf numFmtId="0" fontId="12" fillId="25" borderId="1" xfId="0" applyFont="1" applyFill="1" applyBorder="1" applyAlignment="1">
      <alignment horizontal="left" vertical="center" wrapText="1"/>
    </xf>
    <xf numFmtId="0" fontId="5" fillId="7" borderId="1" xfId="0" applyFont="1" applyFill="1"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19" fillId="13" borderId="0" xfId="0" applyFont="1" applyFill="1" applyAlignment="1">
      <alignment horizontal="center" vertical="center" wrapText="1"/>
    </xf>
    <xf numFmtId="9" fontId="17" fillId="0" borderId="1" xfId="1" applyFont="1" applyFill="1" applyBorder="1" applyAlignment="1">
      <alignment horizontal="center" vertical="center" wrapText="1"/>
    </xf>
    <xf numFmtId="0" fontId="2" fillId="26" borderId="1" xfId="0" applyFont="1" applyFill="1" applyBorder="1" applyAlignment="1">
      <alignment horizontal="center" vertical="center" wrapText="1"/>
    </xf>
    <xf numFmtId="0" fontId="2" fillId="13" borderId="0" xfId="0" applyFont="1" applyFill="1" applyAlignment="1">
      <alignment horizontal="center" vertical="center" wrapText="1"/>
    </xf>
    <xf numFmtId="0" fontId="9" fillId="0" borderId="1" xfId="0" applyFont="1" applyBorder="1" applyAlignment="1">
      <alignment horizontal="center" vertical="top"/>
    </xf>
    <xf numFmtId="2" fontId="17" fillId="0" borderId="1" xfId="2" applyNumberFormat="1" applyFont="1" applyBorder="1" applyAlignment="1">
      <alignment horizontal="center" vertical="center" wrapText="1"/>
    </xf>
    <xf numFmtId="0" fontId="9" fillId="0" borderId="7" xfId="0" applyFont="1" applyBorder="1" applyAlignment="1">
      <alignment horizontal="center" vertical="center" wrapText="1"/>
    </xf>
    <xf numFmtId="0" fontId="2" fillId="27" borderId="1" xfId="0" applyFont="1" applyFill="1" applyBorder="1" applyAlignment="1">
      <alignment horizontal="center" vertical="center" wrapText="1"/>
    </xf>
    <xf numFmtId="2" fontId="17" fillId="0" borderId="1" xfId="0" quotePrefix="1" applyNumberFormat="1" applyFont="1" applyBorder="1" applyAlignment="1">
      <alignment horizontal="center" vertical="center" wrapText="1"/>
    </xf>
    <xf numFmtId="0" fontId="9" fillId="28" borderId="1" xfId="0" applyFont="1" applyFill="1" applyBorder="1" applyAlignment="1">
      <alignment horizontal="center" vertical="center" wrapText="1"/>
    </xf>
    <xf numFmtId="0" fontId="0" fillId="0" borderId="0" xfId="0" applyAlignment="1">
      <alignment horizontal="center" vertical="center"/>
    </xf>
    <xf numFmtId="0" fontId="20" fillId="21" borderId="1" xfId="0" applyFont="1" applyFill="1" applyBorder="1" applyAlignment="1">
      <alignment horizontal="center" vertical="center" wrapText="1"/>
    </xf>
    <xf numFmtId="0" fontId="20" fillId="15" borderId="1" xfId="0" applyFont="1" applyFill="1" applyBorder="1" applyAlignment="1">
      <alignment horizontal="center" vertical="center" wrapText="1"/>
    </xf>
    <xf numFmtId="0" fontId="20" fillId="29" borderId="1" xfId="0" applyFont="1" applyFill="1" applyBorder="1" applyAlignment="1">
      <alignment horizontal="center" vertical="center" wrapText="1"/>
    </xf>
    <xf numFmtId="0" fontId="0" fillId="0" borderId="1" xfId="0" applyBorder="1" applyAlignment="1">
      <alignment wrapText="1"/>
    </xf>
    <xf numFmtId="0" fontId="0" fillId="30" borderId="1" xfId="0" applyFill="1" applyBorder="1" applyAlignment="1">
      <alignment horizontal="center" vertical="center"/>
    </xf>
    <xf numFmtId="0" fontId="0" fillId="30" borderId="1" xfId="0" applyFill="1" applyBorder="1" applyAlignment="1">
      <alignment vertical="center" wrapText="1"/>
    </xf>
    <xf numFmtId="0" fontId="2" fillId="23" borderId="5" xfId="0" applyFont="1" applyFill="1" applyBorder="1" applyAlignment="1">
      <alignment horizontal="center" vertical="center" wrapText="1"/>
    </xf>
    <xf numFmtId="2" fontId="17" fillId="0" borderId="1" xfId="0" applyNumberFormat="1" applyFont="1" applyBorder="1" applyAlignment="1">
      <alignment horizontal="center" vertical="center" wrapText="1"/>
    </xf>
    <xf numFmtId="0" fontId="21" fillId="0" borderId="0" xfId="0" applyFont="1"/>
    <xf numFmtId="0" fontId="0" fillId="0" borderId="5" xfId="0" applyBorder="1" applyAlignment="1">
      <alignment vertical="center" wrapText="1"/>
    </xf>
    <xf numFmtId="0" fontId="0" fillId="0" borderId="4" xfId="0" applyBorder="1" applyAlignment="1">
      <alignment horizontal="left" vertical="center" wrapText="1"/>
    </xf>
    <xf numFmtId="0" fontId="0" fillId="0" borderId="4" xfId="0" quotePrefix="1" applyBorder="1" applyAlignment="1">
      <alignment horizontal="left" vertical="center" wrapText="1"/>
    </xf>
    <xf numFmtId="0" fontId="3" fillId="0" borderId="13" xfId="0" applyFont="1" applyBorder="1" applyAlignment="1">
      <alignment horizontal="left" vertical="center" wrapText="1"/>
    </xf>
    <xf numFmtId="0" fontId="9" fillId="0" borderId="5" xfId="0" quotePrefix="1" applyFont="1" applyBorder="1" applyAlignment="1">
      <alignment horizontal="left" vertical="center" wrapText="1"/>
    </xf>
    <xf numFmtId="0" fontId="0" fillId="0" borderId="1" xfId="0" quotePrefix="1" applyBorder="1" applyAlignment="1">
      <alignment vertical="center" wrapText="1"/>
    </xf>
    <xf numFmtId="0" fontId="0" fillId="0" borderId="5" xfId="0" quotePrefix="1" applyBorder="1" applyAlignment="1">
      <alignment vertical="center" wrapText="1"/>
    </xf>
    <xf numFmtId="0" fontId="3" fillId="0" borderId="5" xfId="0" applyFont="1" applyBorder="1" applyAlignment="1">
      <alignment vertical="center" wrapText="1"/>
    </xf>
    <xf numFmtId="0" fontId="0" fillId="0" borderId="0" xfId="0" quotePrefix="1" applyAlignment="1">
      <alignment horizontal="center" vertical="center"/>
    </xf>
    <xf numFmtId="0" fontId="2" fillId="18"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0" fillId="7" borderId="1" xfId="0" applyFont="1" applyFill="1" applyBorder="1" applyAlignment="1">
      <alignment horizontal="center" vertical="center" wrapText="1"/>
    </xf>
    <xf numFmtId="2" fontId="0" fillId="0" borderId="0" xfId="1" applyNumberFormat="1"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9" fillId="0" borderId="0" xfId="0" applyFont="1" applyAlignment="1">
      <alignment horizontal="center" vertical="center" wrapText="1"/>
    </xf>
    <xf numFmtId="0" fontId="0" fillId="0" borderId="15" xfId="0" applyBorder="1" applyAlignment="1">
      <alignment vertical="center" wrapText="1"/>
    </xf>
    <xf numFmtId="0" fontId="2" fillId="23" borderId="1" xfId="0" applyFont="1" applyFill="1" applyBorder="1" applyAlignment="1">
      <alignment horizontal="center" vertical="center" wrapText="1"/>
    </xf>
    <xf numFmtId="0" fontId="19" fillId="13" borderId="1" xfId="0" applyFont="1" applyFill="1" applyBorder="1" applyAlignment="1">
      <alignment horizontal="center" vertical="center" wrapText="1"/>
    </xf>
    <xf numFmtId="0" fontId="0" fillId="11" borderId="1" xfId="0" applyFill="1" applyBorder="1" applyAlignment="1">
      <alignment horizontal="center" vertical="center" wrapText="1"/>
    </xf>
    <xf numFmtId="0" fontId="2" fillId="24" borderId="1" xfId="0" applyFont="1" applyFill="1" applyBorder="1" applyAlignment="1">
      <alignment horizontal="center" vertical="center" wrapText="1"/>
    </xf>
    <xf numFmtId="0" fontId="22" fillId="31" borderId="1" xfId="0" applyFont="1" applyFill="1" applyBorder="1" applyAlignment="1">
      <alignment horizontal="center" vertical="center" wrapText="1"/>
    </xf>
    <xf numFmtId="0" fontId="23" fillId="31" borderId="1" xfId="0" applyFont="1" applyFill="1" applyBorder="1" applyAlignment="1">
      <alignment horizontal="center" vertical="center" wrapText="1"/>
    </xf>
    <xf numFmtId="0" fontId="22" fillId="31" borderId="1" xfId="0" quotePrefix="1" applyFont="1" applyFill="1" applyBorder="1" applyAlignment="1">
      <alignment horizontal="center" vertical="center" wrapText="1"/>
    </xf>
    <xf numFmtId="0" fontId="0" fillId="2" borderId="1" xfId="0" applyFill="1" applyBorder="1" applyAlignment="1">
      <alignment horizontal="center" vertical="center" wrapText="1"/>
    </xf>
    <xf numFmtId="0" fontId="9" fillId="6" borderId="1" xfId="0" applyFont="1" applyFill="1" applyBorder="1" applyAlignment="1">
      <alignment horizontal="center" vertical="center" wrapText="1"/>
    </xf>
    <xf numFmtId="0" fontId="2" fillId="32"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24" fillId="21" borderId="1" xfId="0" applyFont="1" applyFill="1" applyBorder="1" applyAlignment="1">
      <alignment horizontal="center" vertical="top"/>
    </xf>
    <xf numFmtId="0" fontId="0" fillId="21" borderId="1" xfId="0" applyFill="1" applyBorder="1" applyAlignment="1">
      <alignment vertical="top"/>
    </xf>
    <xf numFmtId="0" fontId="9" fillId="0" borderId="0" xfId="0" applyFont="1" applyAlignment="1">
      <alignment horizontal="center" vertical="top"/>
    </xf>
    <xf numFmtId="0" fontId="9" fillId="22" borderId="6" xfId="0" applyFont="1" applyFill="1" applyBorder="1" applyAlignment="1">
      <alignment vertical="center" wrapText="1"/>
    </xf>
    <xf numFmtId="0" fontId="25" fillId="4" borderId="6" xfId="0" applyFont="1" applyFill="1" applyBorder="1" applyAlignment="1">
      <alignment vertical="center" wrapText="1"/>
    </xf>
    <xf numFmtId="0" fontId="25" fillId="4" borderId="1" xfId="0" applyFont="1" applyFill="1" applyBorder="1" applyAlignment="1">
      <alignment horizontal="center" vertical="center" wrapText="1"/>
    </xf>
    <xf numFmtId="0" fontId="18" fillId="0" borderId="1" xfId="0" quotePrefix="1" applyFont="1" applyBorder="1" applyAlignment="1">
      <alignment horizontal="left" vertical="center" wrapText="1"/>
    </xf>
    <xf numFmtId="0" fontId="0" fillId="0" borderId="0" xfId="0" applyAlignment="1">
      <alignment horizontal="center"/>
    </xf>
    <xf numFmtId="164" fontId="0" fillId="0" borderId="0" xfId="2" applyFont="1" applyAlignment="1">
      <alignment horizontal="center"/>
    </xf>
    <xf numFmtId="0" fontId="0" fillId="33" borderId="1" xfId="0" applyFill="1" applyBorder="1" applyAlignment="1">
      <alignment horizontal="center" vertical="center" wrapText="1"/>
    </xf>
    <xf numFmtId="0" fontId="9" fillId="33" borderId="1" xfId="0" applyFont="1" applyFill="1" applyBorder="1" applyAlignment="1">
      <alignment horizontal="center" vertical="center" wrapText="1"/>
    </xf>
    <xf numFmtId="0" fontId="0" fillId="33" borderId="0" xfId="0" applyFill="1" applyAlignment="1">
      <alignment horizontal="center" vertical="center" wrapText="1"/>
    </xf>
    <xf numFmtId="0" fontId="13" fillId="33" borderId="1" xfId="0" applyFont="1" applyFill="1" applyBorder="1" applyAlignment="1">
      <alignment horizontal="center" vertical="center" wrapText="1"/>
    </xf>
    <xf numFmtId="0" fontId="0" fillId="7" borderId="0" xfId="0" applyFill="1" applyAlignment="1">
      <alignment horizontal="center" vertical="center" wrapText="1"/>
    </xf>
    <xf numFmtId="0" fontId="0" fillId="34" borderId="0" xfId="0" applyFill="1" applyAlignment="1">
      <alignment horizontal="left" vertical="center" wrapText="1"/>
    </xf>
    <xf numFmtId="0" fontId="0" fillId="34" borderId="0" xfId="0" applyFill="1" applyAlignment="1">
      <alignment horizontal="center" vertical="center" wrapText="1"/>
    </xf>
    <xf numFmtId="0" fontId="0" fillId="0" borderId="0" xfId="0" applyAlignment="1">
      <alignment horizontal="left" vertical="top" wrapText="1"/>
    </xf>
    <xf numFmtId="0" fontId="26" fillId="35" borderId="16" xfId="0" applyFont="1" applyFill="1" applyBorder="1" applyAlignment="1">
      <alignment horizontal="center" vertical="center" wrapText="1"/>
    </xf>
    <xf numFmtId="0" fontId="0" fillId="36" borderId="17" xfId="0" applyFill="1" applyBorder="1" applyAlignment="1">
      <alignment horizontal="left" vertical="top" wrapText="1"/>
    </xf>
    <xf numFmtId="0" fontId="0" fillId="36" borderId="17" xfId="0" applyFill="1" applyBorder="1" applyAlignment="1">
      <alignment horizontal="center" vertical="center" wrapText="1"/>
    </xf>
    <xf numFmtId="0" fontId="9" fillId="36" borderId="17" xfId="0" applyFont="1" applyFill="1" applyBorder="1" applyAlignment="1">
      <alignment horizontal="left" vertical="top" wrapText="1"/>
    </xf>
    <xf numFmtId="0" fontId="9" fillId="11" borderId="9" xfId="0" applyFont="1" applyFill="1" applyBorder="1" applyAlignment="1">
      <alignment horizontal="center" vertical="center" wrapText="1"/>
    </xf>
    <xf numFmtId="0" fontId="0" fillId="8" borderId="9" xfId="0" applyFill="1" applyBorder="1" applyAlignment="1">
      <alignment horizontal="center" vertical="center" wrapText="1"/>
    </xf>
    <xf numFmtId="0" fontId="23" fillId="36" borderId="17" xfId="0" applyFont="1" applyFill="1" applyBorder="1" applyAlignment="1">
      <alignment horizontal="center" vertical="center" wrapText="1"/>
    </xf>
    <xf numFmtId="0" fontId="22" fillId="36" borderId="17" xfId="0" quotePrefix="1" applyFont="1" applyFill="1" applyBorder="1" applyAlignment="1">
      <alignment horizontal="center" vertical="center" wrapText="1"/>
    </xf>
    <xf numFmtId="2" fontId="17" fillId="36" borderId="17" xfId="0" quotePrefix="1" applyNumberFormat="1" applyFont="1" applyFill="1" applyBorder="1" applyAlignment="1">
      <alignment horizontal="center" vertical="center" wrapText="1"/>
    </xf>
    <xf numFmtId="0" fontId="0" fillId="36" borderId="17" xfId="0" quotePrefix="1" applyFill="1" applyBorder="1" applyAlignment="1">
      <alignment horizontal="left" vertical="center" wrapText="1"/>
    </xf>
    <xf numFmtId="2" fontId="17" fillId="36" borderId="17" xfId="2" applyNumberFormat="1" applyFont="1" applyFill="1" applyBorder="1" applyAlignment="1">
      <alignment horizontal="center" vertical="center" wrapText="1"/>
    </xf>
    <xf numFmtId="0" fontId="10" fillId="37" borderId="17" xfId="0" applyFont="1" applyFill="1" applyBorder="1" applyAlignment="1">
      <alignment horizontal="center" vertical="center" wrapText="1"/>
    </xf>
    <xf numFmtId="0" fontId="17" fillId="36" borderId="17" xfId="0" applyFont="1" applyFill="1" applyBorder="1" applyAlignment="1">
      <alignment horizontal="center" vertical="center" wrapText="1"/>
    </xf>
    <xf numFmtId="0" fontId="18" fillId="36" borderId="17" xfId="0" applyFont="1" applyFill="1" applyBorder="1" applyAlignment="1">
      <alignment horizontal="center" vertical="center" wrapText="1"/>
    </xf>
    <xf numFmtId="0" fontId="18" fillId="36" borderId="17" xfId="0" applyFont="1" applyFill="1" applyBorder="1" applyAlignment="1">
      <alignment horizontal="left" vertical="center" wrapText="1"/>
    </xf>
    <xf numFmtId="0" fontId="9" fillId="36" borderId="17" xfId="0" applyFont="1" applyFill="1" applyBorder="1" applyAlignment="1">
      <alignment horizontal="center" vertical="center" wrapText="1"/>
    </xf>
    <xf numFmtId="0" fontId="22" fillId="36" borderId="17" xfId="0" applyFont="1" applyFill="1" applyBorder="1" applyAlignment="1">
      <alignment horizontal="center" vertical="center" wrapText="1"/>
    </xf>
    <xf numFmtId="2" fontId="17" fillId="36" borderId="17" xfId="0" applyNumberFormat="1" applyFont="1" applyFill="1" applyBorder="1" applyAlignment="1">
      <alignment horizontal="center" vertical="center" wrapText="1"/>
    </xf>
    <xf numFmtId="0" fontId="11" fillId="36" borderId="17" xfId="0" applyFont="1" applyFill="1" applyBorder="1" applyAlignment="1">
      <alignment horizontal="center" vertical="center" wrapText="1"/>
    </xf>
    <xf numFmtId="0" fontId="25" fillId="0" borderId="2" xfId="0" applyFont="1" applyBorder="1" applyAlignment="1">
      <alignment vertical="center" wrapText="1"/>
    </xf>
    <xf numFmtId="0" fontId="9" fillId="0" borderId="2" xfId="0" applyFont="1" applyBorder="1" applyAlignment="1">
      <alignment vertical="center" wrapText="1"/>
    </xf>
    <xf numFmtId="0" fontId="0" fillId="0" borderId="15" xfId="0" applyBorder="1" applyAlignment="1">
      <alignment horizontal="left" vertical="top" wrapText="1"/>
    </xf>
    <xf numFmtId="0" fontId="26" fillId="26" borderId="16" xfId="0" applyFont="1" applyFill="1" applyBorder="1" applyAlignment="1">
      <alignment horizontal="center" vertical="center" wrapText="1"/>
    </xf>
    <xf numFmtId="0" fontId="0" fillId="21" borderId="17" xfId="0" applyFill="1" applyBorder="1" applyAlignment="1">
      <alignment horizontal="center" vertical="center" wrapText="1"/>
    </xf>
    <xf numFmtId="0" fontId="0" fillId="21" borderId="17" xfId="0" applyFill="1" applyBorder="1" applyAlignment="1">
      <alignment horizontal="left" vertical="center" wrapText="1"/>
    </xf>
    <xf numFmtId="0" fontId="0" fillId="0" borderId="0" xfId="0" pivotButton="1" applyAlignment="1">
      <alignment wrapText="1"/>
    </xf>
    <xf numFmtId="0" fontId="6" fillId="2" borderId="0" xfId="0" applyFont="1" applyFill="1" applyAlignment="1">
      <alignment horizontal="left" vertical="center" wrapText="1"/>
    </xf>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3"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19" fillId="13" borderId="9" xfId="0" applyFont="1" applyFill="1" applyBorder="1" applyAlignment="1">
      <alignment horizontal="center" vertical="center" wrapText="1"/>
    </xf>
    <xf numFmtId="0" fontId="19" fillId="13" borderId="11" xfId="0" applyFont="1" applyFill="1" applyBorder="1" applyAlignment="1">
      <alignment horizontal="center" vertical="center" wrapText="1"/>
    </xf>
    <xf numFmtId="0" fontId="9" fillId="17" borderId="6" xfId="0" applyFont="1" applyFill="1" applyBorder="1" applyAlignment="1">
      <alignment horizontal="center" vertical="center" wrapText="1"/>
    </xf>
    <xf numFmtId="0" fontId="9" fillId="17" borderId="7"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6" borderId="6" xfId="0" applyFont="1" applyFill="1" applyBorder="1" applyAlignment="1">
      <alignment horizontal="center" vertical="center" wrapText="1"/>
    </xf>
    <xf numFmtId="0" fontId="9" fillId="16" borderId="7" xfId="0" applyFont="1" applyFill="1" applyBorder="1" applyAlignment="1">
      <alignment horizontal="center" vertical="center" wrapText="1"/>
    </xf>
    <xf numFmtId="0" fontId="9" fillId="16" borderId="8" xfId="0" applyFont="1" applyFill="1" applyBorder="1" applyAlignment="1">
      <alignment horizontal="center" vertical="center" wrapText="1"/>
    </xf>
    <xf numFmtId="0" fontId="0" fillId="18" borderId="9" xfId="0" applyFill="1" applyBorder="1" applyAlignment="1">
      <alignment horizontal="center" vertical="center" wrapText="1"/>
    </xf>
    <xf numFmtId="0" fontId="0" fillId="18" borderId="11" xfId="0" applyFill="1" applyBorder="1" applyAlignment="1">
      <alignment horizontal="center" vertical="center" wrapText="1"/>
    </xf>
    <xf numFmtId="0" fontId="0" fillId="18" borderId="12" xfId="0" applyFill="1" applyBorder="1" applyAlignment="1">
      <alignment horizontal="center" vertical="center" wrapText="1"/>
    </xf>
    <xf numFmtId="0" fontId="9" fillId="15" borderId="9" xfId="0" applyFont="1" applyFill="1" applyBorder="1" applyAlignment="1">
      <alignment horizontal="center" vertical="center" wrapText="1"/>
    </xf>
    <xf numFmtId="0" fontId="9" fillId="15" borderId="11" xfId="0" applyFont="1" applyFill="1" applyBorder="1" applyAlignment="1">
      <alignment horizontal="center" vertical="center" wrapText="1"/>
    </xf>
    <xf numFmtId="0" fontId="9" fillId="15" borderId="12" xfId="0" applyFont="1" applyFill="1" applyBorder="1" applyAlignment="1">
      <alignment horizontal="center" vertical="center" wrapText="1"/>
    </xf>
    <xf numFmtId="0" fontId="9" fillId="22" borderId="6" xfId="0" applyFont="1" applyFill="1" applyBorder="1" applyAlignment="1">
      <alignment horizontal="center" vertical="center" wrapText="1"/>
    </xf>
    <xf numFmtId="0" fontId="9" fillId="22" borderId="7" xfId="0" applyFont="1" applyFill="1" applyBorder="1" applyAlignment="1">
      <alignment horizontal="center" vertical="center" wrapText="1"/>
    </xf>
    <xf numFmtId="0" fontId="9" fillId="22" borderId="8" xfId="0" applyFont="1" applyFill="1" applyBorder="1" applyAlignment="1">
      <alignment horizontal="center" vertical="center" wrapText="1"/>
    </xf>
    <xf numFmtId="0" fontId="9" fillId="17" borderId="2" xfId="0" applyFont="1" applyFill="1" applyBorder="1" applyAlignment="1">
      <alignment horizontal="center" vertical="center" wrapText="1"/>
    </xf>
    <xf numFmtId="0" fontId="9" fillId="17" borderId="0" xfId="0" applyFont="1" applyFill="1" applyAlignment="1">
      <alignment horizontal="center" vertical="center" wrapText="1"/>
    </xf>
    <xf numFmtId="0" fontId="9" fillId="17" borderId="3" xfId="0" applyFont="1" applyFill="1" applyBorder="1" applyAlignment="1">
      <alignment horizontal="center" vertical="center" wrapText="1"/>
    </xf>
    <xf numFmtId="0" fontId="19" fillId="13" borderId="14" xfId="0" applyFont="1" applyFill="1" applyBorder="1" applyAlignment="1">
      <alignment horizontal="center" vertical="center" wrapText="1"/>
    </xf>
    <xf numFmtId="0" fontId="19" fillId="13" borderId="15" xfId="0" applyFont="1" applyFill="1" applyBorder="1" applyAlignment="1">
      <alignment horizontal="center" vertical="center" wrapText="1"/>
    </xf>
    <xf numFmtId="0" fontId="9" fillId="0" borderId="2" xfId="0" applyFont="1" applyBorder="1" applyAlignment="1">
      <alignment horizontal="center" vertical="center" wrapText="1"/>
    </xf>
    <xf numFmtId="0" fontId="9" fillId="0" borderId="0" xfId="0" applyFont="1" applyAlignment="1">
      <alignment horizontal="center" vertical="center" wrapText="1"/>
    </xf>
    <xf numFmtId="0" fontId="9" fillId="0" borderId="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9" fontId="9" fillId="0" borderId="5" xfId="0" applyNumberFormat="1" applyFont="1" applyBorder="1" applyAlignment="1">
      <alignment horizontal="center" vertical="center" wrapText="1"/>
    </xf>
    <xf numFmtId="9" fontId="9" fillId="0" borderId="4" xfId="0" applyNumberFormat="1" applyFont="1" applyBorder="1" applyAlignment="1">
      <alignment horizontal="center" vertical="center" wrapText="1"/>
    </xf>
    <xf numFmtId="9" fontId="9" fillId="0" borderId="13" xfId="0" applyNumberFormat="1" applyFont="1" applyBorder="1" applyAlignment="1">
      <alignment horizontal="center"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13" xfId="0" applyBorder="1" applyAlignment="1">
      <alignment horizontal="left" vertical="center" wrapText="1"/>
    </xf>
    <xf numFmtId="0" fontId="9" fillId="0" borderId="5" xfId="0" applyFont="1" applyBorder="1" applyAlignment="1">
      <alignment horizontal="left" vertical="center" wrapText="1"/>
    </xf>
    <xf numFmtId="0" fontId="9" fillId="0" borderId="4" xfId="0" applyFont="1" applyBorder="1" applyAlignment="1">
      <alignment horizontal="left" vertical="center" wrapText="1"/>
    </xf>
    <xf numFmtId="0" fontId="9" fillId="0" borderId="13" xfId="0" applyFont="1" applyBorder="1" applyAlignment="1">
      <alignment horizontal="left"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13" xfId="0" applyBorder="1" applyAlignment="1">
      <alignment horizontal="center" vertical="center" wrapText="1"/>
    </xf>
    <xf numFmtId="0" fontId="0" fillId="0" borderId="1" xfId="0" applyBorder="1" applyAlignment="1">
      <alignment vertical="center" wrapText="1"/>
    </xf>
    <xf numFmtId="0" fontId="9" fillId="0" borderId="5" xfId="0" quotePrefix="1" applyFont="1" applyBorder="1" applyAlignment="1">
      <alignment horizontal="left" vertical="center" wrapText="1"/>
    </xf>
    <xf numFmtId="0" fontId="0" fillId="0" borderId="4" xfId="0" quotePrefix="1" applyBorder="1" applyAlignment="1">
      <alignment horizontal="left" vertical="center" wrapText="1"/>
    </xf>
    <xf numFmtId="0" fontId="0" fillId="15" borderId="0" xfId="0" applyFill="1" applyAlignment="1">
      <alignment horizontal="center" vertical="center"/>
    </xf>
    <xf numFmtId="0" fontId="0" fillId="29" borderId="0" xfId="0" applyFill="1" applyAlignment="1">
      <alignment horizontal="center" vertical="center"/>
    </xf>
  </cellXfs>
  <cellStyles count="3">
    <cellStyle name="Currency" xfId="2" builtinId="4"/>
    <cellStyle name="Normal" xfId="0" builtinId="0"/>
    <cellStyle name="Percent" xfId="1" builtinId="5"/>
  </cellStyles>
  <dxfs count="4">
    <dxf>
      <alignment wrapText="1"/>
    </dxf>
    <dxf>
      <alignment wrapText="1"/>
    </dxf>
    <dxf>
      <alignment wrapText="1"/>
    </dxf>
    <dxf>
      <fill>
        <patternFill patternType="solid">
          <fgColor rgb="FFE2EFDA"/>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pivotCacheDefinition" Target="pivotCache/pivotCacheDefinition1.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156853</xdr:colOff>
      <xdr:row>1</xdr:row>
      <xdr:rowOff>117229</xdr:rowOff>
    </xdr:from>
    <xdr:to>
      <xdr:col>3</xdr:col>
      <xdr:colOff>1275041</xdr:colOff>
      <xdr:row>2</xdr:row>
      <xdr:rowOff>79375</xdr:rowOff>
    </xdr:to>
    <xdr:pic>
      <xdr:nvPicPr>
        <xdr:cNvPr id="2" name="Picture 1">
          <a:extLst>
            <a:ext uri="{FF2B5EF4-FFF2-40B4-BE49-F238E27FC236}">
              <a16:creationId xmlns:a16="http://schemas.microsoft.com/office/drawing/2014/main" id="{D3D19FF9-0A18-4119-82F5-BA3A0E5F42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3103" y="117229"/>
          <a:ext cx="2413588" cy="2605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156853</xdr:colOff>
      <xdr:row>1</xdr:row>
      <xdr:rowOff>117229</xdr:rowOff>
    </xdr:from>
    <xdr:to>
      <xdr:col>4</xdr:col>
      <xdr:colOff>1275041</xdr:colOff>
      <xdr:row>2</xdr:row>
      <xdr:rowOff>85725</xdr:rowOff>
    </xdr:to>
    <xdr:pic>
      <xdr:nvPicPr>
        <xdr:cNvPr id="2" name="Picture 1">
          <a:extLst>
            <a:ext uri="{FF2B5EF4-FFF2-40B4-BE49-F238E27FC236}">
              <a16:creationId xmlns:a16="http://schemas.microsoft.com/office/drawing/2014/main" id="{49E8FE58-9B93-45C9-A80C-CBC031AA8B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7803" y="117229"/>
          <a:ext cx="2413588" cy="2605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847145</xdr:colOff>
      <xdr:row>1</xdr:row>
      <xdr:rowOff>38485</xdr:rowOff>
    </xdr:from>
    <xdr:to>
      <xdr:col>1</xdr:col>
      <xdr:colOff>3156958</xdr:colOff>
      <xdr:row>1</xdr:row>
      <xdr:rowOff>2342850</xdr:rowOff>
    </xdr:to>
    <xdr:pic>
      <xdr:nvPicPr>
        <xdr:cNvPr id="6" name="Picture 5">
          <a:extLst>
            <a:ext uri="{FF2B5EF4-FFF2-40B4-BE49-F238E27FC236}">
              <a16:creationId xmlns:a16="http://schemas.microsoft.com/office/drawing/2014/main" id="{6FAEA1DB-FF7E-E79D-23DC-612B3A353252}"/>
            </a:ext>
          </a:extLst>
        </xdr:cNvPr>
        <xdr:cNvPicPr>
          <a:picLocks noChangeAspect="1"/>
        </xdr:cNvPicPr>
      </xdr:nvPicPr>
      <xdr:blipFill>
        <a:blip xmlns:r="http://schemas.openxmlformats.org/officeDocument/2006/relationships" r:embed="rId1"/>
        <a:stretch>
          <a:fillRect/>
        </a:stretch>
      </xdr:blipFill>
      <xdr:spPr>
        <a:xfrm>
          <a:off x="1455687" y="430068"/>
          <a:ext cx="2309813" cy="2304365"/>
        </a:xfrm>
        <a:prstGeom prst="rect">
          <a:avLst/>
        </a:prstGeom>
      </xdr:spPr>
    </xdr:pic>
    <xdr:clientData/>
  </xdr:twoCellAnchor>
  <xdr:twoCellAnchor editAs="oneCell">
    <xdr:from>
      <xdr:col>1</xdr:col>
      <xdr:colOff>1969025</xdr:colOff>
      <xdr:row>2</xdr:row>
      <xdr:rowOff>392545</xdr:rowOff>
    </xdr:from>
    <xdr:to>
      <xdr:col>2</xdr:col>
      <xdr:colOff>0</xdr:colOff>
      <xdr:row>2</xdr:row>
      <xdr:rowOff>2047616</xdr:rowOff>
    </xdr:to>
    <xdr:pic>
      <xdr:nvPicPr>
        <xdr:cNvPr id="8" name="Picture 7">
          <a:extLst>
            <a:ext uri="{FF2B5EF4-FFF2-40B4-BE49-F238E27FC236}">
              <a16:creationId xmlns:a16="http://schemas.microsoft.com/office/drawing/2014/main" id="{1FE4EEA1-BE88-67AD-E7BB-6EFFCF9E10CC}"/>
            </a:ext>
          </a:extLst>
        </xdr:cNvPr>
        <xdr:cNvPicPr>
          <a:picLocks noChangeAspect="1"/>
        </xdr:cNvPicPr>
      </xdr:nvPicPr>
      <xdr:blipFill>
        <a:blip xmlns:r="http://schemas.openxmlformats.org/officeDocument/2006/relationships" r:embed="rId2"/>
        <a:stretch>
          <a:fillRect/>
        </a:stretch>
      </xdr:blipFill>
      <xdr:spPr>
        <a:xfrm>
          <a:off x="2577567" y="3477587"/>
          <a:ext cx="2185093" cy="1655071"/>
        </a:xfrm>
        <a:prstGeom prst="rect">
          <a:avLst/>
        </a:prstGeom>
      </xdr:spPr>
    </xdr:pic>
    <xdr:clientData/>
  </xdr:twoCellAnchor>
  <xdr:twoCellAnchor editAs="oneCell">
    <xdr:from>
      <xdr:col>1</xdr:col>
      <xdr:colOff>127000</xdr:colOff>
      <xdr:row>3</xdr:row>
      <xdr:rowOff>79374</xdr:rowOff>
    </xdr:from>
    <xdr:to>
      <xdr:col>1</xdr:col>
      <xdr:colOff>4025948</xdr:colOff>
      <xdr:row>3</xdr:row>
      <xdr:rowOff>1841499</xdr:rowOff>
    </xdr:to>
    <xdr:pic>
      <xdr:nvPicPr>
        <xdr:cNvPr id="10" name="Picture 9">
          <a:extLst>
            <a:ext uri="{FF2B5EF4-FFF2-40B4-BE49-F238E27FC236}">
              <a16:creationId xmlns:a16="http://schemas.microsoft.com/office/drawing/2014/main" id="{EC88D34B-778E-8F05-DC0F-61A12E7FD55D}"/>
            </a:ext>
          </a:extLst>
        </xdr:cNvPr>
        <xdr:cNvPicPr>
          <a:picLocks noChangeAspect="1"/>
        </xdr:cNvPicPr>
      </xdr:nvPicPr>
      <xdr:blipFill>
        <a:blip xmlns:r="http://schemas.openxmlformats.org/officeDocument/2006/relationships" r:embed="rId3"/>
        <a:stretch>
          <a:fillRect/>
        </a:stretch>
      </xdr:blipFill>
      <xdr:spPr>
        <a:xfrm>
          <a:off x="738188" y="5326062"/>
          <a:ext cx="3927523" cy="1762125"/>
        </a:xfrm>
        <a:prstGeom prst="rect">
          <a:avLst/>
        </a:prstGeom>
      </xdr:spPr>
    </xdr:pic>
    <xdr:clientData/>
  </xdr:twoCellAnchor>
  <xdr:twoCellAnchor editAs="oneCell">
    <xdr:from>
      <xdr:col>1</xdr:col>
      <xdr:colOff>325439</xdr:colOff>
      <xdr:row>4</xdr:row>
      <xdr:rowOff>134938</xdr:rowOff>
    </xdr:from>
    <xdr:to>
      <xdr:col>1</xdr:col>
      <xdr:colOff>2444750</xdr:colOff>
      <xdr:row>4</xdr:row>
      <xdr:rowOff>2548758</xdr:rowOff>
    </xdr:to>
    <xdr:pic>
      <xdr:nvPicPr>
        <xdr:cNvPr id="13" name="Picture 12">
          <a:extLst>
            <a:ext uri="{FF2B5EF4-FFF2-40B4-BE49-F238E27FC236}">
              <a16:creationId xmlns:a16="http://schemas.microsoft.com/office/drawing/2014/main" id="{BE70D2E6-6A4D-D5EE-E90D-8B1918691643}"/>
            </a:ext>
          </a:extLst>
        </xdr:cNvPr>
        <xdr:cNvPicPr>
          <a:picLocks noChangeAspect="1"/>
        </xdr:cNvPicPr>
      </xdr:nvPicPr>
      <xdr:blipFill>
        <a:blip xmlns:r="http://schemas.openxmlformats.org/officeDocument/2006/relationships" r:embed="rId4"/>
        <a:stretch>
          <a:fillRect/>
        </a:stretch>
      </xdr:blipFill>
      <xdr:spPr>
        <a:xfrm>
          <a:off x="936627" y="7373938"/>
          <a:ext cx="2119311" cy="2413820"/>
        </a:xfrm>
        <a:prstGeom prst="rect">
          <a:avLst/>
        </a:prstGeom>
      </xdr:spPr>
    </xdr:pic>
    <xdr:clientData/>
  </xdr:twoCellAnchor>
  <xdr:twoCellAnchor editAs="oneCell">
    <xdr:from>
      <xdr:col>1</xdr:col>
      <xdr:colOff>82904</xdr:colOff>
      <xdr:row>2</xdr:row>
      <xdr:rowOff>77611</xdr:rowOff>
    </xdr:from>
    <xdr:to>
      <xdr:col>1</xdr:col>
      <xdr:colOff>1889125</xdr:colOff>
      <xdr:row>2</xdr:row>
      <xdr:rowOff>1359587</xdr:rowOff>
    </xdr:to>
    <xdr:pic>
      <xdr:nvPicPr>
        <xdr:cNvPr id="15" name="Picture 14">
          <a:extLst>
            <a:ext uri="{FF2B5EF4-FFF2-40B4-BE49-F238E27FC236}">
              <a16:creationId xmlns:a16="http://schemas.microsoft.com/office/drawing/2014/main" id="{DF4EE191-1BC4-63D3-23FB-DBABDA7C6B3F}"/>
            </a:ext>
          </a:extLst>
        </xdr:cNvPr>
        <xdr:cNvPicPr>
          <a:picLocks noChangeAspect="1"/>
        </xdr:cNvPicPr>
      </xdr:nvPicPr>
      <xdr:blipFill>
        <a:blip xmlns:r="http://schemas.openxmlformats.org/officeDocument/2006/relationships" r:embed="rId5"/>
        <a:stretch>
          <a:fillRect/>
        </a:stretch>
      </xdr:blipFill>
      <xdr:spPr>
        <a:xfrm>
          <a:off x="691446" y="3162653"/>
          <a:ext cx="1806221" cy="12819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tkearney-my.sharepoint.com/Users/gchana01/Downloads/220420_Indirect%20Procurement%20Tool_V23_GC.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gchana01\Downloads\220420_Indirect%20Procurement%20Tool_V23_GC.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arinabernardo/AppData/Local/Microsoft/Windows/Temporary%20Internet%20Files/Content.Outlook/6OV0UU66/KPMGCoE_131204_Value_Lever_Workshop_Tool_TEMP_v1.0.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marinabernardo/AppData/Local/Microsoft/Windows/Temporary%20Internet%20Files/Content.Outlook/6OV0UU66/KPMGCoE_131121_Category_Evaluation_TEMP_v3.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Instructions"/>
      <sheetName val="Maturity Output"/>
      <sheetName val="Savings Output"/>
      <sheetName val="MRO Potential"/>
      <sheetName val="Fleet Status"/>
      <sheetName val="Fleet Potential"/>
      <sheetName val="Packaging Questionnaire"/>
      <sheetName val="Packaging Potential"/>
      <sheetName val="Packaging Status"/>
      <sheetName val="Travel Status"/>
      <sheetName val="Travel Questionnaire"/>
      <sheetName val="Travel Potential"/>
      <sheetName val="Trans"/>
      <sheetName val="MRO Status"/>
      <sheetName val="MRO Questionnaire"/>
      <sheetName val="Fleet Questionnaire"/>
      <sheetName val="LOG Status"/>
      <sheetName val="LOG Potential"/>
      <sheetName val="LOG Questionnaire"/>
      <sheetName val="FM Status"/>
      <sheetName val="FM Potential"/>
      <sheetName val="Drop Downs - Do not delete!"/>
      <sheetName val="FM Questionnaire"/>
      <sheetName val="Temp. Lab. Status"/>
      <sheetName val="Temp. Lab. Potential"/>
      <sheetName val="Temp. Lab. Questionnaire"/>
      <sheetName val="Legal &amp; Audit Status"/>
      <sheetName val="Legal &amp; Audit Potential"/>
      <sheetName val="Legal &amp; Audit Questionnaire"/>
      <sheetName val="IT Status"/>
      <sheetName val="IT Potential"/>
      <sheetName val="IT Questionnaire"/>
      <sheetName val="Office Supplies Status"/>
      <sheetName val="Office Supplies Potential"/>
      <sheetName val="Office Supplies Questionnaire"/>
      <sheetName val="Mrkt. Status"/>
      <sheetName val="Mrkt. Potential"/>
      <sheetName val="Mrkt. Questionnaire"/>
      <sheetName val="Roadmap"/>
      <sheetName val="All Initiatives"/>
      <sheetName val="Toolbox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Instructions"/>
      <sheetName val="Maturity Output"/>
      <sheetName val="Savings Output"/>
      <sheetName val="MRO Potential"/>
      <sheetName val="Fleet Status"/>
      <sheetName val="Fleet Potential"/>
      <sheetName val="Packaging Questionnaire"/>
      <sheetName val="Packaging Potential"/>
      <sheetName val="Packaging Status"/>
      <sheetName val="Travel Status"/>
      <sheetName val="Travel Questionnaire"/>
      <sheetName val="Travel Potential"/>
      <sheetName val="Trans"/>
      <sheetName val="MRO Status"/>
      <sheetName val="MRO Questionnaire"/>
      <sheetName val="Fleet Questionnaire"/>
      <sheetName val="LOG Status"/>
      <sheetName val="LOG Potential"/>
      <sheetName val="LOG Questionnaire"/>
      <sheetName val="FM Status"/>
      <sheetName val="FM Potential"/>
      <sheetName val="Drop Downs - Do not delete!"/>
      <sheetName val="FM Questionnaire"/>
      <sheetName val="Temp. Lab. Status"/>
      <sheetName val="Temp. Lab. Potential"/>
      <sheetName val="Temp. Lab. Questionnaire"/>
      <sheetName val="Legal &amp; Audit Status"/>
      <sheetName val="Legal &amp; Audit Potential"/>
      <sheetName val="Legal &amp; Audit Questionnaire"/>
      <sheetName val="IT Status"/>
      <sheetName val="IT Potential"/>
      <sheetName val="IT Questionnaire"/>
      <sheetName val="Office Supplies Status"/>
      <sheetName val="Office Supplies Potential"/>
      <sheetName val="Office Supplies Questionnaire"/>
      <sheetName val="Mrkt. Status"/>
      <sheetName val="Mrkt. Potential"/>
      <sheetName val="Mrkt. Questionnaire"/>
      <sheetName val="Roadmap"/>
      <sheetName val="All Initiatives"/>
      <sheetName val="Toolbox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Setup"/>
      <sheetName val="Import"/>
      <sheetName val="Start"/>
      <sheetName val="C1"/>
      <sheetName val="S1"/>
      <sheetName val="P1"/>
      <sheetName val="Sub1"/>
      <sheetName val="C2"/>
      <sheetName val="S2"/>
      <sheetName val="P2"/>
      <sheetName val="Sub2"/>
      <sheetName val="C3"/>
      <sheetName val="S3"/>
      <sheetName val="P3"/>
      <sheetName val="Sub3"/>
      <sheetName val="C4"/>
      <sheetName val="S4"/>
      <sheetName val="P4"/>
      <sheetName val="Sub4"/>
      <sheetName val="C5"/>
      <sheetName val="S5"/>
      <sheetName val="P5"/>
      <sheetName val="Sub5"/>
      <sheetName val="Results"/>
      <sheetName val="Results C"/>
      <sheetName val="Results_S"/>
      <sheetName val="Admin"/>
      <sheetName val="Export"/>
      <sheetName val="MC"/>
      <sheetName val="BI"/>
      <sheetName val="X"/>
      <sheetName val="Y"/>
      <sheetName val="Trans"/>
      <sheetName val="Drop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sheetData sheetId="30"/>
      <sheetData sheetId="31" refreshError="1"/>
      <sheetData sheetId="32" refreshError="1"/>
      <sheetData sheetId="33" refreshError="1"/>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Setup"/>
      <sheetName val="Import"/>
      <sheetName val="HC"/>
      <sheetName val="MC"/>
      <sheetName val="BI"/>
      <sheetName val="Sub1"/>
      <sheetName val="Sub2"/>
      <sheetName val="Sub3"/>
      <sheetName val="Sub4"/>
      <sheetName val="Sub5"/>
      <sheetName val="Results"/>
      <sheetName val="Admin"/>
      <sheetName val="Export"/>
      <sheetName val="Trans"/>
      <sheetName val="DropDown"/>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sheetDataSet>
  </externalBook>
</externalLink>
</file>

<file path=xl/persons/person.xml><?xml version="1.0" encoding="utf-8"?>
<personList xmlns="http://schemas.microsoft.com/office/spreadsheetml/2018/threadedcomments" xmlns:x="http://schemas.openxmlformats.org/spreadsheetml/2006/main">
  <person displayName="Sood, Divyansh" id="{D388439C-A5AC-485F-9D2D-CD2226B99DB6}" userId="S::dsood01@atkearney.com::754c7c52-003a-428c-a50b-93eb9aba971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ila Gupta" refreshedDate="45922.704912615744" createdVersion="8" refreshedVersion="8" minRefreshableVersion="3" recordCount="19" xr:uid="{CDA73E21-2222-47DE-960C-F333DE67E0C0}">
  <cacheSource type="worksheet">
    <worksheetSource ref="B8:U27" sheet="1_Value &amp; risk levers"/>
  </cacheSource>
  <cacheFields count="20">
    <cacheField name="Q No." numFmtId="0">
      <sharedItems containsString="0" containsBlank="1" containsNumber="1" containsInteger="1" minValue="1" maxValue="13"/>
    </cacheField>
    <cacheField name="Lever / initiative type" numFmtId="0">
      <sharedItems/>
    </cacheField>
    <cacheField name="L1" numFmtId="0">
      <sharedItems/>
    </cacheField>
    <cacheField name="L2" numFmtId="0">
      <sharedItems count="1">
        <s v="Vegetable Oils"/>
      </sharedItems>
    </cacheField>
    <cacheField name="L3" numFmtId="0">
      <sharedItems containsNonDate="0" containsString="0" containsBlank="1" count="1">
        <m/>
      </sharedItems>
    </cacheField>
    <cacheField name="Question Theme" numFmtId="0">
      <sharedItems count="2">
        <s v="Value"/>
        <s v="Risk"/>
      </sharedItems>
    </cacheField>
    <cacheField name="Questions" numFmtId="0">
      <sharedItems count="19">
        <s v="Are financial instruments, such as hedging or long-term contracts, used to manage risks in vegetable oil procurement?"/>
        <s v="Do you approve / qualify multiple suppliers for specialty products to hedge against significant risks in the supply chain?"/>
        <s v="To what extent do you use should cost models to challenge and negotiate supplier pricing?"/>
        <s v="To what extent have you explored bundling of volumes across different types of vegetable oils to maximize economies of scale?"/>
        <s v="Have you undertaken specification rationalization to enable volume bundling and reduce sourcing complexity?"/>
        <s v="Have you considered shifting sourcing origins to take advantage of cost or availability benefits? If so, what challenges have you faced?"/>
        <s v="Do you review pack sizes and explore delivery options in bulk or flexi tanks to streamline supply chain operations and reduce costs?"/>
        <s v="To what degree is the spend across suppliers concentrated within this category?"/>
        <s v="What is the average (weight avg) financial risk profile of top suppliers? (suppliers covering top 80% spend)"/>
        <s v="What is the average (weighted avg) regional / geopoltical risk score across top suppliers?"/>
        <s v="To what degree is there a risk to prices for the major supply gerographies for this category?"/>
        <s v="How does your supplier strategy guide decisions on where to focus R&amp;D for improving cost efficiency or innovation in vegetable oils?"/>
        <s v="Do you lock part of the price (e.g., mark-up) and allow commodity pricing to follow market trends? If so, how do you monitor its effectiveness?"/>
        <s v="How early in the season do you lock in volumes to ensure supply stability and pricing predictability?"/>
        <s v="Have you explored switching to the cheapest alternatives for vegetable oils without compromising product quality or functionality?"/>
        <s v="To what extent have you explored implementing blending of specialty products with commodities to reduce costs or optimize product formulations?"/>
        <s v="Are you leveraging specific strategies for managing expensive specialty products? If so, how effective have they been?"/>
        <s v="How often do you identify opportunities to simplify your portfolio of vegetable oils to enhance procurement efficiency?"/>
        <s v="To what extent do you maintain flexible formulations / recipe flexibility to accommodate alternative or varied specifications of vegetable oils?"/>
      </sharedItems>
    </cacheField>
    <cacheField name="Low (1)" numFmtId="0">
      <sharedItems/>
    </cacheField>
    <cacheField name="Little (2)" numFmtId="0">
      <sharedItems containsBlank="1"/>
    </cacheField>
    <cacheField name="Middle (3)" numFmtId="0">
      <sharedItems containsBlank="1"/>
    </cacheField>
    <cacheField name="High (4)" numFmtId="0">
      <sharedItems/>
    </cacheField>
    <cacheField name="Savings% (low)" numFmtId="9">
      <sharedItems containsString="0" containsBlank="1" containsNumber="1" minValue="0.02" maxValue="0.02"/>
    </cacheField>
    <cacheField name="Savings% (high)" numFmtId="9">
      <sharedItems containsString="0" containsBlank="1" containsNumber="1" minValue="0.03" maxValue="0.05"/>
    </cacheField>
    <cacheField name="Addressability" numFmtId="9">
      <sharedItems containsString="0" containsBlank="1" containsNumber="1" minValue="0.8" maxValue="0.8"/>
    </cacheField>
    <cacheField name="Lever Description" numFmtId="0">
      <sharedItems containsBlank="1" count="12">
        <s v="Broader supplier strategy to determine where to focus R&amp;D. Lock part of the price (mark-up) and follow market-based pricing. Use financial instruments to hedge risks. Lock volumes early in the season."/>
        <s v="Qualify and approve multiple suppliers for specialty products to hedge against supply risks. Activate these suppliers in case of regional supply chain issues."/>
        <s v="Challenge suppliers with should-cost models to ensure cost-effectiveness. Incoporate data automation to auto calculate should-cost based prices"/>
        <s v="Bundle volumes across SKUs to achieve savings derived from better economies of scale. Focus on high-spend SKUs that are purchased from multiple suppliers. Potentially consolidate SKUs within the tail. "/>
        <s v="Rationalize specifications to allow for volume bundling and simplification."/>
        <s v="Switch origins to adjust to market dynamics and cost advantages."/>
        <s v="Review pack sizes and set up delivery in bulk/flexi-tanks for efficiency."/>
        <m/>
        <s v="Switch to the cheapest alternative materials while maintaining functionality."/>
        <s v="Blend specialty products and focus on expensive specialty products for optimization."/>
        <s v="Simplify the portfolio where possible to reduce complexity and costs."/>
        <s v="Enable recipe flexibility to expand sourcing options."/>
      </sharedItems>
    </cacheField>
    <cacheField name="4 Strategies" numFmtId="0">
      <sharedItems containsNonDate="0" containsString="0" containsBlank="1"/>
    </cacheField>
    <cacheField name="16 Levers" numFmtId="0">
      <sharedItems containsBlank="1" count="9">
        <s v="Risk management"/>
        <s v="Target pricing"/>
        <s v="Volume bundling"/>
        <s v="Re-specification"/>
        <s v="Globalization"/>
        <s v="Cost Partnership"/>
        <s v="Supplier pricing review"/>
        <m/>
        <s v="Technical data mining"/>
      </sharedItems>
    </cacheField>
    <cacheField name="64 Methods" numFmtId="0">
      <sharedItems containsNonDate="0" containsString="0" containsBlank="1"/>
    </cacheField>
    <cacheField name="Score (1-4)" numFmtId="0">
      <sharedItems containsString="0" containsBlank="1" containsNumber="1" containsInteger="1" minValue="1" maxValue="4"/>
    </cacheField>
    <cacheField name="t"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0.650178356482" createdVersion="8" refreshedVersion="8" minRefreshableVersion="3" recordCount="287" xr:uid="{14D03574-817F-4319-A885-C28062DF2CEE}">
  <cacheSource type="worksheet">
    <worksheetSource ref="A2:BV289" sheet="2_Methodology (Value)"/>
  </cacheSource>
  <cacheFields count="74">
    <cacheField name="Initiative ID" numFmtId="0">
      <sharedItems containsSemiMixedTypes="0" containsString="0" containsNumber="1" containsInteger="1" minValue="1" maxValue="7" count="7">
        <n v="1"/>
        <n v="2"/>
        <n v="3"/>
        <n v="4"/>
        <n v="5"/>
        <n v="6"/>
        <n v="7"/>
      </sharedItems>
    </cacheField>
    <cacheField name="Industry group" numFmtId="0">
      <sharedItems/>
    </cacheField>
    <cacheField name="Industry segment" numFmtId="0">
      <sharedItems/>
    </cacheField>
    <cacheField name="L1" numFmtId="0">
      <sharedItems/>
    </cacheField>
    <cacheField name="L2" numFmtId="0">
      <sharedItems/>
    </cacheField>
    <cacheField name="Region" numFmtId="0">
      <sharedItems containsNonDate="0" containsString="0" containsBlank="1"/>
    </cacheField>
    <cacheField name="Hypotheses type" numFmtId="0">
      <sharedItems count="1">
        <s v="Value"/>
      </sharedItems>
    </cacheField>
    <cacheField name="Hypotheses / Questions" numFmtId="0">
      <sharedItems count="7">
        <s v="To what extent have you explored bundling of volumes across different types of vegetable oils to maximize economies of scale?"/>
        <s v="To what extent do you use should cost models to challenge and negotiate supplier pricing?"/>
        <s v="Do you review pack sizes and explore delivery options in bulk or flexi tanks to streamline supply chain operations and reduce costs?"/>
        <s v="Do you approve / qualify multiple suppliers for specialty products to hedge against significant risks in the supply chain?"/>
        <s v="Have you undertaken specification rationalization to enable volume bundling and reduce sourcing complexity?"/>
        <s v="Are financial instruments, such as hedging or long-term contracts, used to manage risks in vegetable oil procurement?"/>
        <s v="Have you considered shifting sourcing origins to take advantage of cost or availability benefits? If so, what challenges have you faced?"/>
      </sharedItems>
    </cacheField>
    <cacheField name="Risk metric Weightage (%)" numFmtId="0">
      <sharedItems containsNonDate="0" containsString="0" containsBlank="1"/>
    </cacheField>
    <cacheField name="Standard initiative / value driver description" numFmtId="0">
      <sharedItems longText="1"/>
    </cacheField>
    <cacheField name="64 methods" numFmtId="0">
      <sharedItems containsNonDate="0" containsString="0" containsBlank="1"/>
    </cacheField>
    <cacheField name="16 Levers" numFmtId="0">
      <sharedItems/>
    </cacheField>
    <cacheField name="Low (1)" numFmtId="0">
      <sharedItems/>
    </cacheField>
    <cacheField name="Little (2)" numFmtId="0">
      <sharedItems/>
    </cacheField>
    <cacheField name="Middle (3)" numFmtId="0">
      <sharedItems/>
    </cacheField>
    <cacheField name="High (4)" numFmtId="0">
      <sharedItems/>
    </cacheField>
    <cacheField name="Maturity score (1-4)" numFmtId="0">
      <sharedItems containsSemiMixedTypes="0" containsString="0" containsNumber="1" containsInteger="1" minValue="1" maxValue="4"/>
    </cacheField>
    <cacheField name="Category health / maturity score (Value)" numFmtId="2">
      <sharedItems containsSemiMixedTypes="0" containsString="0" containsNumber="1" containsInteger="1" minValue="2" maxValue="2"/>
    </cacheField>
    <cacheField name="Category health / maturity score (Risk)" numFmtId="2">
      <sharedItems/>
    </cacheField>
    <cacheField name="Weighted risk score calculation logic" numFmtId="0">
      <sharedItems containsNonDate="0" containsString="0" containsBlank="1"/>
    </cacheField>
    <cacheField name="Weighted risk score (scale of 10) - higher score = higher risk" numFmtId="0">
      <sharedItems containsNonDate="0" containsString="0" containsBlank="1"/>
    </cacheField>
    <cacheField name="Weighted category-level risk score" numFmtId="166">
      <sharedItems containsNonDate="0" containsString="0" containsBlank="1"/>
    </cacheField>
    <cacheField name="Savings% (low)" numFmtId="9">
      <sharedItems containsSemiMixedTypes="0" containsString="0" containsNumber="1" minValue="0.04" maxValue="0.04"/>
    </cacheField>
    <cacheField name="Savings% (high)" numFmtId="9">
      <sharedItems containsSemiMixedTypes="0" containsString="0" containsNumber="1" minValue="0.1" maxValue="0.1"/>
    </cacheField>
    <cacheField name="Addressability" numFmtId="9">
      <sharedItems containsSemiMixedTypes="0" containsString="0" containsNumber="1" minValue="0.8" maxValue="0.8"/>
    </cacheField>
    <cacheField name="Maturity adj savings % (low)" numFmtId="165">
      <sharedItems containsSemiMixedTypes="0" containsString="0" containsNumber="1" minValue="7.0000000000000007E-2" maxValue="7.0000000000000007E-2"/>
    </cacheField>
    <cacheField name="Maturity adj savings % (high)" numFmtId="165">
      <sharedItems containsSemiMixedTypes="0" containsString="0" containsNumber="1" minValue="8.5000000000000006E-2" maxValue="8.5000000000000006E-2"/>
    </cacheField>
    <cacheField name="Maturity adj savings $ (low)" numFmtId="166">
      <sharedItems containsSemiMixedTypes="0" containsString="0" containsNumber="1" minValue="2800000.0000000005" maxValue="2800000.0000000005"/>
    </cacheField>
    <cacheField name="Maturity adj savings $ (high)" numFmtId="166">
      <sharedItems containsSemiMixedTypes="0" containsString="0" containsNumber="1" minValue="3400000.0000000005" maxValue="3400000.0000000005"/>
    </cacheField>
    <cacheField name="# of value drivers / initiatives tested" numFmtId="1">
      <sharedItems containsSemiMixedTypes="0" containsString="0" containsNumber="1" containsInteger="1" minValue="7" maxValue="7"/>
    </cacheField>
    <cacheField name="Confidence score" numFmtId="10">
      <sharedItems containsSemiMixedTypes="0" containsString="0" containsNumber="1" minValue="0.48864540816326468" maxValue="0.48864540816326468"/>
    </cacheField>
    <cacheField name="Confidence bucket" numFmtId="9">
      <sharedItems/>
    </cacheField>
    <cacheField name="Confidence adj savings % (low)" numFmtId="10">
      <sharedItems containsSemiMixedTypes="0" containsString="0" containsNumber="1" minValue="5.9772908163265304E-2" maxValue="5.9772908163265304E-2"/>
    </cacheField>
    <cacheField name="Confidence adj savings % (high)" numFmtId="10">
      <sharedItems containsSemiMixedTypes="0" containsString="0" containsNumber="1" minValue="9.5227091836734709E-2" maxValue="9.5227091836734709E-2"/>
    </cacheField>
    <cacheField name="Confidence adj savings $ (low)" numFmtId="166">
      <sharedItems containsSemiMixedTypes="0" containsString="0" containsNumber="1" minValue="2390916.3265306121" maxValue="2390916.3265306121"/>
    </cacheField>
    <cacheField name="Confidence adj savings $ (high)" numFmtId="166">
      <sharedItems containsSemiMixedTypes="0" containsString="0" containsNumber="1" minValue="3809083.6734693884" maxValue="3809083.6734693884"/>
    </cacheField>
    <cacheField name="Savings BM% (low)" numFmtId="9">
      <sharedItems containsSemiMixedTypes="0" containsString="0" containsNumber="1" minValue="0.02" maxValue="0.02"/>
    </cacheField>
    <cacheField name="Savings BM% (high)" numFmtId="9">
      <sharedItems containsSemiMixedTypes="0" containsString="0" containsNumber="1" minValue="0.03" maxValue="0.05"/>
    </cacheField>
    <cacheField name="Intermediate calc." numFmtId="2">
      <sharedItems containsSemiMixedTypes="0" containsString="0" containsNumber="1" minValue="0.02" maxValue="4.2500000000000003E-2"/>
    </cacheField>
    <cacheField name="Maturity adjusted savings weightage" numFmtId="165">
      <sharedItems containsSemiMixedTypes="0" containsString="0" containsNumber="1" minValue="9.3023255813953487E-2" maxValue="0.19767441860465118"/>
    </cacheField>
    <cacheField name="savings % (low)" numFmtId="10">
      <sharedItems containsSemiMixedTypes="0" containsString="0" containsNumber="1" minValue="5.5602705268153769E-3" maxValue="1.1815574869482677E-2"/>
    </cacheField>
    <cacheField name="savings % (high)" numFmtId="10">
      <sharedItems containsSemiMixedTypes="0" containsString="0" containsNumber="1" minValue="8.858334124347415E-3" maxValue="1.8823960014238257E-2"/>
    </cacheField>
    <cacheField name="savings $ (low)" numFmtId="166">
      <sharedItems containsSemiMixedTypes="0" containsString="0" containsNumber="1" minValue="260465.1162790698" maxValue="553488.37209302338"/>
    </cacheField>
    <cacheField name="savings $ (high)" numFmtId="166">
      <sharedItems containsSemiMixedTypes="0" containsString="0" containsNumber="1" minValue="316279.06976744189" maxValue="672093.0232558141"/>
    </cacheField>
    <cacheField name="total proof points in methodology" numFmtId="1">
      <sharedItems containsSemiMixedTypes="0" containsString="0" containsNumber="1" containsInteger="1" minValue="41" maxValue="41"/>
    </cacheField>
    <cacheField name="Initiative impact score" numFmtId="2">
      <sharedItems containsSemiMixedTypes="0" containsString="0" containsNumber="1" minValue="2.5" maxValue="7.1837499999999999"/>
    </cacheField>
    <cacheField name="Impact bucket" numFmtId="166">
      <sharedItems/>
    </cacheField>
    <cacheField name="Proof points" numFmtId="0">
      <sharedItems count="41">
        <s v="Regional Spend Addressability"/>
        <s v="Single Sourcing / Supplier Dependency Risk"/>
        <s v="Supplier Concentration Risk "/>
        <s v="Tail Spend Consolidation Opportunity - Volume &amp; Administrative Savings"/>
        <s v="Volume Leverage from Fragmented Category Spend"/>
        <s v="Geographic Sourcing Optimization for Cost Reduction"/>
        <s v="Price Variance for Identical Items/SKUs "/>
        <s v="Invoice-to-PO Ratio Anomaly - Process Efficiency &amp; Control Issue"/>
        <s v="Average Spend per Supplier vs. Industry Benchmarks/Internal Targets"/>
        <s v="Spend Impact on Product Profitability (Direct Material Focus)"/>
        <s v="Category not optimized"/>
        <s v="Opportunity to reshuffle supply base"/>
        <s v="Market Size"/>
        <s v="Market Growth Rate"/>
        <s v="Market Maturity"/>
        <s v="Market Consolidation"/>
        <s v="Category Risk"/>
        <s v="Category Health Score"/>
        <s v="Net Supply"/>
        <s v="Net Capacity"/>
        <s v="Net Demand"/>
        <s v="Export Data"/>
        <s v="Import Data"/>
        <s v="Tariff Rate"/>
        <s v="Other Trade Rate (Customs Duty)"/>
        <s v="Cost Structure"/>
        <s v="GDP"/>
        <s v="Inflation"/>
        <s v="Exchange Rate"/>
        <s v="Geo Political Risk"/>
        <s v="Profit Margin"/>
        <s v="Unit Price"/>
        <s v="Supplier Name"/>
        <s v="Supplier Identifier"/>
        <s v="Supplier Location"/>
        <s v="Supplier Risk Rating"/>
        <s v="Annual Revenue"/>
        <s v="Certifications"/>
        <s v="SLAs / KPIs"/>
        <s v="ESG Score"/>
        <s v="Average Lead Time"/>
      </sharedItems>
    </cacheField>
    <cacheField name="Hypotheses brief" numFmtId="0">
      <sharedItems containsBlank="1" longText="1"/>
    </cacheField>
    <cacheField name="Qualifier type" numFmtId="0">
      <sharedItems count="2">
        <s v="Client data insights"/>
        <s v="Market driver"/>
      </sharedItems>
    </cacheField>
    <cacheField name="Prompt to contextualize value driving Initiatives" numFmtId="0">
      <sharedItems containsBlank="1" longText="1"/>
    </cacheField>
    <cacheField name="Proof point impact flag (GPT 5)" numFmtId="0">
      <sharedItems/>
    </cacheField>
    <cacheField name="Prompt for overall initiative description" numFmtId="0">
      <sharedItems containsBlank="1"/>
    </cacheField>
    <cacheField name="Risk levers linked to value levers/initiatives" numFmtId="0">
      <sharedItems containsBlank="1"/>
    </cacheField>
    <cacheField name="Prompt to contextualize risk for value initiatives" numFmtId="0">
      <sharedItems containsBlank="1" longText="1"/>
    </cacheField>
    <cacheField name="Risk driver impact flag (GPT5)" numFmtId="0">
      <sharedItems containsBlank="1"/>
    </cacheField>
    <cacheField name="Test 1_x000a_Proof point contextualization---- Perplexity (Claude Sonnet 4.0)" numFmtId="0">
      <sharedItems containsBlank="1" longText="1"/>
    </cacheField>
    <cacheField name="Test 2_x000a_Proof point contextualization---- ChatGPT (GPT 5)" numFmtId="0">
      <sharedItems longText="1"/>
    </cacheField>
    <cacheField name="Test 2_x000a_Proof point contextualization---- Perplexity (Claude Sonnet 4.0)" numFmtId="0">
      <sharedItems longText="1"/>
    </cacheField>
    <cacheField name="Test 2_x000a_Value contextualization ---- ChatGPT (GPT 5) applied on proof-point insights generated by Sonnet" numFmtId="0">
      <sharedItems containsBlank="1" longText="1"/>
    </cacheField>
    <cacheField name="Test 2_x000a_Risk contextualization for Value initiatives -- Perplexity (Sonnet 4.0)" numFmtId="0">
      <sharedItems containsBlank="1" longText="1"/>
    </cacheField>
    <cacheField name="Test 2 - Final description of initiatives (Perplexity - Sonnrt 4.0)" numFmtId="0">
      <sharedItems longText="1"/>
    </cacheField>
    <cacheField name="Regional / country-specific cost differences" numFmtId="0">
      <sharedItems containsBlank="1"/>
    </cacheField>
    <cacheField name="Fragmentation - by region" numFmtId="0">
      <sharedItems containsBlank="1"/>
    </cacheField>
    <cacheField name="Fragmentation - by Supplier" numFmtId="0">
      <sharedItems containsBlank="1"/>
    </cacheField>
    <cacheField name="Unit Price / index / cost driver trends" numFmtId="0">
      <sharedItems containsBlank="1"/>
    </cacheField>
    <cacheField name="Internal price arbitrage" numFmtId="0">
      <sharedItems containsBlank="1"/>
    </cacheField>
    <cacheField name="Category size vs peers" numFmtId="0">
      <sharedItems containsBlank="1"/>
    </cacheField>
    <cacheField name="Supplier concentration" numFmtId="0">
      <sharedItems containsBlank="1"/>
    </cacheField>
    <cacheField name="Price volatility risk" numFmtId="0">
      <sharedItems containsNonDate="0" containsString="0" containsBlank="1"/>
    </cacheField>
    <cacheField name="Supplier conc risk" numFmtId="0">
      <sharedItems containsNonDate="0" containsString="0" containsBlank="1"/>
    </cacheField>
    <cacheField name="Supplier financial risk" numFmtId="0">
      <sharedItems containsNonDate="0" containsString="0" containsBlank="1"/>
    </cacheField>
    <cacheField name="Supplier geopolitical risk" numFmtId="0">
      <sharedItems containsNonDate="0" containsString="0" containsBlank="1"/>
    </cacheField>
    <cacheField name="Flag (active logic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m/>
    <s v="Value"/>
    <s v="Plant-based"/>
    <x v="0"/>
    <x v="0"/>
    <x v="0"/>
    <x v="0"/>
    <s v="Not utilized"/>
    <s v="Basic usage for high-risk categories"/>
    <s v="Regularly employed for risk management"/>
    <s v="Strategically implemented with advanced forecasting"/>
    <n v="0.02"/>
    <n v="0.05"/>
    <n v="0.8"/>
    <x v="0"/>
    <m/>
    <x v="0"/>
    <m/>
    <n v="2"/>
    <s v="Are financial instruments, such as hedging or long-term contracts, used to manage risks in vegetable oil procurement?"/>
  </r>
  <r>
    <m/>
    <s v="Value"/>
    <s v="Plant-based"/>
    <x v="0"/>
    <x v="0"/>
    <x v="0"/>
    <x v="1"/>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0.02"/>
    <n v="0.05"/>
    <n v="0.8"/>
    <x v="1"/>
    <m/>
    <x v="0"/>
    <m/>
    <n v="2"/>
    <s v="Do you approve / qualify multiple suppliers for specialty products to hedge against significant risks in the supply chain?"/>
  </r>
  <r>
    <m/>
    <s v="Value"/>
    <s v="Plant-based"/>
    <x v="0"/>
    <x v="0"/>
    <x v="0"/>
    <x v="2"/>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0.02"/>
    <n v="0.05"/>
    <n v="0.8"/>
    <x v="2"/>
    <m/>
    <x v="1"/>
    <m/>
    <n v="1"/>
    <s v="To what extent do you use should cost models to challenge and negotiate supplier pricing?"/>
  </r>
  <r>
    <m/>
    <s v="Value"/>
    <s v="Plant-based"/>
    <x v="0"/>
    <x v="0"/>
    <x v="0"/>
    <x v="3"/>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0.02"/>
    <n v="0.05"/>
    <n v="0.8"/>
    <x v="3"/>
    <m/>
    <x v="2"/>
    <m/>
    <n v="3"/>
    <s v="To what extent have you explored bundling of volumes across different types of vegetable oils to maximize economies of scale?"/>
  </r>
  <r>
    <m/>
    <s v="Value"/>
    <s v="Plant-based"/>
    <x v="0"/>
    <x v="0"/>
    <x v="0"/>
    <x v="4"/>
    <s v="Not undertaken"/>
    <s v="Initial stages of exploration, requires more work"/>
    <s v="Ad-hoc but frequent rationalization initiatives"/>
    <s v="Fully optimized methodology to review cost and simplicity periodically"/>
    <n v="0.02"/>
    <n v="0.03"/>
    <n v="0.8"/>
    <x v="4"/>
    <m/>
    <x v="3"/>
    <m/>
    <n v="4"/>
    <s v="Have you undertaken specification rationalization to enable volume bundling and reduce sourcing complexity?"/>
  </r>
  <r>
    <m/>
    <s v="Value"/>
    <s v="Plant-based"/>
    <x v="0"/>
    <x v="0"/>
    <x v="0"/>
    <x v="5"/>
    <s v="Not considered"/>
    <s v="Limited exploration of alternative origins"/>
    <s v="Regularly sourcing from diverse origins"/>
    <s v="Fully optimized global sourcing with risk mitigation plans"/>
    <n v="0.02"/>
    <n v="0.03"/>
    <n v="0.8"/>
    <x v="5"/>
    <m/>
    <x v="4"/>
    <m/>
    <n v="1"/>
    <s v="Have you considered shifting sourcing origins to take advantage of cost or availability benefits? If so, what challenges have you faced?"/>
  </r>
  <r>
    <m/>
    <s v="Value"/>
    <s v="Plant-based"/>
    <x v="0"/>
    <x v="0"/>
    <x v="0"/>
    <x v="6"/>
    <s v="No review conducted"/>
    <s v="Limited trials for bulk options"/>
    <s v="Regular assessments to optimize packaging"/>
    <s v="Fully optimized with advanced logistics planning"/>
    <n v="0.02"/>
    <n v="0.03"/>
    <n v="0.8"/>
    <x v="6"/>
    <m/>
    <x v="3"/>
    <m/>
    <n v="1"/>
    <s v="Do you review pack sizes and explore delivery options in bulk or flexi tanks to streamline supply chain operations and reduce costs?"/>
  </r>
  <r>
    <m/>
    <s v="Risk"/>
    <s v="Plant-based"/>
    <x v="0"/>
    <x v="0"/>
    <x v="1"/>
    <x v="7"/>
    <s v="&gt;80% of spend is with a single supplier"/>
    <s v="Top 2 suppliers cover &gt;80% of spend"/>
    <s v="Top 3-4 suppliers cover &gt;80% of spend"/>
    <s v="5 or more suppliers contribute to the top 80% spend"/>
    <m/>
    <m/>
    <m/>
    <x v="7"/>
    <m/>
    <x v="3"/>
    <m/>
    <n v="4"/>
    <m/>
  </r>
  <r>
    <m/>
    <s v="Risk"/>
    <s v="Plant-based"/>
    <x v="0"/>
    <x v="0"/>
    <x v="1"/>
    <x v="8"/>
    <s v="&gt;75% spend is linked to high risk suppliers (risk score &lt;30)"/>
    <s v="50-75% spend is linked to high risk suppliers (risk score &lt;30)"/>
    <s v="30-50% spend is linked to high risk suppliers (risk score &lt;30)"/>
    <s v="&lt;30% spend is linked to high risk suppliers (risk score &lt;30)"/>
    <m/>
    <m/>
    <m/>
    <x v="7"/>
    <m/>
    <x v="3"/>
    <m/>
    <n v="2"/>
    <m/>
  </r>
  <r>
    <m/>
    <s v="Risk"/>
    <s v="Plant-based"/>
    <x v="0"/>
    <x v="0"/>
    <x v="1"/>
    <x v="9"/>
    <s v="&gt;75% spend is linked to high risk suppliers (risk score &gt;=DB5)"/>
    <s v="50-75% spend is linked to high risk suppliers (risk score &gt;=DB5)"/>
    <s v="30-50% spend is linked to high risk suppliers (risk score &gt;=DB5)"/>
    <s v="&lt;30% spend is linked to high risk suppliers (risk score &gt;=DB5)"/>
    <m/>
    <m/>
    <m/>
    <x v="7"/>
    <m/>
    <x v="3"/>
    <m/>
    <n v="3"/>
    <m/>
  </r>
  <r>
    <m/>
    <s v="Risk"/>
    <s v="Plant-based"/>
    <x v="0"/>
    <x v="0"/>
    <x v="1"/>
    <x v="10"/>
    <s v="&gt;75% spend is linked to regions witnessing price inflation due to cost driver inflation, tariffs, demand / supply imbalance etc."/>
    <s v="50-75% spend is linked to regions witnessing price inflation due to cost driver inflation, tariffs, demand / supply imbalance etc."/>
    <s v="30-50% spend is linked to regions witnessing price inflation due to cost driver inflation, tariffs, demand / supply imbalance etc."/>
    <s v="&lt;30% spend is linked to regions witnessing price inflation due to cost driver inflation, tariffs, demand / supply imbalance etc."/>
    <m/>
    <m/>
    <m/>
    <x v="7"/>
    <m/>
    <x v="3"/>
    <m/>
    <n v="2"/>
    <m/>
  </r>
  <r>
    <n v="1"/>
    <s v="Value"/>
    <s v="Plant-based"/>
    <x v="0"/>
    <x v="0"/>
    <x v="0"/>
    <x v="11"/>
    <s v="No connection between supplier strategy and R&amp;D"/>
    <s v="Occasional collaboration for innovation"/>
    <s v="Regular input from suppliers to guide R&amp;D"/>
    <s v="Integrated partnerships driving co-developed innovations"/>
    <n v="0.02"/>
    <n v="0.05"/>
    <n v="0.8"/>
    <x v="0"/>
    <m/>
    <x v="5"/>
    <m/>
    <n v="2"/>
    <e v="#N/A"/>
  </r>
  <r>
    <n v="2"/>
    <s v="Value"/>
    <s v="Plant-based"/>
    <x v="0"/>
    <x v="0"/>
    <x v="0"/>
    <x v="12"/>
    <s v="Not practiced"/>
    <s v="Commodity indices are linked to pricing, no defined methodology to track and review this"/>
    <s v="Commodity indices are linked to prices, and category managers / buyers calculate the market impact manually as per defined review periods"/>
    <s v="Automated index-based price calculations by SKU, plant, supplier etc."/>
    <n v="0.02"/>
    <n v="0.05"/>
    <n v="0.8"/>
    <x v="0"/>
    <m/>
    <x v="6"/>
    <m/>
    <n v="3"/>
    <e v="#N/A"/>
  </r>
  <r>
    <n v="4"/>
    <s v="Value"/>
    <s v="Plant-based"/>
    <x v="0"/>
    <x v="0"/>
    <x v="0"/>
    <x v="13"/>
    <s v="Not practiced"/>
    <m/>
    <m/>
    <s v="We typically aim to lock-in prices early in the season, based on crop reports, yield estimates etc"/>
    <n v="0.02"/>
    <n v="0.05"/>
    <n v="0.8"/>
    <x v="0"/>
    <m/>
    <x v="0"/>
    <m/>
    <m/>
    <e v="#N/A"/>
  </r>
  <r>
    <n v="8"/>
    <s v="Value"/>
    <s v="Plant-based"/>
    <x v="0"/>
    <x v="0"/>
    <x v="0"/>
    <x v="14"/>
    <s v="Not explored"/>
    <s v="Limited trials conducted"/>
    <s v="Regular evaluation and switching"/>
    <s v="Embedded in procurement and formulation strategies"/>
    <n v="0.02"/>
    <n v="0.03"/>
    <n v="0.8"/>
    <x v="8"/>
    <m/>
    <x v="3"/>
    <m/>
    <n v="1"/>
    <e v="#N/A"/>
  </r>
  <r>
    <n v="9"/>
    <s v="Value"/>
    <s v="Plant-based"/>
    <x v="0"/>
    <x v="0"/>
    <x v="0"/>
    <x v="15"/>
    <s v="Not explored / implemented"/>
    <s v="Initial stages of exploration, requires more work"/>
    <s v="Ad-hoc examples of formulation adjustments for expensive specialty products"/>
    <s v="We have a periodic governance / review mechanism to evaluate the inclusion of specialty products"/>
    <n v="0.02"/>
    <n v="0.03"/>
    <n v="0.8"/>
    <x v="9"/>
    <m/>
    <x v="3"/>
    <m/>
    <n v="2"/>
    <e v="#N/A"/>
  </r>
  <r>
    <n v="10"/>
    <s v="Value"/>
    <s v="Plant-based"/>
    <x v="0"/>
    <x v="0"/>
    <x v="0"/>
    <x v="16"/>
    <s v="No specific strategies"/>
    <s v="Basic cost-saving measures"/>
    <s v="Effective strategies for major specialties"/>
    <s v="Advanced strategies with measurable cost reductions"/>
    <n v="0.02"/>
    <n v="0.03"/>
    <n v="0.8"/>
    <x v="9"/>
    <m/>
    <x v="7"/>
    <m/>
    <n v="3"/>
    <e v="#N/A"/>
  </r>
  <r>
    <n v="12"/>
    <s v="Value"/>
    <s v="Plant-based"/>
    <x v="0"/>
    <x v="0"/>
    <x v="0"/>
    <x v="17"/>
    <s v="Rarely addressed"/>
    <s v="Occasional portfolio reviews"/>
    <s v="Regular reviews to identify simplification"/>
    <s v="Continuously optimized portfolio management"/>
    <n v="0.02"/>
    <n v="0.03"/>
    <n v="0.8"/>
    <x v="10"/>
    <m/>
    <x v="8"/>
    <m/>
    <m/>
    <e v="#N/A"/>
  </r>
  <r>
    <n v="13"/>
    <s v="Value"/>
    <s v="Plant-based"/>
    <x v="0"/>
    <x v="0"/>
    <x v="0"/>
    <x v="18"/>
    <s v="Not maintained"/>
    <s v="Ad-hoc / one-off  design and testing of new formulations, based on specific projects / initiatives "/>
    <s v="We maintain a list of potential formulations, however the should-costs for these are not transparent / not maintained periodically"/>
    <s v="We maintain a list of formulations, updated with market prices regularly to identify relative cost benefits"/>
    <n v="0.02"/>
    <n v="0.03"/>
    <n v="0.8"/>
    <x v="11"/>
    <m/>
    <x v="3"/>
    <m/>
    <n v="3"/>
    <e v="#N/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0"/>
    <s v="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x v="0"/>
    <s v="If a large number of countries/regions (&gt;3-4) contribute to the top &gt;80% spend, then call out these countries/examples with potential for consolidation. If SKU/item level data is available, share examples of top SKUs/items that have a one-to-many mapping between plants/countries/regions-to-suppliers"/>
    <s v="High"/>
    <s v="Contextualize and enrich the insights to make it 100-120 words summary explaining what you should do, with examples of reasons why. Structure this as bullet points, dont provide specific targets, and also talk about how future trends will impact this"/>
    <m/>
    <m/>
    <m/>
    <s v="Analysis reveals 100% vegetable oil spend concentrated in Malaysia across 3 plants (PH06, PH1A, potentially SHJ2), indicating extremely high regional addressability. Raw ricebran oil (Material 102038) represents the entire category spend with ~50+ unique suppliers serving these Malaysian operations. This concentration presents significant volume bundling opportunities across plants: PH06 and PH1A both source from overlapping suppliers including UNIVERSAL AGRO FOOD INDUSTRIES, ANSUL OVERSEAS, and SAI TEJA SOLVENT AND FOOD. Recommend implementing regional bundling strategy leveraging collective $40M+ annual spend to negotiate better economies of scale with key suppliers like SAWARIA FOOD &amp; FATS, GOEL INTERNATIONAL, and SHAKTI FOOD OIL across all Malaysian plants."/>
    <s v="Insights: Spend is concentrated across plants — Malaysia 81.4%, India 7.1%, Australia 7.1%, Indonesia 4.5%. Actions: Bundle cross-plant demand windows and align delivery INCOTERMS to exploit backhauls and supplier MOQ breaks."/>
    <s v="â€¢ **Prioritize Malaysia-centric consolidation strategy**: With &gt;95% spend concentrated in Malaysian plants (PH06, SHJ2), focus volume bundling efforts on consolidating multiple suppliers like SHIVAGANGA FOOD OIL EXTRACTIONS, SIDDAGANGA OIL &amp; BIO INDUSTRIES, and SAKLECHA SOLVENTEX across both ricebran and sunflower oil categories._x000a_â€¢ **Leverage multi-supplier SKU opportunities**: Raw ricebran oil (Material 102038) shows procurement from 8+ different suppliers with similar specifications, creating immediate bundling potential to negotiate better pricing through volume concentration._x000a_â€¢ **Future market dynamics favor consolidation**: Rising commodity price volatility and supply chain disruptions are driving suppliers to prefer larger, committed volume relationships, making bundling strategies more effective in securing preferential pricing and supply continuity."/>
    <s v="Why (Strategic Need):_x000a_Rising price volatility, ESG demands, and digital procurement transformation are driving the need for supplier consolidation, cost efficiency, and risk mitigation._x000a__x000a_What (Insights Identified):_x000a_95% of spend is India/Malaysia-centric; ricebran oil alone is sourced from 10+ suppliers with identical specs. &gt;75% of suppliers contribute to &lt;20% of spend, and average spend per supplier trails industry benchmarks._x000a__x000a_How (Recommended Actions):_x000a_Consolidate suppliers like SHIVAGANGA, SIDDAGANGA, and SAKLECHA across ricebran and sunflower oils._x000a_Eliminate tail suppliers with sporadic volumes (e.g., RAICHUR SOLVENTS)._x000a_Leverage cross-category bundling with multi-oil suppliers._x000a_Prioritize strategic partnerships with financially stable, ESG-compliant vendors._x000a_Align sourcing strategy with market consolidation trends and future digitization shifts."/>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s v="Yes"/>
    <m/>
    <m/>
    <m/>
    <m/>
    <m/>
    <m/>
    <m/>
    <m/>
    <m/>
    <s v="Yes"/>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1"/>
    <s v="If a high-spend category (e.g., top 10% of total spend categories) or a critical category is supplied by only one unique supplier, then the client faces elevated supply chain and operational risk due to dependency"/>
    <x v="0"/>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2"/>
    <s v="If a small number of suppliers (e.g., top 5-7%) account for a disproportionately large percentage of total spend (e.g., &gt;70-90%), then the overall organization has a high supplier concentration risk, potentially limiting leverage and increasing exposure to a few vendor's issues"/>
    <x v="0"/>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3"/>
    <s v="If the lowest 10-20% of total spend (by value) is distributed across more than 70-80% of the total unique suppliers, then significant opportunity exists for both administrative cost reduction (managing fewer vendors) and price savings through consolidation"/>
    <x v="0"/>
    <s v="In case this proof-point shows high fragmentation in bottom 20% spend, then augment the initiative by describing the extent of fragmentation e.g., &gt;90% supplier make up the bottom 20% spend."/>
    <s v="High"/>
    <s v="Contextualize and enrich the insights to make it 100-120 words summary explaining what you should do, with examples of reasons why. Structure this as bullet points, dont provide specific targets, and also talk about how future trends will impact this"/>
    <m/>
    <m/>
    <m/>
    <s v="Significant tail spend consolidation opportunity identified. With 50+ unique suppliers serving raw ricebran oil requirements, substantial fragmentation exists in the supplier base. Many suppliers like BENI AGRO PRODUCTS PVT LTD, RAICHUR SOLVENTS LIMITED, and PRAKRUTHI SOLVEX PRIVATE LIMITED appear with smaller, less frequent transactions suggesting they represent tail spend. Analysis shows numerous suppliers with sporadic order patterns and smaller volumes, indicating high administrative burden with limited volume leverage. Recommend consolidating tail suppliers (bottom 20% spend) representing approximately 40+ vendors into preferred supplier agreements with top-performing vendors, potentially reducing supplier base by 60-70% while maintaining supply security and achieving both administrative cost savings and better pricing through volume consolidation."/>
    <s v="Insights: Supplier base: 87 vendors; Top-1 share 8.6%; HHI ≈ 344 → fragmented. Leverage via bundled bids and two-tiering is feasible. Top leverage candidates by spend: RAW RICEBRAN OIL, REFINED RICEBRAN OIL, REFINED SUNFLOWER OIL EDIBLE. Estimated admin + unit-price benefit from tail collapse (tail 20.6%): 1–3% admin and 2–5% price on rebid."/>
    <s v="â€¢ **Address tail supplier fragmentation**: Analysis shows &gt;75% of unique suppliers (including RAICHUR SOLVENTS, smaller regional processors) contribute to bottom 20% of spend, creating administrative burden and limiting negotiation leverage._x000a_â€¢ **Consolidate smaller volume suppliers**: Multiple suppliers like UNIVERSAL AGRO FOOD INDUSTRIES, N.K.PROTEINS LIMITED show sporadic, small-volume transactions that can be consolidated into preferred supplier relationships or eliminated entirely._x000a_â€¢ **Future procurement digitization trends**: Industry shift toward supplier relationship management platforms and automated procurement processes will favor organizations with streamlined supplier portfolios, making tail spend consolidation essential for operational efficiency and cost competitiveness."/>
    <s v="Why (Strategic Need):_x000a_Rising price volatility, ESG demands, and digital procurement transformation are driving the need for supplier consolidation, cost efficiency, and risk mitigation._x000a__x000a_What (Insights Identified):_x000a_95% of spend is India/Malaysia-centric; ricebran oil alone is sourced from 10+ suppliers with identical specs. &gt;75% of suppliers contribute to &lt;20% of spend, and average spend per supplier trails industry benchmarks._x000a__x000a_How (Recommended Actions):_x000a_Consolidate suppliers like SHIVAGANGA, SIDDAGANGA, and SAKLECHA across ricebran and sunflower oils._x000a_Eliminate tail suppliers with sporadic volumes (e.g., RAICHUR SOLVENTS)._x000a_Leverage cross-category bundling with multi-oil suppliers._x000a_Prioritize strategic partnerships with financially stable, ESG-compliant vendors._x000a_Align sourcing strategy with market consolidation trends and future digitization shifts."/>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s v="Yes"/>
    <m/>
    <m/>
    <m/>
    <m/>
    <m/>
    <m/>
    <m/>
    <m/>
    <s v="Yes"/>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4"/>
    <s v="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
    <x v="0"/>
    <s v="If top categories and/or SKUs/items have multiple suppliers; and if these suppliers provide similar/identical products and services; then callout these examples of suppliers that can be consolidated"/>
    <s v="High"/>
    <s v="Contextualize and enrich the insights to make it 100-120 words summary explaining what you should do, with examples of reasons why. Structure this as bullet points, dont provide specific targets, and also talk about how future trends will impact this"/>
    <m/>
    <m/>
    <m/>
    <s v="Exceptional volume leverage opportunity confirmed. Raw ricebran oil (Material 102038) - a single, standardized commodity - is sourced from 50+ suppliers across Malaysian plants, representing significant fragmentation for identical product specifications. Key consolidation targets include: (1) SAKLECHA SOLVENTEX PVT. LTD., M/S ABHAY SOLVENTS PVT LTD., and VIJAY KUMAR AGRO OILS providing similar products to PH06; (2) Multiple Indian suppliers (SAWARIA FOOD &amp; FATS, GOEL INTERNATIONAL, SHAKTI FOOD OIL) serving both plants with identical raw ricebran oil; (3) Smaller suppliers like RAICHUR SOLVENTS LIMITED and PRAKRUTHI SOLVEX delivering same specifications. Recommend consolidating to 15-20 strategic suppliers to capture 80% of volume, leveraging collective $40M+ spend for cost reduction while maintaining supply security through geographic and supplier diversification."/>
    <s v="Insights: Supplier base: 87 vendors; Top-1 share 8.6%; HHI ≈ 344 → fragmented. Leverage via bundled bids and two-tiering is feasible. Top leverage candidates by spend: RAW RICEBRAN OIL, REFINED RICEBRAN OIL, REFINED SUNFLOWER OIL EDIBLE. Estimated admin + unit-price benefit from tail collapse (tail 20.6%): 1–3% admin and 2–5% price on rebid."/>
    <s v="â€¢ **Consolidate identical ricebran oil sourcing**: Raw ricebran oil (Material 102038) is procured from 10+ suppliers including SHIVAGANGA FOOD OIL EXTRACTIONS, SIDDAGANGA OIL &amp; BIO INDUSTRIES, SAKLECHA SOLVENTEX - all providing identical specifications, creating consolidation opportunities._x000a_â€¢ **Leverage cross-oil-type negotiations**: Suppliers like UNIVERSAL AGRO FOOD INDUSTRIES serve both ricebran and sunflower oil categories, enabling bundled negotiations across vegetable oil types for volume discounts._x000a_â€¢ **Future supply chain consolidation**: Industry trend toward fewer, strategic supplier partnerships driven by sustainability requirements and supply chain resilience needs will reward early movers who proactively consolidate volumes with capable, multi-category suppliers."/>
    <s v="Why (Strategic Need):_x000a_Rising price volatility, ESG demands, and digital procurement transformation are driving the need for supplier consolidation, cost efficiency, and risk mitigation._x000a__x000a_What (Insights Identified):_x000a_95% of spend is India/Malaysia-centric; ricebran oil alone is sourced from 10+ suppliers with identical specs. &gt;75% of suppliers contribute to &lt;20% of spend, and average spend per supplier trails industry benchmarks._x000a__x000a_How (Recommended Actions):_x000a_Consolidate suppliers like SHIVAGANGA, SIDDAGANGA, and SAKLECHA across ricebran and sunflower oils._x000a_Eliminate tail suppliers with sporadic volumes (e.g., RAICHUR SOLVENTS)._x000a_Leverage cross-category bundling with multi-oil suppliers._x000a_Prioritize strategic partnerships with financially stable, ESG-compliant vendors._x000a_Align sourcing strategy with market consolidation trends and future digitization shifts."/>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s v="Yes"/>
    <m/>
    <m/>
    <m/>
    <m/>
    <m/>
    <m/>
    <m/>
    <m/>
    <s v="Yes"/>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5"/>
    <s v="If significant spend for common goods/services occurs with suppliers located in high-cost regions, when similar quality suppliers exist in lower-cost regions (requires external data on regional cost indices), then a sourcing shift could yield savings due to reduced transportation and tarriffs"/>
    <x v="0"/>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6"/>
    <s v="If the same SKU, part number, or highly similar service description is purchased from different suppliers or at different times at widely varying unit prices (e.g., &gt;15% variance) in the time frame, then there's an immediate, quantifiable savings opportunity through price standardization"/>
    <x v="0"/>
    <s v="Callout examples of the high spend SKUs that are not only purchased from mutliple suppliers, but also have price variations across suppliers."/>
    <s v="Medium"/>
    <s v="Contextualize and enrich the insights to make it 100-120 words summary explaining what you should do, with examples of reasons why. Structure this as bullet points, dont provide specific targets, and also talk about how future trends will impact this"/>
    <m/>
    <m/>
    <m/>
    <s v="Significant price variance opportunity identified for raw ricebran oil (Material 102038). Analysis reveals substantial unit price variations: (1) 2021 prices ranging from $1.38-$1.47/kg across suppliers for identical specifications - 6.5% variance; (2) Historical data shows even wider variations from $0.65-$1.47/kg across time periods, indicating 55%+ price variance; (3) Examples include SAKLECHA SOLVENTEX PVT. LTD. at $1.44/kg vs SIDDAGANGA OIL &amp; BIO INDUSTRIES at $1.44/kg showing supplier pricing inconsistencies. Immediate opportunity to standardize pricing through: (1) Establishing target price bands based on commodity benchmarks plus processing margins; (2) Implementing quarterly price reviews aligned with ricebran oil commodity indices; (3) Challenging premium pricing from suppliers like UNIVERSAL AGRO FOOD INDUSTRIES and ANSUL OVERSEAS to achieve 5-8% cost reduction through price normalization."/>
    <s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 REFINED SUNFLOWER OIL EDIBLE (suppliers: 13, plants: 2) — price/kg 1.65-2.09 (median 1.86; spread 24%). Potential value ≈ $1,565,056 by aligning 50% volume to P25–P10 pricing. Actions: Run competitive re-bids on the cited SKUs, standardize specs, and lock indexed contracts where volatility is high. Prioritize suppliers with proven capability across Malaysia/Australia plants to converge to best-in-class pricing."/>
    <e v="#N/A"/>
    <s v="Why (Strategic Need):_x000a_Rising price volatility, ESG demands, and digital procurement transformation are driving the need for supplier consolidation, cost efficiency, and risk mitigation._x000a__x000a_What (Insights Identified):_x000a_95% of spend is India/Malaysia-centric; ricebran oil alone is sourced from 10+ suppliers with identical specs. &gt;75% of suppliers contribute to &lt;20% of spend, and average spend per supplier trails industry benchmarks._x000a__x000a_How (Recommended Actions):_x000a_Consolidate suppliers like SHIVAGANGA, SIDDAGANGA, and SAKLECHA across ricebran and sunflower oils._x000a_Eliminate tail suppliers with sporadic volumes (e.g., RAICHUR SOLVENTS)._x000a_Leverage cross-category bundling with multi-oil suppliers._x000a_Prioritize strategic partnerships with financially stable, ESG-compliant vendors._x000a_Align sourcing strategy with market consolidation trends and future digitization shifts."/>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s v="Yes"/>
    <m/>
    <m/>
    <m/>
    <m/>
    <m/>
    <m/>
    <s v="Yes"/>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7"/>
    <s v="If a high percentage of invoices lack an associated PO in the spend data, or if the average invoice value is significantly lower than the average PO value, then transactional control is weak, leading to potential &quot;no PO, no pay&quot; policy violations and higher processing costs"/>
    <x v="0"/>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8"/>
    <s v="If the average spend per active supplier (total spend / total unique suppliers) is significantly lower than industry benchmarks or internal targets, especially when revenue is stagnant or declining, it could indicate excessive supplier fragmentation for the current business scale, driving administrative inefficiency"/>
    <x v="0"/>
    <s v="If avg spend/supplier &gt; benchmark, call this out and mention how the vlaue compares against the Quartile1/Quartile3/median value of the benchmark"/>
    <s v="Medium"/>
    <s v="Contextualize and enrich the insights to make it 100-120 words summary explaining what you should do, with examples of reasons why. Structure this as bullet points, dont provide specific targets, and also talk about how future trends will impact this"/>
    <m/>
    <m/>
    <m/>
    <m/>
    <s v="Insights: Avg spend/supplier benchmarks (client distribution): Q1 $255,687, Median $723,229, Q3 $1,830,514. 22 suppliers sit above Q3, owning 74.6% of spend; tail (&lt;1%) is 20.6% across 61 suppliers. Supplier base: 87 vendors; Top-1 share 8.6%; HHI ≈ 344 → fragmented. Leverage via bundled bids and two-tiering is feasible. Actions: Set target portfolio — strategic (top decile), preferred (Q2–Q3), and transactional (tail). Rebalance volumes to cap any single-supplier share at ≤35% and collapse long tail via cataloging/frameworks."/>
    <s v="â€¢ **Optimize supplier portfolio efficiency**: Current average spend per supplier appears below industry median for food ingredient procurement, indicating potential over-fragmentation in supplier base management._x000a_â€¢ **Focus on strategic supplier relationships**: Top suppliers like SHIVAGANGA and SIDDAGANGA represent higher-value partnerships that align with industry best practices for concentrated strategic sourcing relationships._x000a_â€¢ **Future procurement digitization demands**: Industry evolution toward integrated supplier ecosystems and automated procurement platforms will favor organizations with optimized supplier portfolios, making current consolidation efforts essential for maintaining competitive procurement operations and reducing administrative overhead costs."/>
    <s v="Why (Strategic Need):_x000a_Rising price volatility, ESG demands, and digital procurement transformation are driving the need for supplier consolidation, cost efficiency, and risk mitigation._x000a__x000a_What (Insights Identified):_x000a_95% of spend is India/Malaysia-centric; ricebran oil alone is sourced from 10+ suppliers with identical specs. &gt;75% of suppliers contribute to &lt;20% of spend, and average spend per supplier trails industry benchmarks._x000a__x000a_How (Recommended Actions):_x000a_Consolidate suppliers like SHIVAGANGA, SIDDAGANGA, and SAKLECHA across ricebran and sunflower oils._x000a_Eliminate tail suppliers with sporadic volumes (e.g., RAICHUR SOLVENTS)._x000a_Leverage cross-category bundling with multi-oil suppliers._x000a_Prioritize strategic partnerships with financially stable, ESG-compliant vendors._x000a_Align sourcing strategy with market consolidation trends and future digitization shifts."/>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s v="Yes"/>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9"/>
    <s v="If the cost of direct materials for a high-volume, low-margin product category shows significant volatility or consistent increases in spend data, while its revenue remains stable or declines, then it's directly eroding product profitability, requiring urgent procurement intervention"/>
    <x v="0"/>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10"/>
    <s v="Category spend/revenue vs benchmakrs"/>
    <x v="0"/>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11"/>
    <s v="Check client's top suppliers with  the industry top suppliers (from benchmark database)"/>
    <x v="0"/>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12"/>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13"/>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14"/>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15"/>
    <m/>
    <x v="1"/>
    <s v="In case there are recent industry / supplier examples of consolidation, especially for any of the incumbents, then call out those examples"/>
    <s v="Medium"/>
    <s v="Contextualize and enrich the insights to make it 100-120 words summary explaining what you should do, with examples of reasons why. Structure this as bullet points, dont provide specific targets, and also talk about how future trends will impact this"/>
    <m/>
    <m/>
    <m/>
    <s v="Significant market consolidation trends in vegetable oil industry create procurement optimization opportunities. Recent major consolidations include: (1) Wilmar International's expansion in Southeast Asia ricebran oil processing; (2) ADM's strategic partnerships with Indian processors serving Malaysian markets; (3) Local Malaysian consolidation with IOI Group and Sime Darby expanding processing capabilities. These consolidations create: larger, more efficient suppliers with enhanced quality systems; improved pricing stability through scale economies; better service capabilities including logistics and technical support. Current supplier base includes several consolidation targets - smaller processors like RAICHUR SOLVENTS LIMITED and PRAKRUTHI SOLVEX likely acquisition candidates for larger players. Recommend proactive engagement with consolidating suppliers to secure preferential terms and avoid supply disruptions, while leveraging consolidation trends to negotiate volume commitments with emerging market leaders for improved pricing and service levels."/>
    <s v="Market view: Sunflower oil consolidation rating global ≈ 2/5 | Asia ≈ 2/5 | 2025 supply 12.5 MMT vs demand 9.93 MMT → oversupply. Actions: Time multi-round RFPs to harvest near-term oversupply; maintain optionality with at least one Black Sea and one SE Asia origin where feasible."/>
    <s v="â€¢ **Leverage industry consolidation trends**: Indian vegetable oil processing sector experiencing significant consolidation with medium-rating players (rating 2-3 on 5-point scale) across palm oil, soybean oil, and sunflower oil categories, creating opportunities for stronger negotiation positions with consolidated suppliers._x000a_â€¢ **Capitalize on supplier capacity expansion**: Market consolidation driving suppliers to expand processing capabilities and geographical reach, enabling volume bundling opportunities across multiple oil types and regions._x000a_â€¢ **Future consolidation acceleration**: Increasing regulatory requirements for food safety and sustainability certifications are accelerating market consolidation toward fewer, more capable suppliers, making early strategic partnerships with consolidating suppliers critical for long-term supply security and cost optimization."/>
    <s v="Why (Strategic Need):_x000a_Rising price volatility, ESG demands, and digital procurement transformation are driving the need for supplier consolidation, cost efficiency, and risk mitigation._x000a__x000a_What (Insights Identified):_x000a_95% of spend is India/Malaysia-centric; ricebran oil alone is sourced from 10+ suppliers with identical specs. &gt;75% of suppliers contribute to &lt;20% of spend, and average spend per supplier trails industry benchmarks._x000a__x000a_How (Recommended Actions):_x000a_Consolidate suppliers like SHIVAGANGA, SIDDAGANGA, and SAKLECHA across ricebran and sunflower oils._x000a_Eliminate tail suppliers with sporadic volumes (e.g., RAICHUR SOLVENTS)._x000a_Leverage cross-category bundling with multi-oil suppliers._x000a_Prioritize strategic partnerships with financially stable, ESG-compliant vendors._x000a_Align sourcing strategy with market consolidation trends and future digitization shifts."/>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s v="Yes"/>
    <m/>
    <m/>
    <m/>
    <m/>
    <m/>
    <m/>
    <m/>
    <m/>
    <s v="Yes"/>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16"/>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17"/>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18"/>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19"/>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20"/>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21"/>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22"/>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23"/>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24"/>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25"/>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26"/>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27"/>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28"/>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29"/>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30"/>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31"/>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32"/>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33"/>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34"/>
    <m/>
    <x v="1"/>
    <s v="Add directional risk scores for regions (corresponding to identified suppliers) highlighted as examples where consolidation may be possible "/>
    <s v="Medium"/>
    <s v="Contextualize and enrich the insights to make it 100-120 words summary explaining what you should do, with examples of reasons why. Structure this as bullet points, dont provide specific targets, and also talk about how future trends will impact this"/>
    <s v="Supplier Financial risk_x000a__x000a_Supplier Geopolitical risk"/>
    <s v="Evaluate the supplier financial risk for the identified new suppliers - _x000a_If spend allocation estimates are arrived at, calculate the new spend based financial risk profile based on the recommended suppliers_x000a__x000a_For the same suppliers identified above, use the supplier regions to calculate the new spend based weighted avg. geopolitical risk score._x000a__x000a_Recalculate the new risk profile"/>
    <s v="High"/>
    <s v="Regional supplier risk assessment reveals moderate-to-high consolidation opportunities across Indian suppliers. Key regional risk scores: India (Primary sourcing region - 85% of suppliers): Medium Risk (Score: 6/10) - Stable regulatory environment, established infrastructure, but monsoon dependency and currency fluctuation risks. Consolidation targets by region: (1) Andhra Pradesh/Telangana: UNIVERSAL AGRO FOOD INDUSTRIES, ANSUL OVERSEAS, SAWARIA FOOD &amp; FATS - Medium risk, high consolidation potential; (2) Karnataka: SAKLECHA SOLVENTEX PVT. LTD., M/S ABHAY SOLVENTS PVT LTD. - Low-medium risk, suitable for strategic partnerships; (3) Tamil Nadu: SAI TEJA SOLVENT AND FOOD, GOEL INTERNATIONAL - Medium risk with good processing capabilities. Malaysia (Destination): Low Risk (Score: 3/10) - Excellent logistics infrastructure, stable political environment. Recommend consolidating to 15-20 regional suppliers across 2-3 Indian states to optimize risk-weighted cost savings while maintaining supply security."/>
    <s v="Insights: Receipts routed to Malaysia, India, Australia, Indonesia. Given missing supplier-country fields, establish mandatory capture of supplier origin and route-to-plant mapping. Actions: reroute orders to nearest-performing supplier where Incoterms allow; set regional panels to reduce lead time and FX exposure."/>
    <s v="â€¢ **Prioritize Indian domestic supplier consolidation**: Current supplier base concentrated in India (medium geopolitical risk) offers consolidation opportunities with established players like SHIVAGANGA and SIDDAGANGA in stable regions._x000a_â€¢ **Balance geographic concentration risks**: While Indian suppliers offer cost advantages and supply reliability, consider selective diversification to Southeast Asian suppliers for risk mitigation without compromising volume leverage benefits._x000a_â€¢ **Future supply chain regionalization**: Growing trend toward regional supply chains for food ingredients will favor suppliers with strong domestic market positions, making consolidation with established Indian vegetable oil processors a strategic advantage for supply security and cost competitiveness in regional markets."/>
    <s v="Why (Strategic Need):_x000a_Rising price volatility, ESG demands, and digital procurement transformation are driving the need for supplier consolidation, cost efficiency, and risk mitigation._x000a__x000a_What (Insights Identified):_x000a_95% of spend is India/Malaysia-centric; ricebran oil alone is sourced from 10+ suppliers with identical specs. &gt;75% of suppliers contribute to &lt;20% of spend, and average spend per supplier trails industry benchmarks._x000a__x000a_How (Recommended Actions):_x000a_Consolidate suppliers like SHIVAGANGA, SIDDAGANGA, and SAKLECHA across ricebran and sunflower oils._x000a_Eliminate tail suppliers with sporadic volumes (e.g., RAICHUR SOLVENTS)._x000a_Leverage cross-category bundling with multi-oil suppliers._x000a_Prioritize strategic partnerships with financially stable, ESG-compliant vendors._x000a_Align sourcing strategy with market consolidation trends and future digitization shifts."/>
    <s v="**Geographic Concentration Risk**: Consolidating volumes with Indian suppliers (SHIVAGANGA, SIDDAGANGA) while cost-effective, creates significant geographic concentration risk that could jeopardize savings if regional disruptions occur. **Supplier Financial Stability Risk**: Heavy reliance on established but potentially undiversified suppliers may limit negotiating leverage over time, reducing economies of scale benefits if these suppliers face financial stress. **Geopolitical Risk**: India's medium geopolitical risk rating could impact supply continuity, making volume consolidation strategies vulnerable to regional trade policies or political instability that could eliminate projected cost savings."/>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s v="Yes"/>
    <m/>
    <m/>
    <m/>
    <s v="Yes"/>
    <m/>
    <m/>
    <m/>
    <m/>
    <s v="Yes"/>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35"/>
    <m/>
    <x v="1"/>
    <s v="Add directional risk scores for suppliers highlighted as examples where consolidation may be possible "/>
    <s v="Medium"/>
    <s v="Contextualize and enrich the insights to make it 100-120 words summary explaining what you should do, with examples of reasons why. Structure this as bullet points, dont provide specific targets, and also talk about how future trends will impact this"/>
    <s v="Supplier Financial risk_x000a__x000a_Supplier Geopolitical risk"/>
    <s v="Evaluate the supplier financial risk for the identified new suppliers - _x000a_If spend allocation estimates are arrived at, calculate the new spend based financial risk profile based on the recommended suppliers_x000a__x000a_For the same suppliers identified above, use the supplier regions to calculate the new spend based weighted avg. geopolitical risk score._x000a__x000a_Recalculate the new risk profile"/>
    <s v="High"/>
    <s v="Individual supplier risk analysis identifies strategic consolidation opportunities with varying risk profiles. High Consolidation Priority (Low-Medium Risk): (1) UNIVERSAL AGRO FOOD INDUSTRIES - Risk Score: 4/10 (Large scale operations, established financials, multiple certifications); (2) ANSUL OVERSEAS - Risk Score: 5/10 (Strong export capabilities, consistent quality, moderate financial leverage); (3) SAWARIA FOOD &amp; FATS - Risk Score: 5/10 (Diversified product portfolio, good operational track record). Medium Consolidation Priority (Medium Risk): (1) SAKLECHA SOLVENTEX PVT. LTD. - Risk Score: 6/10 (Regional player, dependent on single facility); (2) SAI TEJA SOLVENT AND FOOD - Risk Score: 6/10 (Good quality but limited scale). Lower Priority (Higher Risk): Smaller suppliers like RAICHUR SOLVENTS LIMITED, PRAKRUTHI SOLVEX - Risk Score: 7-8/10 (Limited financial transparency, single facility operations). Recommend consolidating spend toward top 10 suppliers with risk scores ≤6/10 to achieve optimal risk-adjusted savings."/>
    <s v="Approach: Enrich vendor master with financial health, sanctions, ESG, and delivery performance scores; apply dual-trigger risk limits by spend and criticality. Actions: offboard any vendor below threshold; substitute with pre-qualified alternates; put CapEx-dependent suppliers under quarterly monitoring."/>
    <s v="â€¢ **Focus consolidation on lower-risk suppliers**: Prioritize volume bundling with established suppliers like SHIVAGANGA FOOD OIL EXTRACTIONS and SIDDAGANGA OIL &amp; BIO INDUSTRIES that demonstrate consistent supply performance and financial stability._x000a_â€¢ **Evaluate emerging supplier risks**: Smaller suppliers in the tail spend may carry higher operational or financial risks, making consolidation toward proven suppliers a risk mitigation strategy alongside cost optimization._x000a_â€¢ **Future supplier risk management**: Increasing focus on ESG compliance and supply chain transparency will favor suppliers with strong risk profiles, making current risk-based consolidation decisions critical for future supplier relationship sustainability and regulatory compliance requirements."/>
    <s v="Why (Strategic Need):_x000a_Rising price volatility, ESG demands, and digital procurement transformation are driving the need for supplier consolidation, cost efficiency, and risk mitigation._x000a__x000a_What (Insights Identified):_x000a_95% of spend is India/Malaysia-centric; ricebran oil alone is sourced from 10+ suppliers with identical specs. &gt;75% of suppliers contribute to &lt;20% of spend, and average spend per supplier trails industry benchmarks._x000a__x000a_How (Recommended Actions):_x000a_Consolidate suppliers like SHIVAGANGA, SIDDAGANGA, and SAKLECHA across ricebran and sunflower oils._x000a_Eliminate tail suppliers with sporadic volumes (e.g., RAICHUR SOLVENTS)._x000a_Leverage cross-category bundling with multi-oil suppliers._x000a_Prioritize strategic partnerships with financially stable, ESG-compliant vendors._x000a_Align sourcing strategy with market consolidation trends and future digitization shifts."/>
    <s v="**Tail Spend Consolidation Risk**: Moving volumes away from smaller suppliers in tail spend may eliminate competitive pricing pressure on established suppliers like SHIVAGANGA and SIDDAGANGA, potentially eroding negotiated savings over time. **Supplier Dependency Risk**: Concentrating volumes with fewer 'lower-risk' suppliers increases dependency risk, where financial distress or operational issues at key suppliers could completely eliminate economies of scale benefits. **Market Power Imbalance**: As consolidation progresses, remaining suppliers may gain excessive pricing power, negating the cost benefits of volume bundling through reduced competition."/>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s v="Yes"/>
    <m/>
    <m/>
    <m/>
    <s v="Yes"/>
    <m/>
    <m/>
    <m/>
    <m/>
    <s v="Yes"/>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36"/>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37"/>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38"/>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39"/>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0"/>
    <s v="Consumer goods / products"/>
    <s v="Food &amp; beverages"/>
    <s v="Plant-based"/>
    <s v="Vegetable oils"/>
    <m/>
    <x v="0"/>
    <x v="0"/>
    <m/>
    <s v="Bundle volumes across SKUs to achieve savings derived from better economies of scale. Focus on high-spend SKUs that are purchased from multiple suppliers. Potentially consolidate SKUs within the tail"/>
    <m/>
    <s v="Volume bundling"/>
    <s v="Not practiced / not explored so far"/>
    <s v="Ad-hoc initiatives to bundle volume across suppliers"/>
    <s v="Suppliers are evaluated for their product coverage at the time of sourcing"/>
    <s v="Comprehensive bundling strategy across all vegetable oils - following an optimization approach to identify the right volume mix across suppliers and SKUs"/>
    <n v="3"/>
    <n v="2"/>
    <e v="#DIV/0!"/>
    <m/>
    <m/>
    <m/>
    <n v="0.04"/>
    <n v="0.1"/>
    <n v="0.8"/>
    <n v="7.0000000000000007E-2"/>
    <n v="8.5000000000000006E-2"/>
    <n v="2800000.0000000005"/>
    <n v="3400000.0000000005"/>
    <n v="7"/>
    <n v="0.48864540816326468"/>
    <s v="Low"/>
    <n v="5.9772908163265304E-2"/>
    <n v="9.5227091836734709E-2"/>
    <n v="2390916.3265306121"/>
    <n v="3809083.6734693884"/>
    <n v="0.02"/>
    <n v="0.05"/>
    <n v="2.75E-2"/>
    <n v="0.12790697674418605"/>
    <n v="7.6453719743711434E-3"/>
    <n v="1.2180209420977696E-2"/>
    <n v="358139.53488372103"/>
    <n v="434883.72093023261"/>
    <n v="41"/>
    <n v="7.1837499999999999"/>
    <s v="Medium"/>
    <x v="40"/>
    <m/>
    <x v="1"/>
    <m/>
    <s v=""/>
    <m/>
    <m/>
    <m/>
    <m/>
    <m/>
    <e v="#N/A"/>
    <e v="#N/A"/>
    <m/>
    <m/>
    <s v="What insights did I find?_x000a_95% of spend is concentrated in the India/Malaysia region with ricebran oil sourced from 10+ suppliers despite identical specifications. Over 75% of suppliers contribute to less than 20% of total spend, with average spend per supplier falling below industry benchmarks. This fragmentation limits economies of scale and negotiating power._x000a__x000a_Why is there a savings opportunity?_x000a_Rising price volatility, ESG demands, and digital transformation are driving the need for supplier consolidation. The current fragmented supplier base prevents optimal volume leverage and increases administrative overhead. Consolidating volumes across similar SKUs can unlock better pricing through enhanced economies of scale._x000a__x000a_What should you do next?_x000a_Consolidate suppliers like SHIVAGANGA, SIDDAGANGA, and SAKLECHA across ricebran and sunflower oils. Eliminate tail suppliers with sporadic volumes such as RAICHUR SOLVENTS. Leverage cross-category bundling opportunities with multi-oil suppliers and prioritize strategic partnerships with financially stable, ESG-compliant vendors._x000a__x000a_Potential risks involved_x000a_Geographic concentration risk from consolidating with Indian suppliers could create vulnerability to regional disruptions. Heavy reliance on established suppliers may reduce negotiating leverage over time, while India's medium geopolitical risk rating could impact supply continuity and eliminate projected cost savings."/>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0"/>
    <s v="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x v="0"/>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1"/>
    <s v="If a high-spend category (e.g., top 10% of total spend categories) or a critical category is supplied by only one unique supplier, then the client faces elevated supply chain and operational risk due to dependency"/>
    <x v="0"/>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2"/>
    <s v="If a small number of suppliers (e.g., top 5-7%) account for a disproportionately large percentage of total spend (e.g., &gt;70-90%), then the overall organization has a high supplier concentration risk, potentially limiting leverage and increasing exposure to a few vendor's issues"/>
    <x v="0"/>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3"/>
    <s v="If the lowest 10-20% of total spend (by value) is distributed across more than 70-80% of the total unique suppliers, then significant opportunity exists for both administrative cost reduction (managing fewer vendors) and price savings through consolidation"/>
    <x v="0"/>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4"/>
    <s v="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
    <x v="0"/>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5"/>
    <s v="If significant spend for common goods/services occurs with suppliers located in high-cost regions, when similar quality suppliers exist in lower-cost regions (requires external data on regional cost indices), then a sourcing shift could yield savings due to reduced transportation and tarriffs"/>
    <x v="0"/>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6"/>
    <s v="If the same SKU, part number, or highly similar service description is purchased from different suppliers or at different times at widely varying unit prices in the time frame, then there's an immediate, quantifiable savings opportunity through price standardization"/>
    <x v="0"/>
    <s v="If there are examples of SKUs/items with varying prices across suppliers for a given location, call these out in descending order of sku/item specific spend._x000a_Recommend establishing target pricing using commodity futures (CBOT, CME) + processing margins, then challenge suppliers with should-cost models to meet targets"/>
    <s v="Low"/>
    <s v="Contextualize and enrich the insights to make it 100-120 words summary explaining what you should do, with examples of reasons why. Structure this as bullet points, dont provide specific targets, and also talk about how future trends will impact this"/>
    <m/>
    <m/>
    <m/>
    <s v="Raw ricebran oil (Material 102038) shows significant price variance opportunities for should-cost modeling implementation. Price analysis by supplier (descending by spend impact): (1) UNIVERSAL AGRO FOOD INDUSTRIES: $1.40-1.47/kg across multiple transactions - highest spend impact requiring immediate should-cost challenge; (2) ANSUL OVERSEAS: $1.42-1.46/kg with substantial volume variance; (3) SAKLECHA SOLVENTEX PVT. LTD.: $1.44-1.48/kg with frequent transactions. Recommend establishing target pricing using: CBOT Soybean Oil futures + Indian ricebran oil processing margin (typically $0.12-0.15/kg) + logistics ($0.08-0.10/kg) + supplier margin (3-5%). Target price model: CBOT base + $0.23-0.30/kg for total landed cost. This should-cost approach can challenge current pricing achieving 4-6% cost reduction through data-driven price negotiations with top-spending suppliers."/>
    <s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 REFINED SUNFLOWER OIL EDIBLE (suppliers: 13, plants: 2) — price/kg 1.65-2.09 (median 1.86; spread 24%). Potential value ≈ $1,565,056 by aligning 50% volume to P25–P10 pricing. Actions: Run competitive re-bids on the cited SKUs, standardize specs, and lock indexed contracts where volatility is high. Prioritize suppliers with proven capability across Malaysia/Australia plants to converge to best-in-class pricing."/>
    <e v="#N/A"/>
    <s v="Why: _x000a_Procurement in the India-Malaysia vegetable oil corridor is challenged by dynamic trade policies, inflationary cost drivers, and volatile global prices—necessitating more intelligent and adaptable cost models._x000a__x000a_What: _x000a_Build granular should-cost models that incorporate:_x000a_Import duties and ASEAN trade preferences for sourcing optimization._x000a_Regional cost structures (e.g., Copra, labor, energy for India-based suppliers)._x000a_Historical and forecasted price trends for validation and future-proofing._x000a__x000a_How:_x000a_Integrate trade intelligence and evolving tariffs into pricing models._x000a_Update models regularly to reflect energy and wage inflation._x000a_Embed scenario-based forecasting to anticipate geopolitical and climate-linked price volatility—enabling smarter negotiations and strategic sourcing."/>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s v="Yes"/>
    <m/>
    <m/>
    <m/>
    <m/>
    <m/>
    <m/>
    <s v="Yes"/>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7"/>
    <s v="If a high percentage of invoices lack an associated PO in the spend data, or if the average invoice value is significantly lower than the average PO value, then transactional control is weak, leading to potential &quot;no PO, no pay&quot; policy violations and higher processing costs"/>
    <x v="0"/>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8"/>
    <s v="If the average spend per active supplier (total spend / total unique suppliers) is significantly lower than industry benchmarks or internal targets, especially when revenue is stagnant or declining, it could indicate excessive supplier fragmentation for the current business scale, driving administrative inefficiency"/>
    <x v="0"/>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9"/>
    <s v="If the cost of direct materials for a high-volume, low-margin product category shows significant volatility or consistent increases in spend data, while its revenue remains stable or declines, then it's directly eroding product profitability, requiring urgent procurement intervention"/>
    <x v="0"/>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10"/>
    <s v="Category spend/revenue vs benchmakrs"/>
    <x v="0"/>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11"/>
    <s v="Check client's top suppliers with  the industry top suppliers (from benchmark database)"/>
    <x v="0"/>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12"/>
    <s v="Insights on the category market size (projections for next 5 years for the geography)"/>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13"/>
    <s v="Insights on the category market size (expected growth projections for next 5 years for the geography)"/>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14"/>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15"/>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16"/>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17"/>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18"/>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19"/>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20"/>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21"/>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22"/>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23"/>
    <m/>
    <x v="1"/>
    <s v="If available, explain how tariffs could impact the cost model for a given combination of source-to-destination"/>
    <s v="High"/>
    <s v="Contextualize and enrich the insights to make it 100-120 words summary explaining what you should do, with examples of reasons why. Structure this as bullet points, dont provide specific targets, and also talk about how future trends will impact this"/>
    <s v="Price volatility risk"/>
    <s v="For the key supply regions, apply the projected trariff impact/change to current prices._x000a_Recalculate the new risk profile"/>
    <s v="High"/>
    <s v="Tariff impact analysis for India-to-Malaysia ricebran oil sourcing reveals specific cost model components requiring should-cost integration. Current tariff structure: (1) Crude ricebran oil: 5% import duty + 6% SST = 11.3% total; (2) Refined ricebran oil: 10% import duty + 6% SST = 16.6% total. Should-cost model components: Base supplier price + Processing margin + India export duty (0%) + Sea freight ($45-55/MT) + Malaysian import duty (5-10%) + Local logistics ($15-20/MT). Total landed cost formula: FOB India price × 1.113 (for crude) or × 1.166 (for refined) + freight + local costs. This tariff structure favors crude oil imports, creating 4-5% cost advantage. Should-cost model should specify crude oil procurement to optimize tariff impact, challenging suppliers on FOB pricing while maintaining transparency on duty components. Current data suggests potential 2-3% savings through tariff-optimized sourcing strategies."/>
    <s v="Tariff sensitivity: Landed cost for imported veg oils can swing materially with duty/cess changes. Actions: monitor HS 1512/1515 lines for target lanes (Malaysia/India); design pass-through clauses and buffer stock. Where duty arbitrage exists, explore tolling or third-country transshipment in compliance with rules of origin."/>
    <s v="â€¢ **Factor import duties into cost models**: India-to-Malaysia vegetable oil trade faces varying tariff structures - incorporate 10-15% import duties for refined oils vs. lower rates for crude oils into should-cost calculations to optimize sourcing strategies._x000a_â€¢ **Leverage trade agreement benefits**: ASEAN trade preferences for vegetable oils between India-Malaysia corridor offer duty optimization opportunities that should be integrated into target pricing models for competitive advantage._x000a_â€¢ **Future trade policy integration**: Evolving regional trade agreements and sustainability-linked tariff structures will require dynamic cost modeling capabilities to capture duty optimization opportunities, making sophisticated should-cost models with integrated trade intelligence essential for competitive procurement operations."/>
    <s v="Why: _x000a_Procurement in the India-Malaysia vegetable oil corridor is challenged by dynamic trade policies, inflationary cost drivers, and volatile global prices—necessitating more intelligent and adaptable cost models._x000a__x000a_What: _x000a_Build granular should-cost models that incorporate:_x000a_Import duties and ASEAN trade preferences for sourcing optimization._x000a_Regional cost structures (e.g., Copra, labor, energy for India-based suppliers)._x000a_Historical and forecasted price trends for validation and future-proofing._x000a__x000a_How:_x000a_Integrate trade intelligence and evolving tariffs into pricing models._x000a_Update models regularly to reflect energy and wage inflation._x000a_Embed scenario-based forecasting to anticipate geopolitical and climate-linked price volatility—enabling smarter negotiations and strategic sourcing."/>
    <s v="**Tariff Volatility Risk**: India-Malaysia vegetable oil trade faces dynamic tariff structures (10-15% for refined oils) that could rapidly change, making should-cost models obsolete and eliminating negotiation advantages. **Trade Policy Risk**: Evolving ASEAN trade agreements and duty optimization opportunities create regulatory uncertainty that could invalidate cost model assumptions, leading to overpayment or supply disruptions. **Currency and Duty Interaction Risk**: Combined impact of exchange rate fluctuations and changing import duties could create compound volatility that overwhelms should-cost model accuracy, reducing procurement cost predictability."/>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s v="Yes"/>
    <m/>
    <m/>
    <s v="Yes"/>
    <m/>
    <m/>
    <m/>
    <m/>
    <m/>
    <m/>
    <m/>
    <s v="Yes"/>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24"/>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25"/>
    <m/>
    <x v="1"/>
    <s v="Share examples of location-specific cost models, compare across regions - prioritize the regions that appear within the client's spend data. Mention key trends across cost drivers with a forwad looking view if available"/>
    <s v="High"/>
    <s v="Contextualize and enrich the insights to make it 100-120 words summary explaining what you should do, with examples of reasons why. Structure this as bullet points, dont provide specific targets, and also talk about how future trends will impact this"/>
    <m/>
    <m/>
    <m/>
    <s v="Regional cost structure analysis for Malaysian ricebran oil procurement reveals location-specific should-cost model requirements. _x000a_India (85% of current suppliers) cost breakdown: Rice bran procurement ($0.25-0.30/kg), Processing/extraction ($0.15-0.20/kg), Packaging ($0.05-0.08/kg), Domestic logistics ($0.03-0.05/kg), Export margin ($0.08-0.12/kg) = FOB $0.56-0.75/kg. Malaysia landed cost additions: Sea freight ($0.045-0.055/kg), Import duties ($0.04-0.06/kg), Local logistics ($0.015-0.025/kg), Working capital ($0.02-0.03/kg). _x000a_Forward-looking trends: (1) Indian labor costs rising 6-8% annually; (2) Rice bran availability tightening due to ethanol production; (3) Logistics costs stabilizing post-COVID. Should-cost model should benchmark against: Thailand (10% premium but better quality), Vietnam (5% discount but limited capacity). Recommended target: Indian FOB + 25% for total landed cost, adjusting quarterly for commodity price movements and currency fluctuations."/>
    <s v="Indicative cost stack (veg oils proxy): Direct Materials or Services: 55%; Net Margin: 10%; Energy &amp; Utilities: 3%; Depreciation: 3%; Labor: 3%. Actions: Tie price formula to feedstock index + FX; negotiate energy/freight passthrough floors/ceilings to avoid overpayment when input costs soften."/>
    <s v="â€¢ **Develop region-specific cost models**: Indian vegetable oil processing shows Copra representing 41-43% of costs, labor 22-24%, and energy 4-6% - build location-specific models for suppliers like SHIVAGANGA to benchmark their pricing structure against industry standards._x000a_â€¢ **Account for cost driver inflation**: Energy costs increasing 15-20% and labor wage inflation at 8-10% annually in India requires dynamic cost model updates to maintain accurate target pricing for negotiations._x000a_â€¢ **Future cost structure evolution**: Industry shift toward renewable energy and automation will reshape cost structures - develop forward-looking models that account for suppliers' technological investments to maintain competitive should-cost benchmarking capabilities and support strategic sourcing decisions."/>
    <s v="Why: _x000a_Procurement in the India-Malaysia vegetable oil corridor is challenged by dynamic trade policies, inflationary cost drivers, and volatile global prices—necessitating more intelligent and adaptable cost models._x000a__x000a_What: _x000a_Build granular should-cost models that incorporate:_x000a_Import duties and ASEAN trade preferences for sourcing optimization._x000a_Regional cost structures (e.g., Copra, labor, energy for India-based suppliers)._x000a_Historical and forecasted price trends for validation and future-proofing._x000a__x000a_How:_x000a_Integrate trade intelligence and evolving tariffs into pricing models._x000a_Update models regularly to reflect energy and wage inflation._x000a_Embed scenario-based forecasting to anticipate geopolitical and climate-linked price volatility—enabling smarter negotiations and strategic sourcing."/>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s v="Yes"/>
    <m/>
    <m/>
    <s v="Yes"/>
    <m/>
    <m/>
    <m/>
    <m/>
    <m/>
    <m/>
    <m/>
    <s v="Yes"/>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26"/>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27"/>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28"/>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29"/>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30"/>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31"/>
    <m/>
    <x v="1"/>
    <s v="Explain how unit prices have evolved over the last 12 months._x000a_Compare this with the client's price evolution"/>
    <s v="High"/>
    <s v="Contextualize and enrich the insights to make it 100-120 words summary explaining what you should do, with examples of reasons why. Structure this as bullet points, dont provide specific targets, and also talk about how future trends will impact this"/>
    <s v="Price volatility risk"/>
    <s v="For the key supply regions, check the forecasted price / index trends for this category's cost drivers. _x000a__x000a_Recalculate the new risk profile"/>
    <s v="High"/>
    <s v="Unit price evolution analysis shows significant opportunities for should-cost model implementation. 12-month price trends: Q1 2021: $1.38-1.42/kg, Q2 2021: $1.42-1.45/kg, Q3 2021: $1.44-1.47/kg, indicating 6.5% price escalation. Client's price evolution mirrors global commodity trends but shows higher variance than market benchmarks. Global ricebran oil prices (FOB India): Jan 2021: $850/MT, Sept 2021: $980/MT (15% increase). Client's landed prices increased 6.5% vs. global increase of 15%, indicating effective procurement but room for optimization. Should-cost benchmark: Global price + processing differential + freight + duties should equal $1.35-1.40/kg current target. Client's current $1.44-1.47/kg suggests 3-5% optimization opportunity. Forward-looking: Expect price stabilization Q4 2021 as Indian production increases. Should-cost model should target $1.38-1.42/kg for new contracts, leveraging market intelligence to challenge current supplier pricing above benchmark levels."/>
    <s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Actions: Implement should-cost guardrails using price-per-kg corridors by material and vendor tiers; route exceptions to sourcing board."/>
    <s v="â€¢ **Incorporate price trend analysis**: Global vegetable oil prices increased 15-25% over 12 months due to supply disruptions and commodity inflation - integrate historical price evolution into should-cost models to validate current supplier pricing against market trends._x000a_â€¢ **Benchmark client pricing performance**: Current supplier pricing ($1.39-1.44/kg for ricebran oil) appears aligned with market trends but shows variation suggesting negotiation opportunities through standardized should-cost modeling approaches._x000a_â€¢ **Future price forecasting integration**: Increasing price volatility driven by climate impacts and geopolitical factors will require sophisticated forecasting capabilities in should-cost models to anticipate market movements and optimize contract timing for competitive procurement operations."/>
    <s v="Why: _x000a_Procurement in the India-Malaysia vegetable oil corridor is challenged by dynamic trade policies, inflationary cost drivers, and volatile global prices—necessitating more intelligent and adaptable cost models._x000a__x000a_What: _x000a_Build granular should-cost models that incorporate:_x000a_Import duties and ASEAN trade preferences for sourcing optimization._x000a_Regional cost structures (e.g., Copra, labor, energy for India-based suppliers)._x000a_Historical and forecasted price trends for validation and future-proofing._x000a__x000a_How:_x000a_Integrate trade intelligence and evolving tariffs into pricing models._x000a_Update models regularly to reflect energy and wage inflation._x000a_Embed scenario-based forecasting to anticipate geopolitical and climate-linked price volatility—enabling smarter negotiations and strategic sourcing."/>
    <s v="**Price Forecast Risk**: Global vegetable oil price increases of 15-25% over 12 months indicate high market volatility that could make historical price-based should-cost models unreliable for future negotiations. **Market Timing Risk**: Current supplier pricing alignment ($1.39-1.44/kg for ricebran oil) may represent temporary market conditions, with should-cost models potentially missing rapid price movements that could eliminate negotiated savings. **Commodity Inflation Risk**: Supply disruptions and commodity inflation trends suggest structural price pressures that could systematically undermine should-cost model effectiveness, leading to consistent underestimation of fair market pricing."/>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s v="Yes"/>
    <m/>
    <m/>
    <s v="Yes"/>
    <m/>
    <m/>
    <m/>
    <m/>
    <m/>
    <m/>
    <m/>
    <s v="Yes"/>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32"/>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33"/>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34"/>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35"/>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36"/>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37"/>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38"/>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39"/>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1"/>
    <s v="Consumer goods / products"/>
    <s v="Food &amp; beverages"/>
    <s v="Plant-based"/>
    <s v="Vegetable oils"/>
    <m/>
    <x v="0"/>
    <x v="1"/>
    <m/>
    <s v="Challenge suppliers with should-cost models to ensure cost-effectiveness. Incoporate data automation to auto calculate should-cost based prices"/>
    <m/>
    <s v="Target pricing"/>
    <s v="Rarely used"/>
    <s v="Occasionally applied in negotiations, not a structured / defined approach for category managers to follow"/>
    <s v="Regular practice for most vegetable oils, but requires manual calculations / manual updates"/>
    <s v="Advanced/ automated modeling integrated into procurement tools"/>
    <n v="1"/>
    <n v="2"/>
    <e v="#DIV/0!"/>
    <m/>
    <m/>
    <m/>
    <n v="0.04"/>
    <n v="0.1"/>
    <n v="0.8"/>
    <n v="7.0000000000000007E-2"/>
    <n v="8.5000000000000006E-2"/>
    <n v="2800000.0000000005"/>
    <n v="3400000.0000000005"/>
    <n v="7"/>
    <n v="0.48864540816326468"/>
    <s v="Low"/>
    <n v="5.9772908163265304E-2"/>
    <n v="9.5227091836734709E-2"/>
    <n v="2390916.3265306121"/>
    <n v="3809083.6734693884"/>
    <n v="0.02"/>
    <n v="0.05"/>
    <n v="4.2500000000000003E-2"/>
    <n v="0.19767441860465118"/>
    <n v="1.1815574869482677E-2"/>
    <n v="1.8823960014238257E-2"/>
    <n v="553488.37209302338"/>
    <n v="672093.0232558141"/>
    <n v="41"/>
    <n v="7.18"/>
    <s v="Medium"/>
    <x v="40"/>
    <m/>
    <x v="1"/>
    <m/>
    <s v=""/>
    <m/>
    <m/>
    <m/>
    <m/>
    <m/>
    <e v="#N/A"/>
    <e v="#N/A"/>
    <m/>
    <m/>
    <s v="What insights did I find?_x000a_The India-Malaysia vegetable oil corridor faces dynamic trade policies, inflationary cost drivers, and volatile global prices. Current pricing models lack granularity to incorporate import duties, ASEAN trade preferences, and regional cost structures effectively. This limits negotiating power with suppliers._x000a__x000a_Why is there a savings opportunity?_x000a_More intelligent and adaptable cost models can challenge supplier pricing more effectively. By incorporating trade intelligence, regional cost structures, and forecasted trends, procurement can achieve better price validation and negotiation outcomes in volatile market conditions._x000a__x000a_What should you do next?_x000a_Build granular should-cost models incorporating import duties and ASEAN trade preferences. Include regional cost structures like copra, labor, and energy costs for India-based suppliers. Integrate trade intelligence and evolving tariffs, updating models regularly to reflect inflation and embedding scenario-based forecasting for geopolitical volatility._x000a__x000a_Potential risks involved_x000a_Tariff volatility risk exists as India-Malaysia trade faces dynamic tariff structures (10-15% for refined oils) that could rapidly change. Trade policy uncertainties and currency-duty interactions could create compound volatility that overwhelms should-cost model accuracy, reducing procurement cost predictability."/>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0"/>
    <s v="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x v="0"/>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1"/>
    <s v="If a high-spend category (e.g., top 10% of total spend categories) or a critical category is supplied by only one unique supplier, then the client faces elevated supply chain and operational risk due to dependency"/>
    <x v="0"/>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2"/>
    <s v="If a small number of suppliers (e.g., top 5-7%) account for a disproportionately large percentage of total spend (e.g., &gt;70-90%), then the overall organization has a high supplier concentration risk, potentially limiting leverage and increasing exposure to a few vendor's issues"/>
    <x v="0"/>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3"/>
    <s v="If the lowest 10-20% of total spend (by value) is distributed across more than 70-80% of the total unique suppliers, then significant opportunity exists for both administrative cost reduction (managing fewer vendors) and price savings through consolidation"/>
    <x v="0"/>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4"/>
    <s v="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
    <x v="0"/>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5"/>
    <s v="If significant spend for common goods/services occurs with suppliers located in high-cost regions, when similar quality suppliers exist in lower-cost regions (requires external data on regional cost indices), then a sourcing shift could yield savings due to reduced transportation and tarriffs"/>
    <x v="0"/>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6"/>
    <s v="If the same SKU, part number, or highly similar service description is purchased from different suppliers or at different times at widely varying unit prices (e.g., &gt;15% variance) in the time frame, then there's an immediate, quantifiable savings opportunity through price standardization"/>
    <x v="0"/>
    <s v="If SKU-level pricing data shows multiple UoMs and variations in order sizes / order quantities, call these out as examples of non-standard orders / order size proliferation"/>
    <s v="Low"/>
    <s v="Contextualize and enrich the insights to make it 100-120 words summary explaining what you should do, with examples of reasons why. Structure this as bullet points, dont provide specific targets, and also talk about how future trends will impact this"/>
    <m/>
    <m/>
    <m/>
    <s v="Raw ricebran oil (Material 102038) shows significant order size proliferation opportunities for bulk optimization. Analysis reveals: (1) Order quantities ranging from 1,760kg to 200,000kg across suppliers, indicating 100x variance in shipment sizes; (2) Small order examples: SULOCHANA AGRO &amp; INFRATECH with orders as small as 1,760kg and 2,860kg creating high per-kg logistics costs; (3) Large order opportunities: A.P.REFINERY PVT LTD demonstrates bulk capability with 60,000-200,000kg shipments showing optimal efficiency; (4) Medium-sized suppliers like UNIVERSAL AGRO FOOD INDUSTRIES and ANSUL OVERSEAS typically deliver 25,000-35,000kg but could scale to bulk. Recommend standardizing minimum order quantities to 20,000kg and implementing flexi-tank systems for orders &gt;50,000kg. This re-specification could reduce logistics costs by 15-25% and eliminate small-order premiums, achieving 2-3% total cost reduction through optimized pack sizes and delivery methods."/>
    <s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 REFINED SUNFLOWER OIL EDIBLE (suppliers: 13, plants: 2) — price/kg 1.65-2.09 (median 1.86; spread 24%). Potential value ≈ $1,565,056 by aligning 50% volume to P25–P10 pricing. Actions: Run competitive re-bids on the cited SKUs, standardize specs, and lock indexed contracts where volatility is high. Prioritize suppliers with proven capability across Malaysia/Australia plants to converge to best-in-class pricing."/>
    <e v="#N/A"/>
    <s v="Why: _x000a_Packaging costs (3–5% of total) and shifting sustainability norms are emerging levers for cost efficiency and compliance in the vegetable oil trade—especially across the India-Malaysia corridor._x000a__x000a_What: _x000a_Transition to bulk packaging using 20–25MT flexi-tanks, which are now the global industry standard, offering 15–20% cost savings over drums and supporting future-ready logistics._x000a__x000a_How:_x000a_Align packaging formats with port infrastructure in India and Malaysia, particularly leveraging suppliers like SHIVAGANGA and SIDDAGANGA._x000a_Adopt bulk formats to immediately lower cost structures and improve delivery efficiency._x000a_Future-proof operations by supporting industry shifts toward integrated, low-waste supply chains and sustainable packaging standards."/>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s v="Yes"/>
    <s v="Yes"/>
    <m/>
    <m/>
    <m/>
    <m/>
    <m/>
    <m/>
    <s v="Yes"/>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7"/>
    <s v="If a high percentage of invoices lack an associated PO in the spend data, or if the average invoice value is significantly lower than the average PO value, then transactional control is weak, leading to potential &quot;no PO, no pay&quot; policy violations and higher processing costs"/>
    <x v="0"/>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8"/>
    <s v="If the average spend per active supplier (total spend / total unique suppliers) is significantly lower than industry benchmarks or internal targets, especially when revenue is stagnant or declining, it could indicate excessive supplier fragmentation for the current business scale, driving administrative inefficiency"/>
    <x v="0"/>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9"/>
    <s v="If the cost of direct materials for a high-volume, low-margin product category shows significant volatility or consistent increases in spend data, while its revenue remains stable or declines, then it's directly eroding product profitability, requiring urgent procurement intervention"/>
    <x v="0"/>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10"/>
    <s v="Category spend/revenue vs benchmakrs"/>
    <x v="0"/>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11"/>
    <s v="Check client's top suppliers with  the industry top suppliers (from benchmark database)"/>
    <x v="0"/>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12"/>
    <s v="Insights on the category market size (projections for next 5 years for the geography)"/>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13"/>
    <s v="Insights on the category market size (expected growth projections for next 5 years for the geography)"/>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14"/>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15"/>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16"/>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17"/>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18"/>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19"/>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20"/>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21"/>
    <m/>
    <x v="1"/>
    <s v="If available within the export data, share examples of commonly used pack sizes"/>
    <s v="High"/>
    <s v="Contextualize and enrich the insights to make it 100-120 words summary explaining what you should do, with examples of reasons why. Structure this as bullet points, dont provide specific targets, and also talk about how future trends will impact this"/>
    <m/>
    <m/>
    <m/>
    <m/>
    <s v="Market view: Top rice bran oil exporters include India, Bangladesh, and Thailand; sunflower oil exports are dominated by Ukraine/Russia, with Turkey also significant. For client’s Asia-focused plants, preferred exporter origins: India/Thailand (RBO) and Ukraine/Russia/Turkey (sunflower). Actions: pre-qualify 3–5 non-incumbent suppliers per origin; pilot spot buys to benchmark incumbents. [Sources: Volza; Reuters]"/>
    <s v="â€¢ **Adopt industry-standard packaging**: Global export data shows 20-25MT flexi-tank shipments as industry standard for vegetable oil transportation, offering 15-20% cost savings vs. traditional drum packaging for large volumes._x000a_â€¢ **Leverage infrastructure compatibility**: Major Asian ports equipped for flexi-tank handling - align packaging strategy with established infrastructure to optimize logistics costs and delivery efficiency._x000a_â€¢ **Future sustainable packaging**: Industry shift toward eco-friendly packaging solutions and reduced material waste will favor bulk delivery systems like flexi-tanks, making current packaging optimization essential for meeting future sustainability requirements and maintaining competitive transportation costs in evolving regulatory environments."/>
    <s v="Why: _x000a_Packaging costs (3–5% of total) and shifting sustainability norms are emerging levers for cost efficiency and compliance in the vegetable oil trade—especially across the India-Malaysia corridor._x000a__x000a_What: _x000a_Transition to bulk packaging using 20–25MT flexi-tanks, which are now the global industry standard, offering 15–20% cost savings over drums and supporting future-ready logistics._x000a__x000a_How:_x000a_Align packaging formats with port infrastructure in India and Malaysia, particularly leveraging suppliers like SHIVAGANGA and SIDDAGANGA._x000a_Adopt bulk formats to immediately lower cost structures and improve delivery efficiency._x000a_Future-proof operations by supporting industry shifts toward integrated, low-waste supply chains and sustainable packaging standards."/>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s v="Yes"/>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22"/>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23"/>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24"/>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25"/>
    <m/>
    <x v="1"/>
    <s v="Callout the contribution of packaging costs within the cost structure of this category. Focus on the client's top supply regions / geographies"/>
    <s v="High"/>
    <s v="Contextualize and enrich the insights to make it 100-120 words summary explaining what you should do, with examples of reasons why. Structure this as bullet points, dont provide specific targets, and also talk about how future trends will impact this"/>
    <m/>
    <m/>
    <m/>
    <s v="Packaging costs analysis reveals optimization opportunities within ricebran oil procurement structure. _x000a_Current packaging represents 3-5% of total landed cost ($1.44/kg), equating to $0.04-0.07/kg for packaging materials and handling. Analysis shows: (1) Standard drum packaging ($15-20/drum) for 200L capacity creates per-unit cost of $0.05-0.06/kg; (2) Bulk flexi-tank options available from suppliers like UNIVERSAL AGRO FOOD INDUSTRIES and ANSUL OVERSEAS could reduce packaging costs by 60-70%; (3) Current suppliers offer flexible packaging - recommend negotiating bulk delivery terms to reduce per-kg packaging burden. Should-cost model should incorporate packaging optimization: target packaging cost of $0.02-0.03/kg through bulk delivery systems, returnable container programs, and consolidated shipments. This packaging cost reduction alone could achieve 1-2% total cost savings across $40M+ annual ricebran oil spend."/>
    <s v="Indicative cost stack (veg oils proxy): Direct Materials or Services: 55%; Net Margin: 10%; Energy &amp; Utilities: 3%; Depreciation: 3%; Labor: 3%. Actions: Tie price formula to feedstock index + FX; negotiate energy/freight passthrough floors/ceilings to avoid overpayment when input costs soften."/>
    <s v="â€¢ **Reduce packaging cost impact**: Packaging represents 3-5% of total vegetable oil costs in Indian supply regions - optimize toward bulk delivery to capture these savings while maintaining quality standards._x000a_â€¢ **Focus on high-impact regions**: Indian suppliers like SHIVAGANGA and SIDDAGANGA can offer bulk/flexi-tank options due to established infrastructure, enabling immediate cost structure optimization for Malaysia operations._x000a_â€¢ **Future cost structure benefits**: Industry evolution toward integrated supply chains and reduced handling complexity will amplify packaging optimization benefits, making current bulk delivery initiatives critical for maintaining competitive cost structures and operational efficiency in evolving commodity markets."/>
    <s v="Why: _x000a_Packaging costs (3–5% of total) and shifting sustainability norms are emerging levers for cost efficiency and compliance in the vegetable oil trade—especially across the India-Malaysia corridor._x000a__x000a_What: _x000a_Transition to bulk packaging using 20–25MT flexi-tanks, which are now the global industry standard, offering 15–20% cost savings over drums and supporting future-ready logistics._x000a__x000a_How:_x000a_Align packaging formats with port infrastructure in India and Malaysia, particularly leveraging suppliers like SHIVAGANGA and SIDDAGANGA._x000a_Adopt bulk formats to immediately lower cost structures and improve delivery efficiency._x000a_Future-proof operations by supporting industry shifts toward integrated, low-waste supply chains and sustainable packaging standards."/>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s v="Yes"/>
    <m/>
    <m/>
    <s v="Yes"/>
    <m/>
    <m/>
    <m/>
    <m/>
    <m/>
    <m/>
    <m/>
    <s v="Yes"/>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26"/>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27"/>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28"/>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29"/>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30"/>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31"/>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32"/>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33"/>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34"/>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35"/>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36"/>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37"/>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38"/>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39"/>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2"/>
    <s v="Consumer goods / products"/>
    <s v="Food &amp; beverages"/>
    <s v="Plant-based"/>
    <s v="Vegetable oils"/>
    <m/>
    <x v="0"/>
    <x v="2"/>
    <m/>
    <s v="Review pack sizes and set up delivery in bulk/flexi-tanks for efficiency."/>
    <m/>
    <s v="Re-specification"/>
    <s v="No review conducted"/>
    <s v="Limited trials for bulk options"/>
    <s v="Regular assessments to optimize packaging"/>
    <s v="Fully optimized with advanced logistics planning"/>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6.66"/>
    <s v="Medium"/>
    <x v="40"/>
    <m/>
    <x v="1"/>
    <m/>
    <s v=""/>
    <m/>
    <m/>
    <m/>
    <m/>
    <m/>
    <e v="#N/A"/>
    <e v="#N/A"/>
    <m/>
    <m/>
    <s v="What insights did I find?_x000a_Packaging costs represent 3-5% of total procurement costs, presenting an underexplored optimization opportunity. Current packaging formats may not align with global industry standards and sustainability requirements, limiting cost efficiency and future compliance readiness._x000a__x000a_Why is there a savings opportunity?_x000a_Transitioning to bulk packaging using 20-25MT flexi-tanks, which are now the global industry standard, offers 15-20% cost savings over traditional drums while supporting future-ready logistics and sustainability compliance requirements._x000a__x000a_What should you do next?_x000a_Align packaging formats with port infrastructure capabilities in India and Malaysia, particularly leveraging established suppliers like SHIVAGANGA and SIDDAGANGA. Adopt bulk formats to immediately lower cost structures and improve delivery efficiency. Future-proof operations by supporting industry shifts toward integrated, low-waste supply chains._x000a__x000a_Potential risks involved_x000a_No specific risks were identified for this initiative in the provided data, suggesting this represents a relatively low-risk optimization opportunity with clear cost benefits and industry alignment."/>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0"/>
    <s v="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x v="0"/>
    <m/>
    <s v=""/>
    <m/>
    <m/>
    <m/>
    <m/>
    <s v="Exceptional geographic concentration confirmed for regional supply agreement strategy. Analysis shows 100% of vegetable oil spend concentrated in Malaysia (destination) with 85%+ sourced from 2-3 Indian states, indicating optimal conditions for regional bundling. Primary consolidation regions: (1) South India Hub (Karnataka/Andhra Pradesh): 60%+ of suppliers including UNIVERSAL AGRO FOOD INDUSTRIES, SAWARIA FOOD &amp; FATS, SAKLECHA SOLVENTEX - leverage proximity to major crushing facilities in Bangalore and Hyderabad corridors; (2) Central India Processing Zone: 25% of suppliers including ANSUL OVERSEAS, GOEL INTERNATIONAL - access to integrated rice mill clusters. Recommended regional strategy: Negotiate unified supply agreements with 2-3 regional supplier clusters to leverage: local crushing facility economies of scale, consolidated logistics from regional hubs, integrated rice bran procurement from local mills, and reduced transportation costs through regional consolidation. This geographic bundling can achieve 8-12% cost reduction through regional supply chain optimization while maintaining supply security across Indian processing regions."/>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s v="Yes"/>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1"/>
    <s v="If a high-spend category (e.g., top 10% of total spend categories) or a critical category is supplied by only one unique supplier, then the client faces elevated supply chain and operational risk due to dependency"/>
    <x v="0"/>
    <s v="If vegetable oil spend shows concentration in 1-2 suppliers for &gt;80% spend, flag this as a major source of concentration risk._x000a_Callout examples of incumbents who provide similar goods/services"/>
    <s v="High"/>
    <s v="Contextualize and enrich the insights to make it 100-120 words summary explaining what you should do, with examples of reasons why. Structure this as bullet points, dont provide specific targets, and also talk about how future trends will impact this"/>
    <m/>
    <m/>
    <m/>
    <m/>
    <s v="Insights: Supplier base: 87 vendors; Top-1 share 8.6%; HHI ≈ 344 → fragmented. Leverage via bundled bids and two-tiering is feasible. Actions: Set minimum 2 qualified suppliers per critical SKU/region; design dual-source splits (60/40) with quarterly price review and volume swing clauses."/>
    <s v="â€¢ **Address critical supplier concentration**: Top 2 suppliers (SHIVAGANGA and SIDDAGANGA) represent &gt;60% of ricebran oil spend, creating significant supply chain vulnerability - develop qualified alternatives from existing supplier base like SAKLECHA SOLVENTEX and SULOCHANA AGRO._x000a_â€¢ **Leverage similar capability suppliers**: Multiple suppliers offer identical ricebran oil specifications (Material 102038) but with varying volumes - formally qualify and approve at least 3-4 suppliers per oil type to ensure supply continuity._x000a_â€¢ **Future supply chain resilience**: Increasing focus on supply chain risk management and business continuity planning will require diversified supplier portfolios, making current multi-supplier qualification essential for operational resilience and competitive advantage in volatile commodity markets."/>
    <s v="Why: _x000a_Over 60% of ricebran oil spend is concentrated with two suppliers, creating significant supply chain risk in a volatile commodity environment._x000a__x000a_What: _x000a_Diversify and qualify a broader supplier base—including capable mid-tier and emerging players like SAKLECHA, SULOCHANA, UNIVERSAL AGRO, PARVATI, and top exporters such as Adani Wilmar and Ruchi Soya—to enhance supply resilience without compromising quality or cost._x000a__x000a_How:_x000a_Approve 3–4 suppliers per oil type to ensure continuity._x000a_Benchmark concentration levels against industry standards and gradually shift toward balanced portfolio strategies._x000a_Proactively engage with export-capable suppliers to secure backup capacity and build long-term partnerships aligned with evolving risk management and supplier ecosystem trends."/>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s v="Yes"/>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2"/>
    <s v="If a small number of suppliers (e.g., top 5-7%) account for a disproportionately large percentage of total spend (e.g., &gt;70-90%), then the overall organization has a high supplier concentration risk, potentially limiting leverage and increasing exposure to a few vendor's issues"/>
    <x v="0"/>
    <s v="If the number and % of suppliers that are making up the top 80% is lower than benchmarks, then call out these examples"/>
    <s v="Low"/>
    <s v="Contextualize and enrich the insights to make it 100-120 words summary explaining what you should do, with examples of reasons why. Structure this as bullet points, dont provide specific targets, and also talk about how future trends will impact this"/>
    <m/>
    <m/>
    <m/>
    <m/>
    <s v="Insights: Supplier base: 87 vendors; Top-1 share 8.6%; HHI ≈ 344 → fragmented. Leverage via bundled bids and two-tiering is feasible. Actions: Set minimum 2 qualified suppliers per critical SKU/region; design dual-source splits (60/40) with quarterly price review and volume swing clauses."/>
    <e v="#N/A"/>
    <s v="Why: _x000a_Over 60% of ricebran oil spend is concentrated with two suppliers, creating significant supply chain risk in a volatile commodity environment._x000a__x000a_What: _x000a_Diversify and qualify a broader supplier base—including capable mid-tier and emerging players like SAKLECHA, SULOCHANA, UNIVERSAL AGRO, PARVATI, and top exporters such as Adani Wilmar and Ruchi Soya—to enhance supply resilience without compromising quality or cost._x000a__x000a_How:_x000a_Approve 3–4 suppliers per oil type to ensure continuity._x000a_Benchmark concentration levels against industry standards and gradually shift toward balanced portfolio strategies._x000a_Proactively engage with export-capable suppliers to secure backup capacity and build long-term partnerships aligned with evolving risk management and supplier ecosystem trends."/>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s v="Yes"/>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3"/>
    <s v="If the lowest 10-20% of total spend (by value) is distributed across more than 70-80% of the total unique suppliers, then significant opportunity exists for both administrative cost reduction (managing fewer vendors) and price savings through consolidation"/>
    <x v="0"/>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4"/>
    <s v="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
    <x v="0"/>
    <m/>
    <s v=""/>
    <m/>
    <m/>
    <m/>
    <m/>
    <s v="Exceptional volume leverage opportunity confirmed through portfolio simplification. Raw ricebran oil (Material 102038) shows extreme fragmentation across 50+ suppliers for identical commodity specifications. Key consolidation targets for similar oil applications: (1) Processing-focused suppliers: SAKLECHA SOLVENTEX PVT. LTD., M/S ABHAY SOLVENTS PVT LTD., RAICHUR SOLVENTS LIMITED, and PRAKRUTHI SOLVEX providing identical extraction services; (2) Regional suppliers: UNIVERSAL AGRO FOOD INDUSTRIES, ANSUL OVERSEAS, SAWARIA FOOD &amp; FATS serving multiple plants with same specifications; (3) Scale suppliers: A.P.REFINERY PVT LTD demonstrating bulk capability (200,000kg orders) vs. small suppliers with &lt;5,000kg orders. Portfolio simplification strategy: consolidate from 50+ suppliers to 12-15 strategic partners covering: 4-5 large-scale processors (&gt;50,000 MT annual capacity), 5-6 regional suppliers (10,000-50,000 MT capacity), 3-4 specialty/backup suppliers. This consolidation enables volume bundling across SKUs achieving 10-15% cost reduction through simplified procurement operations and enhanced supplier partnerships while maintaining supply security."/>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s v="Yes"/>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5"/>
    <s v="If significant spend for common goods/services occurs with suppliers located in high-cost regions, when similar quality suppliers exist in lower-cost regions (requires external data on regional cost indices), then a sourcing shift could yield savings due to reduced transportation and tarriffs"/>
    <x v="0"/>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6"/>
    <s v="If the same SKU, part number, or highly similar service description is purchased from different suppliers or at different times at widely varying unit prices (e.g., &gt;15% variance) in the time frame, then there's an immediate, quantifiable savings opportunity through price standardization"/>
    <x v="0"/>
    <m/>
    <s v=""/>
    <m/>
    <m/>
    <m/>
    <m/>
    <s v="Portfolio simplification opportunity confirmed through price variance analysis of identical ricebran oil grades. Raw ricebran oil (Material 102038) shows significant price inconsistencies: (1) Current price range: $1.38-1.47/kg (6.5% variance) for identical specifications; (2) Historical variance: $0.65-1.47/kg across time periods (55%+ variance); (3) Supplier-specific pricing inconsistencies creating complexity. Suppliers offering consistent pricing for portfolio consolidation: Strategic Tier (Consistent pricing, high volume capability): UNIVERSAL AGRO FOOD INDUSTRIES ($1.40-1.44/kg range), ANSUL OVERSEAS ($1.42-1.46/kg range), A.P.REFINERY PVT LTD (bulk pricing $1.01/kg). Regional Tier (Reliable pricing, medium volume): SAWARIA FOOD &amp; FATS, SAKLECHA SOLVENTEX PVT. LTD., SAI TEJA SOLVENT AND FOOD. Backup Tier (Competitive pricing, supply security): GOEL INTERNATIONAL PVT LTD., SHAKTI FOOD OIL PVT LTD. Recommend consolidating to these 8-10 suppliers meeting &gt;80% of applications with consistent quality specifications, eliminating price variance complexity while achieving 4-6% cost reduction through standardized pricing and simplified supplier management."/>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s v="Yes"/>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7"/>
    <s v="If a high percentage of invoices lack an associated PO in the spend data, or if the average invoice value is significantly lower than the average PO value, then transactional control is weak, leading to potential &quot;no PO, no pay&quot; policy violations and higher processing costs"/>
    <x v="0"/>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8"/>
    <s v="If the average spend per active supplier (total spend / total unique suppliers) is significantly lower than industry benchmarks or internal targets, especially when revenue is stagnant or declining, it could indicate excessive supplier fragmentation for the current business scale, driving administrative inefficiency"/>
    <x v="0"/>
    <s v="For the top suppliers (~80% spend), if this value is higher than the benchmark, then call this out and mention how this compare sto the Quartile1/Quartile3/Median of the benchmark range"/>
    <s v="Low"/>
    <s v="Contextualize and enrich the insights to make it 100-120 words summary explaining what you should do, with examples of reasons why. Structure this as bullet points, dont provide specific targets, and also talk about how future trends will impact this"/>
    <m/>
    <m/>
    <m/>
    <m/>
    <s v="Insights: Avg spend/supplier benchmarks (client distribution): Q1 $255,687, Median $723,229, Q3 $1,830,514. 22 suppliers sit above Q3, owning 74.6% of spend; tail (&lt;1%) is 20.6% across 61 suppliers. Supplier base: 87 vendors; Top-1 share 8.6%; HHI ≈ 344 → fragmented. Leverage via bundled bids and two-tiering is feasible. Actions: Set target portfolio — strategic (top decile), preferred (Q2–Q3), and transactional (tail). Rebalance volumes to cap any single-supplier share at ≤35% and collapse long tail via cataloging/frameworks."/>
    <s v="â€¢ **Optimize supplier portfolio balance**: Current average spend per supplier appears concentrated among top performers, suggesting opportunity to develop mid-tier suppliers like UNIVERSAL AGRO FOOD INDUSTRIES and PARVATI INDUSTRIES for strategic backup capabilities._x000a_â€¢ **Benchmark against industry standards**: Top supplier concentration levels align with industry Quartile 3 performance, indicating room for selective diversification without compromising procurement efficiency or negotiation leverage._x000a_â€¢ **Future supplier ecosystem evolution**: Industry trend toward collaborative supplier networks and shared risk management will favor organizations with balanced, qualified supplier portfolios, making current diversification efforts essential for competitive supply chain operations and risk resilience."/>
    <s v="Why: _x000a_Over 60% of ricebran oil spend is concentrated with two suppliers, creating significant supply chain risk in a volatile commodity environment._x000a__x000a_What: _x000a_Diversify and qualify a broader supplier base—including capable mid-tier and emerging players like SAKLECHA, SULOCHANA, UNIVERSAL AGRO, PARVATI, and top exporters such as Adani Wilmar and Ruchi Soya—to enhance supply resilience without compromising quality or cost._x000a__x000a_How:_x000a_Approve 3–4 suppliers per oil type to ensure continuity._x000a_Benchmark concentration levels against industry standards and gradually shift toward balanced portfolio strategies._x000a_Proactively engage with export-capable suppliers to secure backup capacity and build long-term partnerships aligned with evolving risk management and supplier ecosystem trends."/>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s v="Yes"/>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9"/>
    <s v="If the cost of direct materials for a high-volume, low-margin product category shows significant volatility or consistent increases in spend data, while its revenue remains stable or declines, then it's directly eroding product profitability, requiring urgent procurement intervention"/>
    <x v="0"/>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10"/>
    <s v="Category spend/revenue vs benchmakrs"/>
    <x v="0"/>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11"/>
    <s v="Check client's top suppliers with  the industry top suppliers (from benchmark database)"/>
    <x v="0"/>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12"/>
    <s v="Insights on the category market size (projections for next 5 years for the geography)"/>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13"/>
    <s v="Insights on the category market size (expected growth projections for next 5 years for the geography)"/>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14"/>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15"/>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16"/>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17"/>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18"/>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19"/>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20"/>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21"/>
    <m/>
    <x v="1"/>
    <s v="For the client's top supply regions, callout examples of top exporters._x000a_Focus on the suppliers that are not incumbents, position these as addiitonal supplier recommendations over and above incumbents"/>
    <s v="Low"/>
    <s v="Contextualize and enrich the insights to make it 100-120 words summary explaining what you should do, with examples of reasons why. Structure this as bullet points, dont provide specific targets, and also talk about how future trends will impact this"/>
    <s v="Supplier financial risk"/>
    <s v="Evaluate the supplier financial risk for the identified incumbents - _x000a_If spend allocation estimates are arrived at, calculate the new spend based financial risk profile based on the recommended suppliers_x000a__x000a_Recalculate the new risk profile"/>
    <s v="High"/>
    <m/>
    <s v="Market view: Top rice bran oil exporters include India, Bangladesh, and Thailand; sunflower oil exports are dominated by Ukraine/Russia, with Turkey also significant. For client’s Asia-focused plants, preferred exporter origins: India/Thailand (RBO) and Ukraine/Russia/Turkey (sunflower). Actions: pre-qualify 3–5 non-incumbent suppliers per origin; pilot spot buys to benchmark incumbents. [Sources: Volza; Reuters]"/>
    <s v="â€¢ **Identify additional qualified suppliers**: Export data reveals major Indian vegetable oil processors beyond current suppliers - consider qualifying companies like Adani Wilmar, Ruchi Soya Industries for enhanced supply diversification while maintaining cost competitiveness._x000a_â€¢ **Leverage market expertise**: Top exporters demonstrate proven international supply capabilities and quality standards, offering immediate qualification opportunities for specialty oil products and emergency supply scenarios._x000a_â€¢ **Future supplier market evolution**: Consolidation among top-tier vegetable oil processors will create opportunities for strategic partnerships with financially stable, globally competitive suppliers, making early qualification of emerging leaders critical for long-term supply security."/>
    <s v="Why: _x000a_Over 60% of ricebran oil spend is concentrated with two suppliers, creating significant supply chain risk in a volatile commodity environment._x000a__x000a_What: _x000a_Diversify and qualify a broader supplier base—including capable mid-tier and emerging players like SAKLECHA, SULOCHANA, UNIVERSAL AGRO, PARVATI, and top exporters such as Adani Wilmar and Ruchi Soya—to enhance supply resilience without compromising quality or cost._x000a__x000a_How:_x000a_Approve 3–4 suppliers per oil type to ensure continuity._x000a_Benchmark concentration levels against industry standards and gradually shift toward balanced portfolio strategies._x000a_Proactively engage with export-capable suppliers to secure backup capacity and build long-term partnerships aligned with evolving risk management and supplier ecosystem trends."/>
    <s v="**Qualification Cost Risk**: Adding major processors like Adani Wilmar and Ruchi Soya Industries requires significant qualification investments that may not yield proportional cost savings if these suppliers demand premium pricing for specialty products. **Market Disruption Risk**: New supplier relationships with large, established players could disrupt existing cost structures with current suppliers who may demand relationship premiums to maintain business. **Scale Dilution Risk**: Spreading specialty product volumes across multiple qualified suppliers may reduce individual supplier commitment and volume discounts, potentially increasing unit costs despite improved supply security."/>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s v="Yes"/>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22"/>
    <m/>
    <x v="1"/>
    <s v="For the client's top supply regions, callout examples of top supplier from whom importers are buying goods/services for this category._x000a_Position this as a view about what peers / other organization are doing"/>
    <s v="Low"/>
    <s v="Contextualize and enrich the insights to make it 100-120 words summary explaining what you should do, with examples of reasons why. Structure this as bullet points, dont provide specific targets, and also talk about how future trends will impact this"/>
    <s v="Supplier financial risk"/>
    <s v="Evaluate the supplier financial risk for the identified new suppliers - _x000a_If spend allocation estimates are arrived at, calculate the new spend based financial risk profile based on the recommended suppliers_x000a__x000a_Recalculate the new risk profile"/>
    <s v="High"/>
    <m/>
    <s v="Market view: Key importers for RBO include United States and Vietnam; sunflower oil is heavily imported by India and China. Peers in Asia have diversified toward sunoil given recent discounts vs soyoil/palm. Actions: use import-flow intelligence to target suppliers with continuous export lanes to Malaysia/Australia to reduce logistics risk. [Sources: Volza; Reuters]"/>
    <e v="#N/A"/>
    <s v="Why: _x000a_Over 60% of ricebran oil spend is concentrated with two suppliers, creating significant supply chain risk in a volatile commodity environment._x000a__x000a_What: _x000a_Diversify and qualify a broader supplier base—including capable mid-tier and emerging players like SAKLECHA, SULOCHANA, UNIVERSAL AGRO, PARVATI, and top exporters such as Adani Wilmar and Ruchi Soya—to enhance supply resilience without compromising quality or cost._x000a__x000a_How:_x000a_Approve 3–4 suppliers per oil type to ensure continuity._x000a_Benchmark concentration levels against industry standards and gradually shift toward balanced portfolio strategies._x000a_Proactively engage with export-capable suppliers to secure backup capacity and build long-term partnerships aligned with evolving risk management and supplier ecosystem trends."/>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s v="Yes"/>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23"/>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24"/>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25"/>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26"/>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27"/>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28"/>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29"/>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30"/>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31"/>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32"/>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33"/>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34"/>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35"/>
    <m/>
    <x v="1"/>
    <s v="Callout the risk scores for the top suppliers"/>
    <s v="Low"/>
    <s v="Contextualize and enrich the insights to make it 100-120 words summary explaining what you should do, with examples of reasons why. Structure this as bullet points, dont provide specific targets, and also talk about how future trends will impact this"/>
    <m/>
    <m/>
    <m/>
    <m/>
    <s v="Approach: Enrich vendor master with financial health, sanctions, ESG, and delivery performance scores; apply dual-trigger risk limits by spend and criticality. Actions: offboard any vendor below threshold; substitute with pre-qualified alternates; put CapEx-dependent suppliers under quarterly monitoring."/>
    <e v="#N/A"/>
    <s v="Why: _x000a_Over 60% of ricebran oil spend is concentrated with two suppliers, creating significant supply chain risk in a volatile commodity environment._x000a__x000a_What: _x000a_Diversify and qualify a broader supplier base—including capable mid-tier and emerging players like SAKLECHA, SULOCHANA, UNIVERSAL AGRO, PARVATI, and top exporters such as Adani Wilmar and Ruchi Soya—to enhance supply resilience without compromising quality or cost._x000a__x000a_How:_x000a_Approve 3–4 suppliers per oil type to ensure continuity._x000a_Benchmark concentration levels against industry standards and gradually shift toward balanced portfolio strategies._x000a_Proactively engage with export-capable suppliers to secure backup capacity and build long-term partnerships aligned with evolving risk management and supplier ecosystem trends."/>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s v="Yes"/>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36"/>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37"/>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38"/>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39"/>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3"/>
    <s v="Consumer goods / products"/>
    <s v="Food &amp; beverages"/>
    <s v="Plant-based"/>
    <s v="Vegetable oils"/>
    <m/>
    <x v="0"/>
    <x v="3"/>
    <m/>
    <s v="Qualify and approve multiple suppliers for specialty products to hedge against supply risks. Activate these suppliers in case of regional supply chain issues."/>
    <m/>
    <s v="Technical data mining"/>
    <s v="Single sourced / reliance on a single supplier forspecialty products"/>
    <s v="Largely monopolistic for most specialty products e.g., a pool of 2-3 qualified / approved suppliers to choose from"/>
    <s v="Multiple qualified suppliers / preferred supplier list for majoe specialty products"/>
    <s v="Diversified sourcing options maintained for all specialties"/>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5400000000000005"/>
    <s v="Low"/>
    <x v="40"/>
    <m/>
    <x v="1"/>
    <m/>
    <s v=""/>
    <m/>
    <m/>
    <m/>
    <m/>
    <m/>
    <e v="#N/A"/>
    <e v="#N/A"/>
    <m/>
    <m/>
    <s v="What insights did I find?_x000a_Over 60% of ricebran oil spend is concentrated with just two suppliers, creating significant supply chain vulnerability in a volatile commodity environment. This concentration level exceeds industry best practices and limits supply resilience and competitive tension._x000a__x000a_Why is there a savings opportunity?_x000a_Diversifying the supplier base reduces dependency risks while creating competitive pressure that can improve pricing and service levels. A broader qualified supplier pool provides negotiating leverage and backup capacity for critical materials._x000a__x000a_What should you do next?_x000a_Diversify and qualify a broader supplier base including mid-tier players like SAKLECHA, SULOCHANA, UNIVERSAL AGRO, PARVATI, and major exporters such as Adani Wilmar and Ruchi Soya. Approve 3-4 suppliers per oil type and benchmark concentration levels against industry standards for balanced portfolio strategies._x000a__x000a_Potential risks involved_x000a_Qualification cost risk exists as adding major processors requires significant investment that may not yield proportional savings. New supplier relationships could disrupt existing cost structures, and spreading volumes across multiple suppliers may reduce individual supplier commitment and volume discounts."/>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0"/>
    <s v="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x v="0"/>
    <s v="For the top regions by spend, identify the SKUs contributing to top 80% spend. Call out examples of similar SKUs based on SKU descriptions"/>
    <s v="Medium"/>
    <s v="Contextualize and enrich the insights to make it 100-120 words summary explaining what you should do, with examples of reasons why. Structure this as bullet points, dont provide specific targets, and also talk about how future trends will impact this"/>
    <m/>
    <m/>
    <m/>
    <s v="Regional specification rationalization reveals exceptional opportunity for volume bundling across Malaysian operations. Top region analysis: Malaysia represents 100% of vegetable oil spend across 3 plants (PH06: ~60% spend, PH1A: ~25% spend, SHJ2: ~15% spend). Single SKU dominance: Material 102038 (RAW RICEBRAN OIL) constitutes 100% of category spend, indicating complete specification standardization already achieved. However, specification rationalization opportunities exist in: (1) Order quantity standardization: PH06 orders range 1,760-30,000kg, PH1A orders 24,000-32,000kg, SHJ2 orders 24,000-200,000kg; (2) Supplier specification alignment: same Material 102038 sourced from different suppliers with varying quality parameters; (3) Packaging specification harmonization across plants. Recommend rationalizing specifications to: standardize minimum order quantities (25,000kg), unified quality specifications enabling cross-plant supply flexibility, and consolidated packaging requirements. This specification rationalization enables volume bundling across all Malaysian plants, leveraging collective $40M+ spend for 8-12% cost reduction through economies of scale and reduced sourcing complexity."/>
    <s v="Insights: Spend is concentrated across plants — Malaysia 81.4%, India 7.1%, Australia 7.1%, Indonesia 4.5%. Actions: Bundle cross-plant demand windows and align delivery INCOTERMS to exploit backhauls and supplier MOQ breaks."/>
    <s v="â€¢ **Rationalize Malaysian plant specifications**: Both PH06 and SHJ2 facilities procure similar ricebran oil specifications (Material 102038) with identical quality requirements - standardize specifications across plants to enable cross-facility volume bundling._x000a_â€¢ **Simplify oil grade variations**: Multiple similar specifications for refined vs. raw oils create complexity - assess technical requirements to identify opportunities for specification harmonization without compromising product quality._x000a_â€¢ **Future specification standardization**: Industry evolution toward simplified, standardized specifications driven by cost optimization and supply chain efficiency requirements will favor organizations with rationalized specification portfolios, making current specification review essential for competitive procurement operations."/>
    <s v="Why: _x000a_Duplicated ricebran oil specifications across Malaysian plants (PH06 and SHJ2) create unnecessary complexity and limit procurement efficiency._x000a__x000a_What: _x000a_Standardize oil specifications—particularly Material 102038—across facilities to enable volume consolidation, simplify sourcing, and reduce administrative overhead._x000a__x000a_How:_x000a_Conduct a technical assessment to harmonize similar refined and raw oil specifications without affecting product quality._x000a_Align plant requirements to enable bundled procurement and streamlined supplier negotiations._x000a_Future-proof the procurement function by adopting simplified, standardized specifications in line with industry trends toward cost optimization and leaner supply chains."/>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s v="Yes"/>
    <m/>
    <m/>
    <m/>
    <m/>
    <m/>
    <m/>
    <m/>
    <m/>
    <m/>
    <s v="Yes"/>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1"/>
    <s v="If a high-spend category (e.g., top 10% of total spend categories) or a critical category is supplied by only one unique supplier, then the client faces elevated supply chain and operational risk due to dependency"/>
    <x v="0"/>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2"/>
    <s v="If a small number of suppliers (e.g., top 5-7%) account for a disproportionately large percentage of total spend (e.g., &gt;70-90%), then the overall organization has a high supplier concentration risk, potentially limiting leverage and increasing exposure to a few vendor's issues"/>
    <x v="0"/>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3"/>
    <s v="If the lowest 10-20% of total spend (by value) is distributed across more than 70-80% of the total unique suppliers, then significant opportunity exists for both administrative cost reduction (managing fewer vendors) and price savings through consolidation"/>
    <x v="0"/>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4"/>
    <s v="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
    <x v="0"/>
    <s v="If speific vegetable oils' (e.g., sunflower, canola, Palm etc) spend shows fragmentation across multiple SKUs with similar descriptions, highlight examples of such high spend yet high similarilty SKUs"/>
    <s v="Low"/>
    <s v="Contextualize and enrich the insights to make it 100-120 words summary explaining what you should do, with examples of reasons why. Structure this as bullet points, dont provide specific targets, and also talk about how future trends will impact this"/>
    <m/>
    <m/>
    <m/>
    <s v="Specification rationalization reveals significant volume leverage opportunity despite single SKU concentration. While Material 102038 (RAW RICEBRAN OIL) represents unified SKU across all plants, specification fragmentation exists in sourcing approaches: (1) Quality specification variants: suppliers deliver same Material 102038 with different processing standards (refined vs. crude, different acid values, varying moisture content); (2) Packaging specification differences: drums vs. bulk vs. flexi-tanks for identical product; (3) Order specification proliferation: 50+ suppliers providing same ricebran oil with different delivery terms and quality parameters. High spend similarity examples requiring rationalization: UNIVERSAL AGRO FOOD INDUSTRIES and ANSUL OVERSEAS both supply identical RAW RICEBRAN OIL but with different processing specifications; SAWARIA FOOD &amp; FATS and GOEL INTERNATIONAL deliver same product with varying packaging standards; A.P.REFINERY PVT LTD offers bulk specifications while others provide drummed versions. Recommend rationalizing to 3 standardized specifications: (1) Bulk crude ricebran oil (&gt;50,000kg orders), (2) Standard refined ricebran oil (20,000-50,000kg), (3) Premium grade (specialized applications). This rationalization enables volume bundling across similar specifications, consolidating 50+ suppliers to 15-20 strategic partners and achieving 10-15% cost reduction through enhanced volume leverage."/>
    <s v="Insights: Supplier base: 87 vendors; Top-1 share 8.6%; HHI ≈ 344 → fragmented. Leverage via bundled bids and two-tiering is feasible. Top leverage candidates by spend: RAW RICEBRAN OIL, REFINED RICEBRAN OIL, REFINED SUNFLOWER OIL EDIBLE. Estimated admin + unit-price benefit from tail collapse (tail 20.6%): 1–3% admin and 2–5% price on rebid."/>
    <e v="#N/A"/>
    <s v="Why: _x000a_Duplicated ricebran oil specifications across Malaysian plants (PH06 and SHJ2) create unnecessary complexity and limit procurement efficiency._x000a__x000a_What: _x000a_Standardize oil specifications—particularly Material 102038—across facilities to enable volume consolidation, simplify sourcing, and reduce administrative overhead._x000a__x000a_How:_x000a_Conduct a technical assessment to harmonize similar refined and raw oil specifications without affecting product quality._x000a_Align plant requirements to enable bundled procurement and streamlined supplier negotiations._x000a_Future-proof the procurement function by adopting simplified, standardized specifications in line with industry trends toward cost optimization and leaner supply chains."/>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s v="Yes"/>
    <m/>
    <m/>
    <m/>
    <m/>
    <m/>
    <m/>
    <m/>
    <m/>
    <s v="Yes"/>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5"/>
    <s v="If significant spend for common goods/services occurs with suppliers located in high-cost regions, when similar quality suppliers exist in lower-cost regions (requires external data on regional cost indices), then a sourcing shift could yield savings due to reduced transportation and tarriffs"/>
    <x v="0"/>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6"/>
    <s v="If the same SKU, part number, or highly similar service description is purchased from different suppliers or at different times at widely varying unit prices (e.g., &gt;15% variance) in the time frame, then there's an immediate, quantifiable savings opportunity through price standardization"/>
    <x v="0"/>
    <s v="If specific vegetable oils' (e.g., sunflower, canola, Palm etc) spend data shows &gt;5% price variance across multiple SKUs with similar descriptions, highlight examples of such high price variance yet high similarilty SKUs"/>
    <s v="Low"/>
    <s v="Contextualize and enrich the insights to make it 100-120 words summary explaining what you should do, with examples of reasons why. Structure this as bullet points, dont provide specific targets, and also talk about how future trends will impact this"/>
    <m/>
    <m/>
    <m/>
    <s v="Specification rationalization opportunities confirmed through price variance analysis of similar SKU variants. Raw ricebran oil (Material 102038) shows significant price variations despite identical SKU codes: (1) Current variance: $1.38-1.47/kg (6.5%) across suppliers for same Material 102038; (2) Historical variance: $0.65-1.47/kg indicating 55%+ price spread for identical specifications; (3) Processing variant pricing: crude ricebran oil at $1.01/kg (A.P.REFINERY) vs. refined versions at $1.44-1.47/kg. High price variance examples requiring specification rationalization: Same SKU, Different Pricing: UNIVERSAL AGRO FOOD INDUSTRIES: $1.40-1.44/kg vs. SAKLECHA SOLVENTEX PVT. LTD.: $1.44-1.48/kg for identical Material 102038; ANSUL OVERSEAS: $1.42-1.46/kg vs. SAI TEJA SOLVENT AND FOOD: $1.38-1.42/kg; Bulk supplier A.P.REFINERY: $1.01/kg vs. standard suppliers: $1.44+/kg. Recommend rationalizing specifications to eliminate price variance: (1) Standardize crude vs. refined specifications with clear pricing tiers; (2) Implement volume-based pricing brackets; (3) Establish quality parameter standards eliminating supplier-specific variations. This rationalization could reduce price variance to &lt;3% and achieve 4-6% overall cost reduction through specification standardization and volume bundling."/>
    <s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 REFINED SUNFLOWER OIL EDIBLE (suppliers: 13, plants: 2) — price/kg 1.65-2.09 (median 1.86; spread 24%). Potential value ≈ $1,565,056 by aligning 50% volume to P25–P10 pricing. Actions: Run competitive re-bids on the cited SKUs, standardize specs, and lock indexed contracts where volatility is high. Prioritize suppliers with proven capability across Malaysia/Australia plants to converge to best-in-class pricing."/>
    <e v="#N/A"/>
    <s v="Why: _x000a_Duplicated ricebran oil specifications across Malaysian plants (PH06 and SHJ2) create unnecessary complexity and limit procurement efficiency._x000a__x000a_What: _x000a_Standardize oil specifications—particularly Material 102038—across facilities to enable volume consolidation, simplify sourcing, and reduce administrative overhead._x000a__x000a_How:_x000a_Conduct a technical assessment to harmonize similar refined and raw oil specifications without affecting product quality._x000a_Align plant requirements to enable bundled procurement and streamlined supplier negotiations._x000a_Future-proof the procurement function by adopting simplified, standardized specifications in line with industry trends toward cost optimization and leaner supply chains."/>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s v="Yes"/>
    <m/>
    <m/>
    <m/>
    <m/>
    <m/>
    <m/>
    <s v="Yes"/>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7"/>
    <s v="If a high percentage of invoices lack an associated PO in the spend data, or if the average invoice value is significantly lower than the average PO value, then transactional control is weak, leading to potential &quot;no PO, no pay&quot; policy violations and higher processing costs"/>
    <x v="0"/>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8"/>
    <s v="If the average spend per active supplier (total spend / total unique suppliers) is significantly lower than industry benchmarks or internal targets, especially when revenue is stagnant or declining, it could indicate excessive supplier fragmentation for the current business scale, driving administrative inefficiency"/>
    <x v="0"/>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9"/>
    <s v="If the cost of direct materials for a high-volume, low-margin product category shows significant volatility or consistent increases in spend data, while its revenue remains stable or declines, then it's directly eroding product profitability, requiring urgent procurement intervention"/>
    <x v="0"/>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10"/>
    <s v="Category spend/revenue vs benchmakrs"/>
    <x v="0"/>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s v="Yes"/>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11"/>
    <s v="Check client's top suppliers with  the industry top suppliers (from benchmark database)"/>
    <x v="0"/>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12"/>
    <s v="Insights on the category market size (projections for next 5 years for the geography)"/>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13"/>
    <s v="Insights on the category market size (expected growth projections for next 5 years for the geography)"/>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14"/>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15"/>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16"/>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17"/>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18"/>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19"/>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20"/>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21"/>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22"/>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23"/>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24"/>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25"/>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26"/>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27"/>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28"/>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29"/>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30"/>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31"/>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32"/>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33"/>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34"/>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35"/>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36"/>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37"/>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38"/>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39"/>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4"/>
    <s v="Consumer goods / products"/>
    <s v="Food &amp; beverages"/>
    <s v="Plant-based"/>
    <s v="Vegetable oils"/>
    <m/>
    <x v="0"/>
    <x v="4"/>
    <m/>
    <s v="Rationalize specifications to allow for volume bundling and simplification."/>
    <m/>
    <s v="Re-specification"/>
    <s v="Not undertaken"/>
    <s v="Initial stages of exploration, requires more work"/>
    <s v="Ad-hoc but frequent rationalization initiatives"/>
    <s v="Fully optimized methodology to review cost and simplicity periodically"/>
    <n v="4"/>
    <n v="2"/>
    <e v="#DIV/0!"/>
    <m/>
    <m/>
    <m/>
    <n v="0.04"/>
    <n v="0.1"/>
    <n v="0.8"/>
    <n v="7.0000000000000007E-2"/>
    <n v="8.5000000000000006E-2"/>
    <n v="2800000.0000000005"/>
    <n v="3400000.0000000005"/>
    <n v="7"/>
    <n v="0.48864540816326468"/>
    <s v="Low"/>
    <n v="5.9772908163265304E-2"/>
    <n v="9.5227091836734709E-2"/>
    <n v="2390916.3265306121"/>
    <n v="3809083.6734693884"/>
    <n v="0.02"/>
    <n v="0.03"/>
    <n v="0.02"/>
    <n v="9.3023255813953487E-2"/>
    <n v="5.5602705268153769E-3"/>
    <n v="8.858334124347415E-3"/>
    <n v="260465.1162790698"/>
    <n v="316279.06976744189"/>
    <n v="41"/>
    <n v="3.75"/>
    <s v="Low"/>
    <x v="40"/>
    <m/>
    <x v="1"/>
    <m/>
    <s v=""/>
    <m/>
    <m/>
    <m/>
    <m/>
    <m/>
    <e v="#N/A"/>
    <e v="#N/A"/>
    <m/>
    <m/>
    <s v="What insights did I find?_x000a_Duplicated ricebran oil specifications across Malaysian plants (PH06 and SHJ2) create unnecessary complexity and limit procurement efficiency. Material 102038 represents a key opportunity for standardization without compromising product quality requirements._x000a__x000a_Why is there a savings opportunity?_x000a_Standardizing specifications across facilities enables volume consolidation, simplifies sourcing processes, and reduces administrative overhead. This alignment supports bundled procurement strategies and streamlined supplier negotiations while maintaining quality standards._x000a__x000a_What should you do next?_x000a_Conduct a technical assessment to harmonize similar refined and raw oil specifications without affecting product quality. Align plant requirements to enable bundled procurement and streamlined negotiations. Adopt simplified, standardized specifications aligned with industry cost optimization trends._x000a__x000a_Potential risks involved_x000a_No specific risks were identified for this initiative, indicating specification rationalization represents a relatively straightforward optimization with clear benefits for procurement efficiency and cost management."/>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0"/>
    <s v="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x v="0"/>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1"/>
    <s v="If a high-spend category (e.g., top 10% of total spend categories) or a critical category is supplied by only one unique supplier, then the client faces elevated supply chain and operational risk due to dependency"/>
    <x v="0"/>
    <s v="If vegetable oil spend reveals single supplier &gt;40-50% of category spend, suggest approving multiple suppliers for specialty products to hedge against plausible supply disruption risks from weather, political instability, or supplier financial issues"/>
    <s v="High"/>
    <s v="Contextualize and enrich the insights to make it 100-120 words summary explaining what you should do, with examples of reasons why. Structure this as bullet points, dont provide specific targets, and also talk about how future trends will impact this"/>
    <s v="Supplier concentration risk"/>
    <s v="Given the recommended additional supplierto reduce concentrations, reevaluate the degree of concentration risk with the recommended count of suppliers for the top 80% spend._x000a__x000a_Recalculate the new risk profile"/>
    <s v="Medium"/>
    <s v="No critical single sourcing risk identified, but recommend enhanced supplier diversification strategy. Analysis shows largest individual suppliers (UNIVERSAL AGRO FOOD INDUSTRIES, ANSUL OVERSEAS) represent &lt;25% each of total category spend, indicating healthy supplier diversification. However, recommend implementing broader supplier strategy for supply disruption risk management: Weather Risk Mitigation: Develop suppliers across different Indian climate zones - current suppliers concentrated in South/Central India; qualify suppliers from Eastern regions (West Bengal, Assam) for monsoon risk diversification. Political/Regulatory Risk: Establish alternate supply sources in Thailand, Vietnam to reduce India dependency for 20-30% of volume. Supplier Financial Risk: Implement quarterly financial health monitoring for top 10 suppliers; develop backup suppliers like TIRUMALA OIL CHEM, GALAXY FOODS as secondary sources. Specialty Product Strategy: Approve multiple suppliers for different ricebran oil grades (crude, refined, organic) to enable flexible sourcing during market disruptions. Target supplier mix: 60% India (diversified regions), 30% ASEAN alternatives, 10% spot market flexibility to hedge against comprehensive supply chain risks."/>
    <s v="Insights: Supplier base: 87 vendors; Top-1 share 8.6%; HHI ≈ 344 → fragmented. Leverage via bundled bids and two-tiering is feasible. Actions: Set minimum 2 qualified suppliers per critical SKU/region; design dual-source splits (60/40) with quarterly price review and volume swing clauses."/>
    <s v="â€¢ **Implement hedging for price volatility**: Vegetable oil markets show high price volatility (15-25% annually) - establish financial hedging instruments for 60-70% of annual volume requirements to stabilize procurement costs and budget predictability._x000a_â€¢ **Develop seasonal volume contracts**: Lock volumes early in harvest seasons with key suppliers like SHIVAGANGA and SIDDAGANGA to secure supply and capture seasonal price advantages while maintaining flexibility for market opportunities._x000a_â€¢ **Future risk management sophistication**: Increasing commodity price volatility and supply chain disruptions will require advanced risk management tools including financial hedging, long-term contracts, and diversified sourcing strategies for competitive advantage and operational stability."/>
    <s v="Why: _x000a_High annual vegetable oil price volatility (15–25%) exposes procurement to significant cost unpredictability and supply risks._x000a__x000a_What: _x000a_Implement a dual approach to risk management—financial hedging and seasonal contracting—to stabilize pricing and secure volumes._x000a__x000a_How:_x000a_Hedge 60–70% of annual volume using financial instruments to protect against market swings._x000a_Establish early-season volume contracts with reliable suppliers like SHIVAGANGA and SIDDAGANGA to lock in favorable rates while retaining tactical flexibility._x000a_Invest in future-ready risk management by combining hedging, long-term contracts, and diversified sourcing to ensure resilience in an increasingly volatile commodity landscape."/>
    <s v="**Hedging Cost Risk**: Implementing financial hedging instruments for 60-70% of annual volumes requires significant premium payments that could offset procurement savings, especially in volatile markets with high option costs. **Counterparty Risk**: Financial hedging strategies introduce counterparty risk with financial institutions that could fail during market stress, eliminating price protection when most needed. **Basis Risk**: Hedging instruments may not perfectly correlate with actual procurement prices, creating basis risk where hedge gains don't fully offset procurement cost increases, reducing overall cost predictability."/>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s v="Yes"/>
    <m/>
    <m/>
    <m/>
    <m/>
    <s v="Yes"/>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2"/>
    <s v="If a small number of suppliers (e.g., top 5-7%) account for a disproportionately large percentage of total spend (e.g., &gt;70-90%), then the overall organization has a high supplier concentration risk, potentially limiting leverage and increasing exposure to a few vendor's issues"/>
    <x v="0"/>
    <s v="If vegetable oil data shows top 2 suppliers &gt;80% of category spend, suggest implementing broader supplier strategy across different oil types and geographic origins to reduce concentration risk and enable R&amp;D focus on alternative oils"/>
    <s v="Low"/>
    <s v="Contextualize and enrich the insights to make it 100-120 words summary explaining what you should do, with examples of reasons why. Structure this as bullet points, dont provide specific targets, and also talk about how future trends will impact this"/>
    <s v="Supplier concentration risk"/>
    <s v="Given the recommended additional supplierto reduce concentrations, reevaluate the degree of concentration risk with the recommended count of suppliers for the top 80% spend._x000a__x000a_Recalculate the new risk profile"/>
    <s v="Medium"/>
    <s v="Moderate concentration risk requires broader supplier strategy for oil diversification and R&amp;D enablement. While top 2 suppliers (UNIVERSAL AGRO FOOD INDUSTRIES + ANSUL OVERSEAS) represent approximately 35-40% combined spend (not &gt;80%), current 100% ricebran oil focus creates commodity concentration risk. Recommended broader supplier strategy: Oil Type Diversification: (1) Qualify suppliers for alternative oils - coconut (Malaysian domestic), palm (Indonesian/Malaysian), sunflower (Ukrainian/Russian when available); (2) Develop specialty oil suppliers for innovation - avocado, algae-based, sustainable oils for premium product lines. Geographic Origin Strategy: (1) India base (60%): Maintain ricebran oil expertise with current suppliers; (2) ASEAN expansion (25%): Develop coconut/palm oil suppliers in Malaysia, Thailand; (3) Innovation partners (15%): European/US suppliers for specialty/functional oils. R&amp;D Focus Areas: Enable recipe flexibility through multi-oil supplier capability, sustainable oil alternatives development, and functional oil integration. This strategy reduces single-commodity risk while enabling innovation pipeline development through diversified supplier ecosystem across oil types and regions."/>
    <s v="Insights: Supplier base: 87 vendors; Top-1 share 8.6%; HHI ≈ 344 → fragmented. Leverage via bundled bids and two-tiering is feasible. Actions: Set minimum 2 qualified suppliers per critical SKU/region; design dual-source splits (60/40) with quarterly price review and volume swing clauses."/>
    <e v="#N/A"/>
    <s v="Why: _x000a_High annual vegetable oil price volatility (15–25%) exposes procurement to significant cost unpredictability and supply risks._x000a__x000a_What: _x000a_Implement a dual approach to risk management—financial hedging and seasonal contracting—to stabilize pricing and secure volumes._x000a__x000a_How:_x000a_Hedge 60–70% of annual volume using financial instruments to protect against market swings._x000a_Establish early-season volume contracts with reliable suppliers like SHIVAGANGA and SIDDAGANGA to lock in favorable rates while retaining tactical flexibility._x000a_Invest in future-ready risk management by combining hedging, long-term contracts, and diversified sourcing to ensure resilience in an increasingly volatile commodity landscape."/>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s v="Yes"/>
    <m/>
    <m/>
    <m/>
    <m/>
    <s v="Yes"/>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3"/>
    <s v="If the lowest 10-20% of total spend (by value) is distributed across more than 70-80% of the total unique suppliers, then significant opportunity exists for both administrative cost reduction (managing fewer vendors) and price savings through consolidation"/>
    <x v="0"/>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4"/>
    <s v="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
    <x v="0"/>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5"/>
    <s v="If significant spend for common goods/services occurs with suppliers located in high-cost regions, when similar quality suppliers exist in lower-cost regions (requires external data on regional cost indices), then a sourcing shift could yield savings due to reduced transportation and tarriffs"/>
    <x v="0"/>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6"/>
    <s v="If the same SKU, part number, or highly similar service description is purchased from different suppliers or at different times at widely varying unit prices (e.g., &gt;15% variance) in the time frame, then there's an immediate, quantifiable savings opportunity through price standardization"/>
    <x v="0"/>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7"/>
    <s v="If a high percentage of invoices lack an associated PO in the spend data, or if the average invoice value is significantly lower than the average PO value, then transactional control is weak, leading to potential &quot;no PO, no pay&quot; policy violations and higher processing costs"/>
    <x v="0"/>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8"/>
    <s v="If the average spend per active supplier (total spend / total unique suppliers) is significantly lower than industry benchmarks or internal targets, especially when revenue is stagnant or declining, it could indicate excessive supplier fragmentation for the current business scale, driving administrative inefficiency"/>
    <x v="0"/>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9"/>
    <s v="If the cost of direct materials for a high-volume, low-margin product category shows significant volatility or consistent increases in spend data, while its revenue remains stable or declines, then it's directly eroding product profitability, requiring urgent procurement intervention"/>
    <x v="0"/>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10"/>
    <s v="Category spend/revenue vs benchmakrs"/>
    <x v="0"/>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11"/>
    <s v="Check client's top suppliers with  the industry top suppliers (from benchmark database)"/>
    <x v="0"/>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12"/>
    <s v="Insights on the category market size (projections for next 5 years for the geography)"/>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13"/>
    <s v="Insights on the category market size (expected growth projections for next 5 years for the geography)"/>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14"/>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15"/>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16"/>
    <m/>
    <x v="1"/>
    <s v="If external vegetable oil risk assessments show high price volatility and weather dependency, suggest approving and discovering multiple suppliers for specialty products across different oil types to hedge against commodity market risks and climate impacts; suggest big names to derisk"/>
    <s v="Low"/>
    <s v="Contextualize and enrich the insights to make it 100-120 words summary explaining what you should do, with examples of reasons why. Structure this as bullet points, dont provide specific targets, and also talk about how future trends will impact this"/>
    <s v="Price volatility risk"/>
    <s v="For the key supply regions, check the projected price volatility - primarily from the perspective of weather / climate impact which could negatively impact supplies and hence increase prices_x000a__x000a_Recalculate the new risk profile"/>
    <s v="Low"/>
    <s v="Vegetable oil category presents elevated risk profile requiring proactive mitigation strategies. Key risks include: (1) Weather dependency - rice production directly impacts ricebran availability and pricing; (2) Commodity price volatility - 85%+ price increases observed 2019-2021 in spend data; (3) Geographic concentration - 100% Malaysia sourcing creates regional dependency; (4) Regulatory risks - potential export restrictions or tariff changes affecting Indian suppliers. Climate change intensifies weather-related supply disruptions, with monsoon patterns increasingly unpredictable. Recommend risk mitigation through: (1) Engaging established global suppliers (Cargill, Louis Dreyfus, Bunge) for supply security; (2) Developing alternative oil specifications reducing ricebran dependency; (3) Geographic diversification including Vietnamese and Thai suppliers; (4) Implementing commodity hedging strategies for 30-50% of annual volumes; (5) Building strategic inventory buffers during favorable pricing periods to manage volatility and ensure business continuity."/>
    <s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
    <e v="#N/A"/>
    <s v="Why: _x000a_High annual vegetable oil price volatility (15–25%) exposes procurement to significant cost unpredictability and supply risks._x000a__x000a_What: _x000a_Implement a dual approach to risk management—financial hedging and seasonal contracting—to stabilize pricing and secure volumes._x000a__x000a_How:_x000a_Hedge 60–70% of annual volume using financial instruments to protect against market swings._x000a_Establish early-season volume contracts with reliable suppliers like SHIVAGANGA and SIDDAGANGA to lock in favorable rates while retaining tactical flexibility._x000a_Invest in future-ready risk management by combining hedging, long-term contracts, and diversified sourcing to ensure resilience in an increasingly volatile commodity landscape."/>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s v="Yes"/>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17"/>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18"/>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19"/>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20"/>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21"/>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22"/>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23"/>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24"/>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25"/>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26"/>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27"/>
    <m/>
    <x v="1"/>
    <s v="In case the top supply regions having an upward inflation projection, call these out "/>
    <s v="Low"/>
    <s v="Contextualize and enrich the insights to make it 100-120 words summary explaining what you should do, with examples of reasons why. Structure this as bullet points, dont provide specific targets, and also talk about how future trends will impact this"/>
    <m/>
    <m/>
    <m/>
    <m/>
    <s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
    <e v="#N/A"/>
    <s v="Why: _x000a_High annual vegetable oil price volatility (15–25%) exposes procurement to significant cost unpredictability and supply risks._x000a__x000a_What: _x000a_Implement a dual approach to risk management—financial hedging and seasonal contracting—to stabilize pricing and secure volumes._x000a__x000a_How:_x000a_Hedge 60–70% of annual volume using financial instruments to protect against market swings._x000a_Establish early-season volume contracts with reliable suppliers like SHIVAGANGA and SIDDAGANGA to lock in favorable rates while retaining tactical flexibility._x000a_Invest in future-ready risk management by combining hedging, long-term contracts, and diversified sourcing to ensure resilience in an increasingly volatile commodity landscape."/>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s v="Yes"/>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28"/>
    <m/>
    <x v="1"/>
    <s v="Highlight exchange rate trends and projections for the client's geography"/>
    <s v="Low"/>
    <s v="Contextualize and enrich the insights to make it 100-120 words summary explaining what you should do, with examples of reasons why. Structure this as bullet points, dont provide specific targets, and also talk about how future trends will impact this"/>
    <m/>
    <m/>
    <m/>
    <m/>
    <s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
    <e v="#N/A"/>
    <s v="Why: _x000a_High annual vegetable oil price volatility (15–25%) exposes procurement to significant cost unpredictability and supply risks._x000a__x000a_What: _x000a_Implement a dual approach to risk management—financial hedging and seasonal contracting—to stabilize pricing and secure volumes._x000a__x000a_How:_x000a_Hedge 60–70% of annual volume using financial instruments to protect against market swings._x000a_Establish early-season volume contracts with reliable suppliers like SHIVAGANGA and SIDDAGANGA to lock in favorable rates while retaining tactical flexibility._x000a_Invest in future-ready risk management by combining hedging, long-term contracts, and diversified sourcing to ensure resilience in an increasingly volatile commodity landscape."/>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s v="Yes"/>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29"/>
    <m/>
    <x v="1"/>
    <s v="If external geopolitical data shows elevated risk for regions representing &gt;70% of vegetable oil spend (e.g., Indonesia palm oil, Ukraine sunflower), suggest approving multiple suppliers from stable regions to hedge against geopolitical risks, share supplier names"/>
    <s v="Low"/>
    <s v="Contextualize and enrich the insights to make it 100-120 words summary explaining what you should do, with examples of reasons why. Structure this as bullet points, dont provide specific targets, and also talk about how future trends will impact this"/>
    <s v="Supplier geopolitical risk"/>
    <s v="Evaluate the supplier geopolitical risk for the identified new suppliers - _x000a_If spend allocation estimates are arrived at,  calculate the new spend based weighted avg. geopolitical risk score._x000a__x000a_Recalculate the new risk profile"/>
    <s v="High"/>
    <s v="Geopolitical risk assessment reveals moderate exposure requiring diversification strategy. Current 85%+ sourcing from India creates regional concentration risk, though India maintains stable geopolitical environment. Risk Assessment: India represents stable supply base with established trade relationships and favorable Malaysia trade agreements. However, recommend geopolitical hedging strategy: Stable Region Suppliers for Diversification: (1) Malaysia domestic suppliers: Develop local ricebran oil processors (IOI Group, Sime Darby subsidiaries) for 15-20% volume to reduce import dependency; (2) Thailand suppliers: Golden Agri-Resources, Wilmar International Thai operations for regional supply security; (3) Singapore trading hubs: Cargill, ADM Asia-Pacific for diversified sourcing and commodity hedging capabilities. Risk Mitigation Strategy: Maintain 70% India sourcing advantage while developing 30% alternative regional suppliers across stable ASEAN countries. Establish framework agreements with Wilmar International (Singapore/Malaysia), Cargill (Thailand operations), Golden Agri-Resources (regional network) as strategic alternatives. This approach maintains cost efficiency while hedging against potential India-specific disruptions, trade policy changes, or currency volatility through geographically diversified but regionally concentrated supplier strategy."/>
    <s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
    <e v="#N/A"/>
    <s v="Why: _x000a_High annual vegetable oil price volatility (15–25%) exposes procurement to significant cost unpredictability and supply risks._x000a__x000a_What: _x000a_Implement a dual approach to risk management—financial hedging and seasonal contracting—to stabilize pricing and secure volumes._x000a__x000a_How:_x000a_Hedge 60–70% of annual volume using financial instruments to protect against market swings._x000a_Establish early-season volume contracts with reliable suppliers like SHIVAGANGA and SIDDAGANGA to lock in favorable rates while retaining tactical flexibility._x000a_Invest in future-ready risk management by combining hedging, long-term contracts, and diversified sourcing to ensure resilience in an increasingly volatile commodity landscape."/>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s v="Yes"/>
    <s v="Yes"/>
    <m/>
    <m/>
    <m/>
    <m/>
    <m/>
    <m/>
    <m/>
    <m/>
    <m/>
    <s v="Yes"/>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30"/>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31"/>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32"/>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33"/>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34"/>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35"/>
    <m/>
    <x v="1"/>
    <s v="If external supplier risk data shows vegetable oil suppliers &gt;40% of category spend have financial or operational risk issues, suggest developing broader supplier strategy including financially stable alternatives and emerging market suppliers"/>
    <s v="Low"/>
    <s v="Contextualize and enrich the insights to make it 100-120 words summary explaining what you should do, with examples of reasons why. Structure this as bullet points, dont provide specific targets, and also talk about how future trends will impact this"/>
    <s v="Supplier Financial risk_x000a__x000a_Supplier Geopolitical risk"/>
    <m/>
    <m/>
    <s v="External supplier risk assessment indicates need for enhanced supplier diversification strategy. Analysis of current ricebran oil suppliers reveals varying financial stability levels: Lower Risk Suppliers: UNIVERSAL AGRO FOOD INDUSTRIES, ANSUL OVERSEAS, and SAWARIA FOOD &amp; FATS demonstrate consistent transaction patterns and established market presence indicating financial stability. Medium Risk Suppliers: Several suppliers like SAKLECHA SOLVENTEX PVT. LTD., SAI TEJA SOLVENT AND FOOD show regular business but limited scale may indicate operational constraints. Higher Risk Concerns: Smaller suppliers like PRAKRUTHI SOLVEX PRIVATE LIMITED, RAICHUR SOLVENTS LIMITED show sporadic order patterns suggesting potential financial or operational issues. Recommend developing broader supplier strategy including: (1) Financial health monitoring for top 15 suppliers; (2) Qualifying financially stable alternatives like Cargill, ADM Asia-Pacific operations; (3) Emerging market suppliers in Vietnam, Thailand for geographic diversification; (4) Establishing preferred supplier tiers with financial stability criteria to reduce supply chain risks while maintaining competitive pricing and supply security."/>
    <s v="Approach: Enrich vendor master with financial health, sanctions, ESG, and delivery performance scores; apply dual-trigger risk limits by spend and criticality. Actions: offboard any vendor below threshold; substitute with pre-qualified alternates; put CapEx-dependent suppliers under quarterly monitoring."/>
    <e v="#N/A"/>
    <s v="Why: _x000a_High annual vegetable oil price volatility (15–25%) exposes procurement to significant cost unpredictability and supply risks._x000a__x000a_What: _x000a_Implement a dual approach to risk management—financial hedging and seasonal contracting—to stabilize pricing and secure volumes._x000a__x000a_How:_x000a_Hedge 60–70% of annual volume using financial instruments to protect against market swings._x000a_Establish early-season volume contracts with reliable suppliers like SHIVAGANGA and SIDDAGANGA to lock in favorable rates while retaining tactical flexibility._x000a_Invest in future-ready risk management by combining hedging, long-term contracts, and diversified sourcing to ensure resilience in an increasingly volatile commodity landscape."/>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s v="Yes"/>
    <m/>
    <m/>
    <m/>
    <s v="Yes"/>
    <m/>
    <m/>
    <m/>
    <m/>
    <s v="Yes"/>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36"/>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37"/>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38"/>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39"/>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5"/>
    <s v="Consumer goods / products"/>
    <s v="Food &amp; beverages"/>
    <s v="Plant-based"/>
    <s v="Vegetable oils"/>
    <m/>
    <x v="0"/>
    <x v="5"/>
    <m/>
    <s v="Broader supplier strategy to determine where to focus R&amp;D. Lock part of the price (mark-up) and follow market-based pricing. Use financial instruments to hedge risks. Lock volumes early in the season._x000a_Approve multiple suppliers for specialty products to hedge against large risks."/>
    <m/>
    <s v="Risk management"/>
    <s v="Not utilized"/>
    <s v="Basic usage for high-risk categories"/>
    <s v="Regularly employed for risk management"/>
    <s v="Strategically implemented with advanced forecasting"/>
    <n v="2"/>
    <n v="2"/>
    <e v="#DIV/0!"/>
    <m/>
    <m/>
    <m/>
    <n v="0.04"/>
    <n v="0.1"/>
    <n v="0.8"/>
    <n v="7.0000000000000007E-2"/>
    <n v="8.5000000000000006E-2"/>
    <n v="2800000.0000000005"/>
    <n v="3400000.0000000005"/>
    <n v="7"/>
    <n v="0.48864540816326468"/>
    <s v="Low"/>
    <n v="5.9772908163265304E-2"/>
    <n v="9.5227091836734709E-2"/>
    <n v="2390916.3265306121"/>
    <n v="3809083.6734693884"/>
    <n v="0.02"/>
    <n v="0.05"/>
    <n v="3.5000000000000003E-2"/>
    <n v="0.16279069767441862"/>
    <n v="9.73047342192691E-3"/>
    <n v="1.5502084717607978E-2"/>
    <n v="455813.95348837221"/>
    <n v="553488.37209302338"/>
    <n v="41"/>
    <n v="3.3914285714285719"/>
    <s v="Low"/>
    <x v="40"/>
    <m/>
    <x v="1"/>
    <m/>
    <s v=""/>
    <m/>
    <m/>
    <m/>
    <m/>
    <m/>
    <e v="#N/A"/>
    <e v="#N/A"/>
    <m/>
    <m/>
    <s v="What insights did I find?_x000a_High annual vegetable oil price volatility (15-25%) exposes procurement to significant cost unpredictability and supply risks. Current risk management approaches may not adequately protect against market swings or secure favorable pricing for volume requirements._x000a__x000a_Why is there a savings opportunity?_x000a_Implementing financial hedging and seasonal contracting can stabilize pricing and secure volumes, reducing exposure to market volatility while maintaining operational flexibility. This dual approach provides both risk mitigation and cost optimization benefits._x000a__x000a_What should you do next?_x000a_Hedge 60-70% of annual volume using financial instruments to protect against market swings. Establish early-season volume contracts with reliable suppliers like SHIVAGANGA and SIDDAGANGA to lock favorable rates. Combine hedging, long-term contracts, and diversified sourcing for comprehensive risk management._x000a__x000a_Potential risks involved_x000a_Hedging cost risk requires significant premium payments that could offset savings. Counterparty risk exists with financial institutions that could fail during market stress. Basis risk may occur where hedge gains don't fully offset procurement cost increases, reducing overall predictability."/>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0"/>
    <s v="If a small number of countries/regions (e.g., 3 countries) contribute to a very high percentage of total spend (e.g., &gt;80%), then these are the primary regions for initial procurement focus, indicating high addressability there. Conversely, highly fragmented global spend suggests lower immediate global addressability"/>
    <x v="0"/>
    <s v="If vegetable oil spend shows &gt;80% concentration in 2 regions while external cost data reveals global arbitrage opportunities &gt;30% (Malaysian palm vs. European rapeseed), suggest switching origins to adjust to market dynamics and capture cost advantages through globalization"/>
    <s v="Low"/>
    <s v="Contextualize and enrich the insights to make it 100-120 words summary explaining what you should do, with examples of reasons why. Structure this as bullet points, dont provide specific targets, and also talk about how future trends will impact this"/>
    <s v="Supplier concentration risk"/>
    <s v="Given the recommended additional supplierto reduce concentrations, reevaluate the degree of concentration risk with the recommended count of suppliers for the top 80% spend._x000a__x000a_Recalculate the new risk profile"/>
    <s v="Medium"/>
    <s v="Extreme regional concentration presents exceptional portfolio simplification opportunities. Analysis reveals 100% of vegetable oil spend concentrated in Malaysia across 3 plants (PH06, PH1A, SHJ2), with all suppliers originating from India. This geographic concentration enables: (1) Single-country sourcing strategy focused on Indian ricebran oil processors; (2) Regional supply agreements leveraging Malaysia's strategic position as vegetable oil import hub; (3) Simplified regulatory compliance with consistent India-to-Malaysia trade protocols; (4) Consolidated logistics through established Indian Ocean shipping routes. Portfolio simplification opportunities: (1) Bundle volumes across all 3 Malaysian plants to negotiate unified regional supply agreements; (2) Focus supplier development on 10-15 strategic Indian ricebran oil processors rather than current 50+ fragmented base; (3) Standardize specifications across plants to enable interchangeable supply. This regional concentration allows for aggressive portfolio simplification achieving 8-12% cost reduction through economies of scale with local crushing facilities and streamlined supply chain operations."/>
    <s v="Insights: Spend is concentrated across plants — Malaysia 81.4%, India 7.1%, Australia 7.1%, Indonesia 4.5%. Actions: Bundle cross-plant demand windows and align delivery INCOTERMS to exploit backhauls and supplier MOQ breaks."/>
    <s v="â€¢ **Explore Southeast Asian sourcing diversification**: Current India-centric sourcing (&gt;90% spend) presents opportunities to leverage cost advantages from Malaysian palm oil processors and Indonesian suppliers for competitive pricing and supply flexibility._x000a_â€¢ **Implement origin switching strategy**: Seasonal price variations between regions create arbitrage opportunities - develop capabilities to shift sourcing origins based on market dynamics while maintaining quality standards and supply continuity._x000a_â€¢ **Future global sourcing optimization**: Industry trend toward dynamic, cost-optimized global sourcing networks will favor organizations with flexible origin switching capabilities, making current geographic diversification essential for competitive advantage in evolving commodity markets."/>
    <s v="Why: _x000a_Heavy reliance on India (&gt;90% of spend) limits sourcing flexibility and misses cost-saving opportunities available in other Southeast Asian markets._x000a__x000a_What: _x000a_Diversify sourcing by exploring competitive suppliers in Malaysia and Indonesia to capture pricing advantages and enhance supply resilience._x000a__x000a_How:_x000a_Implement an origin-switching strategy to capitalize on seasonal price differences while ensuring consistent quality and supply reliability._x000a_Build internal capabilities to evaluate and shift sourcing based on real-time market trends._x000a_Future-proof procurement by developing a dynamic, globally optimized sourcing network—positioning the organization to respond to commodity market volatility and unlock strategic cost advantages."/>
    <s v="**Supply Chain Establishment Risk**: Shifting from India-centric sourcing (&gt;90% spend) to Malaysian and Indonesian suppliers requires substantial supply chain infrastructure investments that may not generate immediate cost savings. **Quality Consistency Risk**: New origin suppliers may have different quality standards or processing capabilities, potentially requiring premium pricing or quality assurance investments that offset cost advantages. **Cultural and Operational Risk**: Working with Southeast Asian suppliers introduces operational complexity, currency risks, and cultural differences that could increase transaction costs and reduce the net benefit of origin cost advantages."/>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s v="Yes"/>
    <m/>
    <m/>
    <m/>
    <m/>
    <s v="Yes"/>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1"/>
    <s v="If a high-spend category (e.g., top 10% of total spend categories) or a critical category is supplied by only one unique supplier, then the client faces elevated supply chain and operational risk due to dependency"/>
    <x v="0"/>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2"/>
    <s v="If a small number of suppliers (e.g., top 5-7%) account for a disproportionately large percentage of total spend (e.g., &gt;70-90%), then the overall organization has a high supplier concentration risk, potentially limiting leverage and increasing exposure to a few vendor's issues"/>
    <x v="0"/>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3"/>
    <s v="If the lowest 10-20% of total spend (by value) is distributed across more than 70-80% of the total unique suppliers, then significant opportunity exists for both administrative cost reduction (managing fewer vendors) and price savings through consolidation"/>
    <x v="0"/>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4"/>
    <s v="If a single commodity or category (e.g., IT Software Licenses, Packaging) has its spend distributed across a high number of unique suppliers (e.g., &gt;10) that do not represent unique functionalities or specialized needs, then significant opportunities for volume consolidation and negotiation exist"/>
    <x v="0"/>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5"/>
    <s v="If significant spend for common goods/services occurs with suppliers located in high-cost regions, when similar quality suppliers exist in lower-cost regions (requires external data on regional cost indices), then a sourcing shift could yield savings due to reduced transportation and tarriffs"/>
    <x v="0"/>
    <s v="Check the top source and destination regions - for the top destinations (by spend), highlight the amount of spend that could be moved from high cost to low cost countries. For each destination, prioritize incumbent low cost regions."/>
    <s v="Low"/>
    <s v="Contextualize and enrich the insights to make it 100-120 words summary explaining what you should do, with examples of reasons why. Structure this as bullet points, dont provide specific targets, and also talk about how future trends will impact this"/>
    <s v="Price volatility risk"/>
    <s v="For the low cost regions / geographies / countries identified for this initiative, reevaluate the price volatility risk based on country-specific volume/spend allocation suggestions_x000a__x000a_Reclculate the new risk profile"/>
    <s v="Low"/>
    <m/>
    <s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
    <e v="#N/A"/>
    <s v="Why: _x000a_Heavy reliance on India (&gt;90% of spend) limits sourcing flexibility and misses cost-saving opportunities available in other Southeast Asian markets._x000a__x000a_What: _x000a_Diversify sourcing by exploring competitive suppliers in Malaysia and Indonesia to capture pricing advantages and enhance supply resilience._x000a__x000a_How:_x000a_Implement an origin-switching strategy to capitalize on seasonal price differences while ensuring consistent quality and supply reliability._x000a_Build internal capabilities to evaluate and shift sourcing based on real-time market trends._x000a_Future-proof procurement by developing a dynamic, globally optimized sourcing network—positioning the organization to respond to commodity market volatility and unlock strategic cost advantages."/>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s v="Yes"/>
    <m/>
    <m/>
    <m/>
    <s v="Yes"/>
    <m/>
    <m/>
    <m/>
    <m/>
    <m/>
    <m/>
    <s v="Yes"/>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6"/>
    <s v="If the same SKU, part number, or highly similar service description is purchased from different suppliers or at different times at widely varying unit prices (e.g., &gt;15% variance) in the time frame, then there's an immediate, quantifiable savings opportunity through price standardization"/>
    <x v="0"/>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7"/>
    <s v="If a high percentage of invoices lack an associated PO in the spend data, or if the average invoice value is significantly lower than the average PO value, then transactional control is weak, leading to potential &quot;no PO, no pay&quot; policy violations and higher processing costs"/>
    <x v="0"/>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8"/>
    <s v="If the average spend per active supplier (total spend / total unique suppliers) is significantly lower than industry benchmarks or internal targets, especially when revenue is stagnant or declining, it could indicate excessive supplier fragmentation for the current business scale, driving administrative inefficiency"/>
    <x v="0"/>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9"/>
    <s v="If the cost of direct materials for a high-volume, low-margin product category shows significant volatility or consistent increases in spend data, while its revenue remains stable or declines, then it's directly eroding product profitability, requiring urgent procurement intervention"/>
    <x v="0"/>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10"/>
    <s v="Category spend/revenue vs benchmakrs"/>
    <x v="0"/>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11"/>
    <s v="Check client's top suppliers with  the industry top suppliers (from benchmark database)"/>
    <x v="0"/>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12"/>
    <s v="Insights on the category market size (projections for next 5 years for the geography)"/>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13"/>
    <s v="Insights on the category market size (expected growth projections for next 5 years for the geography)"/>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14"/>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15"/>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16"/>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17"/>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18"/>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19"/>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20"/>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21"/>
    <m/>
    <x v="1"/>
    <s v="Use export data to identify top exporter-importer region / geography combinations, call these out and position this as a market view on sourcing geography trends._x000a_Additionally, identify the top export suppliers for the supply regions "/>
    <s v="Low"/>
    <s v="Contextualize and enrich the insights to make it 100-120 words summary explaining what you should do, with examples of reasons why. Structure this as bullet points, dont provide specific targets, and also talk about how future trends will impact this"/>
    <m/>
    <m/>
    <m/>
    <m/>
    <s v="Market view: Top rice bran oil exporters include India, Bangladesh, and Thailand; sunflower oil exports are dominated by Ukraine/Russia, with Turkey also significant. For client’s Asia-focused plants, preferred exporter origins: India/Thailand (RBO) and Ukraine/Russia/Turkey (sunflower). Actions: pre-qualify 3–5 non-incumbent suppliers per origin; pilot spot buys to benchmark incumbents. [Sources: Volza; Reuters]"/>
    <e v="#N/A"/>
    <s v="Why: _x000a_Heavy reliance on India (&gt;90% of spend) limits sourcing flexibility and misses cost-saving opportunities available in other Southeast Asian markets._x000a__x000a_What: _x000a_Diversify sourcing by exploring competitive suppliers in Malaysia and Indonesia to capture pricing advantages and enhance supply resilience._x000a__x000a_How:_x000a_Implement an origin-switching strategy to capitalize on seasonal price differences while ensuring consistent quality and supply reliability._x000a_Build internal capabilities to evaluate and shift sourcing based on real-time market trends._x000a_Future-proof procurement by developing a dynamic, globally optimized sourcing network—positioning the organization to respond to commodity market volatility and unlock strategic cost advantages."/>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s v="Yes"/>
    <m/>
    <m/>
    <m/>
    <m/>
    <m/>
    <m/>
    <m/>
    <m/>
    <m/>
    <m/>
    <s v="Yes"/>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22"/>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23"/>
    <m/>
    <x v="1"/>
    <s v="If external tariff data shows vegetable oil imports face duties from current origins while free trade alternatives exist, switch origins through globalization to optimize duty structures and capture cost advantages"/>
    <s v="Low"/>
    <s v="Contextualize and enrich the insights to make it 100-120 words summary explaining what you should do, with examples of reasons why. Structure this as bullet points, dont provide specific targets, and also talk about how future trends will impact this"/>
    <s v="Price volatility risk"/>
    <s v="For the key supply regions, apply the projected trariff impact/change to current prices._x000a_Recalculate the new risk profile"/>
    <s v="Low"/>
    <m/>
    <s v="Tariff sensitivity: Landed cost for imported veg oils can swing materially with duty/cess changes. Actions: monitor HS 1512/1515 lines for target lanes (Malaysia/India); design pass-through clauses and buffer stock. Where duty arbitrage exists, explore tolling or third-country transshipment in compliance with rules of origin."/>
    <e v="#N/A"/>
    <s v="Why: _x000a_Heavy reliance on India (&gt;90% of spend) limits sourcing flexibility and misses cost-saving opportunities available in other Southeast Asian markets._x000a__x000a_What: _x000a_Diversify sourcing by exploring competitive suppliers in Malaysia and Indonesia to capture pricing advantages and enhance supply resilience._x000a__x000a_How:_x000a_Implement an origin-switching strategy to capitalize on seasonal price differences while ensuring consistent quality and supply reliability._x000a_Build internal capabilities to evaluate and shift sourcing based on real-time market trends._x000a_Future-proof procurement by developing a dynamic, globally optimized sourcing network—positioning the organization to respond to commodity market volatility and unlock strategic cost advantages."/>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s v="Yes"/>
    <m/>
    <m/>
    <s v="Yes"/>
    <m/>
    <m/>
    <m/>
    <m/>
    <m/>
    <m/>
    <m/>
    <s v="Yes"/>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24"/>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25"/>
    <m/>
    <x v="1"/>
    <s v="Callout examples of how cost structures vary across the identified low cost regions from client data - also enrich this with 1-2 pointers on each of the cost drivers and their price trends "/>
    <s v="Low"/>
    <s v="Contextualize and enrich the insights to make it 100-120 words summary explaining what you should do, with examples of reasons why. Structure this as bullet points, dont provide specific targets, and also talk about how future trends will impact this"/>
    <s v="Price volatility risk"/>
    <s v="Given the recommended additional supplier geographies / low cost regions, look at the cost structures of these regions and evaluate the likely inflation / volatility across the cost drivers._x000a__x000a_Recalculate the new risk profile"/>
    <s v="Low"/>
    <m/>
    <s v="Indicative cost stack (veg oils proxy): Direct Materials or Services: 55%; Net Margin: 10%; Energy &amp; Utilities: 3%; Depreciation: 3%; Labor: 3%. Actions: Tie price formula to feedstock index + FX; negotiate energy/freight passthrough floors/ceilings to avoid overpayment when input costs soften."/>
    <e v="#N/A"/>
    <s v="Why: _x000a_Heavy reliance on India (&gt;90% of spend) limits sourcing flexibility and misses cost-saving opportunities available in other Southeast Asian markets._x000a__x000a_What: _x000a_Diversify sourcing by exploring competitive suppliers in Malaysia and Indonesia to capture pricing advantages and enhance supply resilience._x000a__x000a_How:_x000a_Implement an origin-switching strategy to capitalize on seasonal price differences while ensuring consistent quality and supply reliability._x000a_Build internal capabilities to evaluate and shift sourcing based on real-time market trends._x000a_Future-proof procurement by developing a dynamic, globally optimized sourcing network—positioning the organization to respond to commodity market volatility and unlock strategic cost advantages."/>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s v="Yes"/>
    <m/>
    <m/>
    <s v="Yes"/>
    <m/>
    <m/>
    <m/>
    <m/>
    <m/>
    <m/>
    <m/>
    <s v="Yes"/>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26"/>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27"/>
    <m/>
    <x v="1"/>
    <s v="Factor-in region / geography specific inflation trends in context of cost structure / cost drivers"/>
    <s v="Low"/>
    <s v="Contextualize and enrich the insights to make it 100-120 words summary explaining what you should do, with examples of reasons why. Structure this as bullet points, dont provide specific targets, and also talk about how future trends will impact this"/>
    <s v="Price volatility risk"/>
    <s v="Given the recommended additional supplier geographies / low cost regions, look at the cost structures of these regions and evaluate the likely inflation / volatility across the cost drivers._x000a__x000a_Recalculate the new risk profile"/>
    <s v="Low"/>
    <m/>
    <s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
    <e v="#N/A"/>
    <s v="Why: _x000a_Heavy reliance on India (&gt;90% of spend) limits sourcing flexibility and misses cost-saving opportunities available in other Southeast Asian markets._x000a__x000a_What: _x000a_Diversify sourcing by exploring competitive suppliers in Malaysia and Indonesia to capture pricing advantages and enhance supply resilience._x000a__x000a_How:_x000a_Implement an origin-switching strategy to capitalize on seasonal price differences while ensuring consistent quality and supply reliability._x000a_Build internal capabilities to evaluate and shift sourcing based on real-time market trends._x000a_Future-proof procurement by developing a dynamic, globally optimized sourcing network—positioning the organization to respond to commodity market volatility and unlock strategic cost advantages."/>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s v="Yes"/>
    <m/>
    <m/>
    <s v="Yes"/>
    <m/>
    <m/>
    <m/>
    <m/>
    <m/>
    <m/>
    <m/>
    <s v="Yes"/>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28"/>
    <m/>
    <x v="1"/>
    <s v="Factor-in exchange rate trends while talking about cost drivers / cost benefits across the identified low cost countries"/>
    <s v="Low"/>
    <s v="Contextualize and enrich the insights to make it 100-120 words summary explaining what you should do, with examples of reasons why. Structure this as bullet points, dont provide specific targets, and also talk about how future trends will impact this"/>
    <s v="Price volatility risk"/>
    <s v="Given the recommended additional supplier geographies / low cost regions, look at the cost structures of these regions and evaluate the likely inflation / volatility across the cost drivers._x000a__x000a_Recalculate the new risk profile"/>
    <s v="Low"/>
    <m/>
    <s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
    <e v="#N/A"/>
    <s v="Why: _x000a_Heavy reliance on India (&gt;90% of spend) limits sourcing flexibility and misses cost-saving opportunities available in other Southeast Asian markets._x000a__x000a_What: _x000a_Diversify sourcing by exploring competitive suppliers in Malaysia and Indonesia to capture pricing advantages and enhance supply resilience._x000a__x000a_How:_x000a_Implement an origin-switching strategy to capitalize on seasonal price differences while ensuring consistent quality and supply reliability._x000a_Build internal capabilities to evaluate and shift sourcing based on real-time market trends._x000a_Future-proof procurement by developing a dynamic, globally optimized sourcing network—positioning the organization to respond to commodity market volatility and unlock strategic cost advantages."/>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s v="Yes"/>
    <m/>
    <m/>
    <s v="Yes"/>
    <m/>
    <m/>
    <m/>
    <m/>
    <m/>
    <m/>
    <m/>
    <s v="Yes"/>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29"/>
    <m/>
    <x v="1"/>
    <s v="For identified low cost countries (incumbents + additional ones from market/export data), highlight the country/region specific geopolitical risks"/>
    <s v="Low"/>
    <s v="Contextualize and enrich the insights to make it 100-120 words summary explaining what you should do, with examples of reasons why. Structure this as bullet points, dont provide specific targets, and also talk about how future trends will impact this"/>
    <s v="Supplier geopolitical risk"/>
    <s v="Evaluate the supplier geopolitical risk for the identified new suppliers - _x000a_If spend allocation estimates are arrived at,  calculate the new spend based weighted avg. geopolitical risk score._x000a__x000a_Recalculate the new risk profile"/>
    <s v="High"/>
    <m/>
    <s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
    <e v="#N/A"/>
    <s v="Why: _x000a_Heavy reliance on India (&gt;90% of spend) limits sourcing flexibility and misses cost-saving opportunities available in other Southeast Asian markets._x000a__x000a_What: _x000a_Diversify sourcing by exploring competitive suppliers in Malaysia and Indonesia to capture pricing advantages and enhance supply resilience._x000a__x000a_How:_x000a_Implement an origin-switching strategy to capitalize on seasonal price differences while ensuring consistent quality and supply reliability._x000a_Build internal capabilities to evaluate and shift sourcing based on real-time market trends._x000a_Future-proof procurement by developing a dynamic, globally optimized sourcing network—positioning the organization to respond to commodity market volatility and unlock strategic cost advantages."/>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s v="Yes"/>
    <m/>
    <m/>
    <m/>
    <m/>
    <m/>
    <m/>
    <m/>
    <m/>
    <m/>
    <m/>
    <s v="Yes"/>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30"/>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31"/>
    <m/>
    <x v="1"/>
    <s v="If available, augment the cost driver view with region-specific unit price trends"/>
    <s v="Low"/>
    <s v="Contextualize and enrich the insights to make it 100-120 words summary explaining what you should do, with examples of reasons why. Structure this as bullet points, dont provide specific targets, and also talk about how future trends will impact this"/>
    <s v="Price volatility risk"/>
    <s v="For the key supply regions, check the forecasted price / index trends for this category's cost drivers. _x000a__x000a_Recalculate the new risk profile"/>
    <s v="Low"/>
    <m/>
    <s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Actions: Implement should-cost guardrails using price-per-kg corridors by material and vendor tiers; route exceptions to sourcing board."/>
    <e v="#N/A"/>
    <s v="Why: _x000a_Heavy reliance on India (&gt;90% of spend) limits sourcing flexibility and misses cost-saving opportunities available in other Southeast Asian markets._x000a__x000a_What: _x000a_Diversify sourcing by exploring competitive suppliers in Malaysia and Indonesia to capture pricing advantages and enhance supply resilience._x000a__x000a_How:_x000a_Implement an origin-switching strategy to capitalize on seasonal price differences while ensuring consistent quality and supply reliability._x000a_Build internal capabilities to evaluate and shift sourcing based on real-time market trends._x000a_Future-proof procurement by developing a dynamic, globally optimized sourcing network—positioning the organization to respond to commodity market volatility and unlock strategic cost advantages."/>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s v="Yes"/>
    <m/>
    <m/>
    <s v="Yes"/>
    <m/>
    <m/>
    <m/>
    <m/>
    <m/>
    <m/>
    <m/>
    <s v="Yes"/>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32"/>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33"/>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34"/>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35"/>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36"/>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37"/>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38"/>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39"/>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r>
    <x v="6"/>
    <s v="Consumer goods / products"/>
    <s v="Food &amp; beverages"/>
    <s v="Plant-based"/>
    <s v="Vegetable oils"/>
    <m/>
    <x v="0"/>
    <x v="6"/>
    <m/>
    <s v="Switch origins to adjust to market dynamics and cost advantages."/>
    <m/>
    <s v="Globalization"/>
    <s v="Not considered"/>
    <s v="Limited exploration of alternative origins"/>
    <s v="Regularly sourcing from diverse origins"/>
    <s v="Fully optimized global sourcing with risk mitigation plans"/>
    <n v="1"/>
    <n v="2"/>
    <e v="#DIV/0!"/>
    <m/>
    <m/>
    <m/>
    <n v="0.04"/>
    <n v="0.1"/>
    <n v="0.8"/>
    <n v="7.0000000000000007E-2"/>
    <n v="8.5000000000000006E-2"/>
    <n v="2800000.0000000005"/>
    <n v="3400000.0000000005"/>
    <n v="7"/>
    <n v="0.48864540816326468"/>
    <s v="Low"/>
    <n v="5.9772908163265304E-2"/>
    <n v="9.5227091836734709E-2"/>
    <n v="2390916.3265306121"/>
    <n v="3809083.6734693884"/>
    <n v="0.02"/>
    <n v="0.03"/>
    <n v="2.75E-2"/>
    <n v="0.12790697674418605"/>
    <n v="7.6453719743711434E-3"/>
    <n v="1.2180209420977696E-2"/>
    <n v="358139.53488372103"/>
    <n v="434883.72093023261"/>
    <n v="41"/>
    <n v="2.5"/>
    <s v="Low"/>
    <x v="40"/>
    <m/>
    <x v="1"/>
    <m/>
    <s v=""/>
    <m/>
    <m/>
    <m/>
    <m/>
    <m/>
    <e v="#N/A"/>
    <e v="#N/A"/>
    <m/>
    <m/>
    <s v="What insights did I find?_x000a_Heavy reliance on India (&gt;90% of spend) limits sourcing flexibility and misses cost-saving opportunities available in other Southeast Asian markets. This concentration reduces ability to capitalize on seasonal price differences and regional competitive advantages._x000a__x000a_Why is there a savings opportunity?_x000a_Diversifying sourcing origins to include competitive suppliers in Malaysia and Indonesia can capture pricing advantages and enhance supply resilience. Origin-switching strategies can capitalize on market dynamics and seasonal pricing patterns while maintaining quality standards._x000a__x000a_What should you do next?_x000a_Implement an origin-switching strategy to capitalize on seasonal price differences while ensuring quality and reliability. Build internal capabilities to evaluate and shift sourcing based on real-time market trends. Develop a dynamic, globally optimized sourcing network._x000a__x000a_Potential risks involved_x000a_Supply chain establishment risk exists as shifting from India-centric sourcing requires substantial infrastructure investments. Quality consistency risk may arise from different processing standards, and cultural/operational complexity could increase transaction costs and reduce net benefits."/>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B0E5A0-7185-4868-8B22-F88AAD8015D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35" firstHeaderRow="1" firstDataRow="1" firstDataCol="1" rowPageCount="1" colPageCount="1"/>
  <pivotFields count="20">
    <pivotField showAll="0"/>
    <pivotField showAll="0"/>
    <pivotField showAll="0"/>
    <pivotField axis="axisPage" showAll="0">
      <items count="2">
        <item x="0"/>
        <item t="default"/>
      </items>
    </pivotField>
    <pivotField showAll="0">
      <items count="2">
        <item x="0"/>
        <item t="default"/>
      </items>
    </pivotField>
    <pivotField axis="axisRow" showAll="0">
      <items count="3">
        <item x="1"/>
        <item x="0"/>
        <item t="default"/>
      </items>
    </pivotField>
    <pivotField axis="axisRow" showAll="0">
      <items count="20">
        <item x="0"/>
        <item x="16"/>
        <item x="1"/>
        <item x="12"/>
        <item x="6"/>
        <item x="5"/>
        <item x="14"/>
        <item x="4"/>
        <item x="11"/>
        <item x="13"/>
        <item x="17"/>
        <item x="7"/>
        <item x="10"/>
        <item x="18"/>
        <item x="2"/>
        <item x="3"/>
        <item x="15"/>
        <item x="8"/>
        <item x="9"/>
        <item t="default"/>
      </items>
    </pivotField>
    <pivotField showAll="0"/>
    <pivotField showAll="0"/>
    <pivotField showAll="0"/>
    <pivotField showAll="0"/>
    <pivotField showAll="0"/>
    <pivotField showAll="0"/>
    <pivotField showAll="0"/>
    <pivotField showAll="0">
      <items count="13">
        <item x="9"/>
        <item x="0"/>
        <item x="3"/>
        <item x="2"/>
        <item x="11"/>
        <item x="1"/>
        <item x="4"/>
        <item x="6"/>
        <item x="10"/>
        <item x="5"/>
        <item x="8"/>
        <item x="7"/>
        <item t="default"/>
      </items>
    </pivotField>
    <pivotField showAll="0"/>
    <pivotField axis="axisRow" showAll="0">
      <items count="10">
        <item x="5"/>
        <item x="4"/>
        <item x="3"/>
        <item x="0"/>
        <item x="6"/>
        <item x="1"/>
        <item x="8"/>
        <item x="2"/>
        <item x="7"/>
        <item t="default"/>
      </items>
    </pivotField>
    <pivotField showAll="0"/>
    <pivotField showAll="0"/>
    <pivotField showAll="0"/>
  </pivotFields>
  <rowFields count="3">
    <field x="5"/>
    <field x="16"/>
    <field x="6"/>
  </rowFields>
  <rowItems count="32">
    <i>
      <x/>
    </i>
    <i r="1">
      <x v="2"/>
    </i>
    <i r="2">
      <x v="11"/>
    </i>
    <i r="2">
      <x v="12"/>
    </i>
    <i r="2">
      <x v="17"/>
    </i>
    <i r="2">
      <x v="18"/>
    </i>
    <i>
      <x v="1"/>
    </i>
    <i r="1">
      <x/>
    </i>
    <i r="2">
      <x v="8"/>
    </i>
    <i r="1">
      <x v="1"/>
    </i>
    <i r="2">
      <x v="5"/>
    </i>
    <i r="1">
      <x v="2"/>
    </i>
    <i r="2">
      <x v="4"/>
    </i>
    <i r="2">
      <x v="6"/>
    </i>
    <i r="2">
      <x v="7"/>
    </i>
    <i r="2">
      <x v="13"/>
    </i>
    <i r="2">
      <x v="16"/>
    </i>
    <i r="1">
      <x v="3"/>
    </i>
    <i r="2">
      <x/>
    </i>
    <i r="2">
      <x v="2"/>
    </i>
    <i r="2">
      <x v="9"/>
    </i>
    <i r="1">
      <x v="4"/>
    </i>
    <i r="2">
      <x v="3"/>
    </i>
    <i r="1">
      <x v="5"/>
    </i>
    <i r="2">
      <x v="14"/>
    </i>
    <i r="1">
      <x v="6"/>
    </i>
    <i r="2">
      <x v="10"/>
    </i>
    <i r="1">
      <x v="7"/>
    </i>
    <i r="2">
      <x v="15"/>
    </i>
    <i r="1">
      <x v="8"/>
    </i>
    <i r="2">
      <x v="1"/>
    </i>
    <i t="grand">
      <x/>
    </i>
  </rowItems>
  <colItems count="1">
    <i/>
  </colItems>
  <pageFields count="1">
    <pageField fld="3"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EA3B40-8194-4762-811D-B83DD15B5114}"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Q46" firstHeaderRow="1" firstDataRow="3" firstDataCol="2"/>
  <pivotFields count="74">
    <pivotField axis="axisCol" compact="0" outline="0" showAll="0" defaultSubtotal="0">
      <items count="7">
        <item x="0"/>
        <item x="1"/>
        <item x="2"/>
        <item x="3"/>
        <item x="4"/>
        <item x="5"/>
        <item x="6"/>
      </items>
    </pivotField>
    <pivotField compact="0" outline="0" showAll="0"/>
    <pivotField compact="0" outline="0" showAll="0"/>
    <pivotField compact="0" outline="0" showAll="0"/>
    <pivotField compact="0" outline="0" showAll="0"/>
    <pivotField compact="0" outline="0" showAll="0"/>
    <pivotField compact="0" outline="0" showAll="0">
      <items count="2">
        <item x="0"/>
        <item t="default"/>
      </items>
    </pivotField>
    <pivotField axis="axisCol" compact="0" outline="0" showAll="0">
      <items count="8">
        <item x="5"/>
        <item x="3"/>
        <item x="2"/>
        <item x="6"/>
        <item x="4"/>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compact="0" outline="0" showAll="0"/>
    <pivotField compact="0" outline="0" showAll="0"/>
    <pivotField compact="0" outline="0" showAll="0"/>
    <pivotField compact="0" numFmtId="9" outline="0" showAll="0"/>
    <pivotField compact="0" numFmtId="9" outline="0" showAll="0"/>
    <pivotField compact="0" numFmtId="9" outline="0" showAll="0"/>
    <pivotField compact="0" numFmtId="165" outline="0" showAll="0"/>
    <pivotField compact="0" numFmtId="165" outline="0" showAll="0"/>
    <pivotField compact="0" numFmtId="166" outline="0" showAll="0"/>
    <pivotField compact="0" numFmtId="166" outline="0" showAll="0"/>
    <pivotField compact="0" numFmtId="1" outline="0" showAll="0"/>
    <pivotField compact="0" numFmtId="10" outline="0" showAll="0"/>
    <pivotField compact="0" outline="0" showAll="0"/>
    <pivotField compact="0" numFmtId="10" outline="0" showAll="0"/>
    <pivotField compact="0" numFmtId="10" outline="0" showAll="0"/>
    <pivotField compact="0" numFmtId="166" outline="0" showAll="0"/>
    <pivotField compact="0" numFmtId="166" outline="0" showAll="0"/>
    <pivotField compact="0" numFmtId="9" outline="0" showAll="0"/>
    <pivotField compact="0" numFmtId="9" outline="0" showAll="0"/>
    <pivotField compact="0" numFmtId="2" outline="0" showAll="0"/>
    <pivotField compact="0" numFmtId="165" outline="0" showAll="0"/>
    <pivotField compact="0" numFmtId="10" outline="0" showAll="0"/>
    <pivotField compact="0" numFmtId="10" outline="0" showAll="0"/>
    <pivotField compact="0" numFmtId="166" outline="0" showAll="0"/>
    <pivotField compact="0" numFmtId="166" outline="0" showAll="0"/>
    <pivotField compact="0" numFmtId="1" outline="0" showAll="0"/>
    <pivotField compact="0" numFmtId="2" outline="0" showAll="0"/>
    <pivotField compact="0" outline="0" showAll="0"/>
    <pivotField axis="axisRow" compact="0" outline="0" showAll="0" defaultSubtotal="0">
      <items count="41">
        <item x="36"/>
        <item x="40"/>
        <item x="8"/>
        <item x="17"/>
        <item x="10"/>
        <item x="16"/>
        <item x="37"/>
        <item x="25"/>
        <item x="39"/>
        <item x="28"/>
        <item x="21"/>
        <item x="26"/>
        <item x="29"/>
        <item x="5"/>
        <item x="22"/>
        <item x="27"/>
        <item x="7"/>
        <item x="15"/>
        <item x="13"/>
        <item x="14"/>
        <item x="12"/>
        <item x="19"/>
        <item x="20"/>
        <item x="18"/>
        <item x="11"/>
        <item x="24"/>
        <item x="6"/>
        <item x="30"/>
        <item x="0"/>
        <item x="1"/>
        <item x="38"/>
        <item x="9"/>
        <item x="2"/>
        <item x="33"/>
        <item x="34"/>
        <item x="32"/>
        <item x="35"/>
        <item x="3"/>
        <item x="23"/>
        <item x="31"/>
        <item x="4"/>
      </items>
    </pivotField>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47"/>
    <field x="49"/>
  </rowFields>
  <rowItems count="42">
    <i>
      <x/>
      <x v="1"/>
    </i>
    <i>
      <x v="1"/>
      <x v="1"/>
    </i>
    <i>
      <x v="2"/>
      <x/>
    </i>
    <i>
      <x v="3"/>
      <x v="1"/>
    </i>
    <i>
      <x v="4"/>
      <x/>
    </i>
    <i>
      <x v="5"/>
      <x v="1"/>
    </i>
    <i>
      <x v="6"/>
      <x v="1"/>
    </i>
    <i>
      <x v="7"/>
      <x v="1"/>
    </i>
    <i>
      <x v="8"/>
      <x v="1"/>
    </i>
    <i>
      <x v="9"/>
      <x v="1"/>
    </i>
    <i>
      <x v="10"/>
      <x v="1"/>
    </i>
    <i>
      <x v="11"/>
      <x v="1"/>
    </i>
    <i>
      <x v="12"/>
      <x v="1"/>
    </i>
    <i>
      <x v="13"/>
      <x/>
    </i>
    <i>
      <x v="14"/>
      <x v="1"/>
    </i>
    <i>
      <x v="15"/>
      <x v="1"/>
    </i>
    <i>
      <x v="16"/>
      <x/>
    </i>
    <i>
      <x v="17"/>
      <x v="1"/>
    </i>
    <i>
      <x v="18"/>
      <x v="1"/>
    </i>
    <i>
      <x v="19"/>
      <x v="1"/>
    </i>
    <i>
      <x v="20"/>
      <x v="1"/>
    </i>
    <i>
      <x v="21"/>
      <x v="1"/>
    </i>
    <i>
      <x v="22"/>
      <x v="1"/>
    </i>
    <i>
      <x v="23"/>
      <x v="1"/>
    </i>
    <i>
      <x v="24"/>
      <x/>
    </i>
    <i>
      <x v="25"/>
      <x v="1"/>
    </i>
    <i>
      <x v="26"/>
      <x/>
    </i>
    <i>
      <x v="27"/>
      <x v="1"/>
    </i>
    <i>
      <x v="28"/>
      <x/>
    </i>
    <i>
      <x v="29"/>
      <x/>
    </i>
    <i>
      <x v="30"/>
      <x v="1"/>
    </i>
    <i>
      <x v="31"/>
      <x/>
    </i>
    <i>
      <x v="32"/>
      <x/>
    </i>
    <i>
      <x v="33"/>
      <x v="1"/>
    </i>
    <i>
      <x v="34"/>
      <x v="1"/>
    </i>
    <i>
      <x v="35"/>
      <x v="1"/>
    </i>
    <i>
      <x v="36"/>
      <x v="1"/>
    </i>
    <i>
      <x v="37"/>
      <x/>
    </i>
    <i>
      <x v="38"/>
      <x v="1"/>
    </i>
    <i>
      <x v="39"/>
      <x v="1"/>
    </i>
    <i>
      <x v="40"/>
      <x/>
    </i>
    <i t="grand">
      <x/>
    </i>
  </rowItems>
  <colFields count="2">
    <field x="7"/>
    <field x="0"/>
  </colFields>
  <colItems count="15">
    <i>
      <x/>
      <x v="5"/>
    </i>
    <i t="default">
      <x/>
    </i>
    <i>
      <x v="1"/>
      <x v="3"/>
    </i>
    <i t="default">
      <x v="1"/>
    </i>
    <i>
      <x v="2"/>
      <x v="2"/>
    </i>
    <i t="default">
      <x v="2"/>
    </i>
    <i>
      <x v="3"/>
      <x v="6"/>
    </i>
    <i t="default">
      <x v="3"/>
    </i>
    <i>
      <x v="4"/>
      <x v="4"/>
    </i>
    <i t="default">
      <x v="4"/>
    </i>
    <i>
      <x v="5"/>
      <x v="1"/>
    </i>
    <i t="default">
      <x v="5"/>
    </i>
    <i>
      <x v="6"/>
      <x/>
    </i>
    <i t="default">
      <x v="6"/>
    </i>
    <i t="grand">
      <x/>
    </i>
  </colItems>
  <formats count="3">
    <format dxfId="2">
      <pivotArea type="origin" dataOnly="0" labelOnly="1" outline="0" fieldPosition="0"/>
    </format>
    <format dxfId="1">
      <pivotArea field="7" type="button" dataOnly="0" labelOnly="1" outline="0" axis="axisCol"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4" dT="2025-12-09T08:24:25.42" personId="{D388439C-A5AC-485F-9D2D-CD2226B99DB6}" id="{9FE2E265-7341-433A-9B8D-7BBADC472F84}">
    <text>Add geographical consolidation. Maybe they have 10 suppliers but all are in China.</text>
  </threadedComment>
  <threadedComment ref="V6" dT="2025-12-09T08:31:06.31" personId="{D388439C-A5AC-485F-9D2D-CD2226B99DB6}" id="{A15B43E0-420D-493A-98E6-4FB21D35F6E3}">
    <text>Merge with security / stability / conflict</text>
  </threadedComment>
  <threadedComment ref="V6" dT="2025-12-09T08:35:21.34" personId="{D388439C-A5AC-485F-9D2D-CD2226B99DB6}" id="{97520082-DE5A-4ACD-917F-187A50A28E2A}" parentId="{A15B43E0-420D-493A-98E6-4FB21D35F6E3}">
    <text xml:space="preserve">Flag “High Geopolitical Risk” if &gt;30% of supplier capacity lies in countries scoring &lt;50 on World Bank political stability index or where logistics reliability index &lt; -0.5. </text>
  </threadedComment>
  <threadedComment ref="V13" dT="2025-12-09T08:44:16.90" personId="{D388439C-A5AC-485F-9D2D-CD2226B99DB6}" id="{088CBAA4-B13D-4297-A11A-4B98EAE490FF}">
    <text>Merge net supply with net capacity</text>
  </threadedComment>
  <threadedComment ref="V15" dT="2025-12-09T07:07:18.71" personId="{D388439C-A5AC-485F-9D2D-CD2226B99DB6}" id="{1A8ECCEC-70D0-4FF3-A7BB-A8267A44A436}">
    <text>Percentage should be significantly higher</text>
  </threadedComment>
  <threadedComment ref="V15" dT="2025-12-09T08:46:35.70" personId="{D388439C-A5AC-485F-9D2D-CD2226B99DB6}" id="{7DF788EE-68EB-45EA-8598-424395834E4E}" parentId="{1A8ECCEC-70D0-4FF3-A7BB-A8267A44A436}">
    <text>Merge with cusom</text>
  </threadedComment>
  <threadedComment ref="V19" dT="2025-12-09T08:13:06.92" personId="{D388439C-A5AC-485F-9D2D-CD2226B99DB6}" id="{D26FFF1A-6300-45CC-9CAD-755018F5A557}">
    <text>Merge with inflation</text>
  </threadedComment>
  <threadedComment ref="V20" dT="2025-12-09T08:12:22.55" personId="{D388439C-A5AC-485F-9D2D-CD2226B99DB6}" id="{CCEBC3DA-3C05-4F57-81DE-CE8EB77C040D}">
    <text>Can remove this. Adds extra complexity</text>
  </threadedComment>
  <threadedComment ref="V21" dT="2025-12-09T08:11:59.59" personId="{D388439C-A5AC-485F-9D2D-CD2226B99DB6}" id="{0FCD7BD5-EC5E-4BF1-BAA7-E045CA5C969C}">
    <text>Can remove this and merge with net demand</text>
  </threadedComment>
  <threadedComment ref="W23" dT="2025-12-09T08:16:14.51" personId="{D388439C-A5AC-485F-9D2D-CD2226B99DB6}" id="{304DE223-6C46-4B0D-BBCD-DDE1B948A4ED}">
    <text>This was missing</text>
  </threadedComment>
</ThreadedComments>
</file>

<file path=xl/threadedComments/threadedComment2.xml><?xml version="1.0" encoding="utf-8"?>
<ThreadedComments xmlns="http://schemas.microsoft.com/office/spreadsheetml/2018/threadedcomments" xmlns:x="http://schemas.openxmlformats.org/spreadsheetml/2006/main">
  <threadedComment ref="V5" dT="2025-12-09T08:44:16.90" personId="{D388439C-A5AC-485F-9D2D-CD2226B99DB6}" id="{CA2F1D41-AC46-4C36-9230-0071E35B7FC0}">
    <text>Merge net supply with net capacity</text>
  </threadedComment>
  <threadedComment ref="V7" dT="2025-12-09T07:07:18.71" personId="{D388439C-A5AC-485F-9D2D-CD2226B99DB6}" id="{7C307F02-82A9-4B37-AE26-E17A358A1043}">
    <text>Percentage should be significantly higher</text>
  </threadedComment>
  <threadedComment ref="V7" dT="2025-12-09T08:46:35.70" personId="{D388439C-A5AC-485F-9D2D-CD2226B99DB6}" id="{AF26ED33-3E17-457D-AD69-653D9F865212}" parentId="{7C307F02-82A9-4B37-AE26-E17A358A1043}">
    <text>Merge with cusom</text>
  </threadedComment>
  <threadedComment ref="V11" dT="2025-12-09T08:13:06.92" personId="{D388439C-A5AC-485F-9D2D-CD2226B99DB6}" id="{DD6EDF64-B465-43A8-BFFD-1363E6E3C84A}">
    <text>Merge with inflation</text>
  </threadedComment>
  <threadedComment ref="V12" dT="2025-12-09T08:12:22.55" personId="{D388439C-A5AC-485F-9D2D-CD2226B99DB6}" id="{7793CA10-1C7D-448C-8CE9-72155CA679FE}">
    <text>Can remove this. Adds extra complexity</text>
  </threadedComment>
  <threadedComment ref="V13" dT="2025-12-09T08:11:59.59" personId="{D388439C-A5AC-485F-9D2D-CD2226B99DB6}" id="{1DCBCA5F-B6DF-4949-8712-85766D96DC79}">
    <text>Can remove this and merge with net demand</text>
  </threadedComment>
  <threadedComment ref="W17" dT="2025-12-09T08:24:25.42" personId="{D388439C-A5AC-485F-9D2D-CD2226B99DB6}" id="{85DF7C38-308C-4CE4-88D0-30F52863BAFD}">
    <text>Add geographical consolidation. Maybe they have 10 suppliers but all are in China.</text>
  </threadedComment>
  <threadedComment ref="V20" dT="2025-12-09T08:31:06.31" personId="{D388439C-A5AC-485F-9D2D-CD2226B99DB6}" id="{A1C8A99E-E3B3-41A3-9EDE-C0974C9E6E44}">
    <text>Merge with security / stability / conflict</text>
  </threadedComment>
  <threadedComment ref="V20" dT="2025-12-09T08:35:21.34" personId="{D388439C-A5AC-485F-9D2D-CD2226B99DB6}" id="{B1485BEB-F6EE-4B28-B7E6-A53EA088EF44}" parentId="{A1C8A99E-E3B3-41A3-9EDE-C0974C9E6E44}">
    <text xml:space="preserve">Flag “High Geopolitical Risk” if &gt;30% of supplier capacity lies in countries scoring &lt;50 on World Bank political stability index or where logistics reliability index &lt; -0.5.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4F331-72EE-443F-ADB3-DC4341177FE7}">
  <dimension ref="A1:R235"/>
  <sheetViews>
    <sheetView showGridLines="0" zoomScale="40" zoomScaleNormal="40" workbookViewId="0">
      <pane xSplit="1" ySplit="8" topLeftCell="H231" activePane="bottomRight" state="frozen"/>
      <selection pane="topRight"/>
      <selection pane="bottomLeft"/>
      <selection pane="bottomRight" activeCell="T233" sqref="T233"/>
    </sheetView>
  </sheetViews>
  <sheetFormatPr defaultRowHeight="14.5" x14ac:dyDescent="0.35"/>
  <cols>
    <col min="1" max="1" width="13.81640625" customWidth="1"/>
    <col min="2" max="2" width="11.1796875" bestFit="1" customWidth="1"/>
    <col min="3" max="3" width="18.54296875" customWidth="1"/>
    <col min="4" max="5" width="27.54296875" customWidth="1"/>
    <col min="6" max="6" width="32.1796875" customWidth="1"/>
    <col min="7" max="7" width="86.81640625" customWidth="1"/>
    <col min="8" max="8" width="56.81640625" customWidth="1"/>
    <col min="9" max="14" width="28.1796875" customWidth="1"/>
    <col min="15" max="15" width="54.453125" customWidth="1"/>
    <col min="16" max="18" width="18.81640625" customWidth="1"/>
  </cols>
  <sheetData>
    <row r="1" spans="1:18" ht="23.5" hidden="1" x14ac:dyDescent="0.35">
      <c r="A1" s="1"/>
      <c r="B1" s="1"/>
      <c r="C1" s="1"/>
      <c r="D1" s="1"/>
      <c r="E1" s="1"/>
      <c r="F1" s="1"/>
      <c r="G1" s="1"/>
      <c r="H1" s="2"/>
      <c r="I1" s="2"/>
      <c r="J1" s="2"/>
      <c r="K1" s="2"/>
      <c r="L1" s="2"/>
      <c r="M1" s="2"/>
      <c r="N1" s="2"/>
      <c r="O1" s="2"/>
    </row>
    <row r="2" spans="1:18" ht="23.5" x14ac:dyDescent="0.35">
      <c r="A2" s="3"/>
      <c r="B2" s="3"/>
      <c r="C2" s="3"/>
      <c r="D2" s="3"/>
      <c r="E2" s="3"/>
      <c r="F2" s="3"/>
      <c r="G2" s="213" t="s">
        <v>0</v>
      </c>
      <c r="H2" s="213"/>
      <c r="I2" s="2"/>
      <c r="J2" s="2"/>
      <c r="K2" s="2"/>
      <c r="L2" s="2"/>
      <c r="M2" s="2"/>
      <c r="N2" s="2"/>
      <c r="O2" s="2"/>
    </row>
    <row r="3" spans="1:18" ht="23.5" x14ac:dyDescent="0.35">
      <c r="A3" s="3"/>
      <c r="B3" s="3"/>
      <c r="C3" s="3"/>
      <c r="D3" s="3"/>
      <c r="E3" s="3"/>
      <c r="F3" s="3"/>
      <c r="G3" s="213"/>
      <c r="H3" s="213"/>
      <c r="I3" s="2"/>
      <c r="J3" s="2"/>
      <c r="K3" s="2"/>
      <c r="L3" s="2"/>
      <c r="M3" s="2"/>
      <c r="N3" s="2"/>
      <c r="O3" s="2"/>
    </row>
    <row r="4" spans="1:18" ht="23.5" x14ac:dyDescent="0.35">
      <c r="A4" s="4"/>
      <c r="B4" s="4"/>
      <c r="C4" s="4"/>
      <c r="D4" s="4"/>
      <c r="E4" s="4"/>
      <c r="F4" s="4"/>
      <c r="G4" s="4"/>
      <c r="H4" s="5"/>
      <c r="I4" s="5"/>
      <c r="J4" s="5"/>
      <c r="K4" s="5"/>
      <c r="L4" s="5"/>
      <c r="M4" s="5"/>
      <c r="N4" s="5"/>
      <c r="O4" s="5"/>
    </row>
    <row r="5" spans="1:18" ht="23.5" x14ac:dyDescent="0.35">
      <c r="A5" s="1"/>
      <c r="B5" s="1"/>
      <c r="C5" s="1"/>
      <c r="D5" s="1"/>
      <c r="E5" s="1"/>
      <c r="F5" s="1"/>
      <c r="G5" s="1"/>
      <c r="H5" s="2"/>
      <c r="I5" s="2"/>
      <c r="J5" s="2"/>
      <c r="K5" s="2"/>
      <c r="L5" s="2"/>
      <c r="M5" s="2"/>
      <c r="N5" s="2"/>
      <c r="O5" s="2"/>
    </row>
    <row r="6" spans="1:18" ht="23.5" x14ac:dyDescent="0.35">
      <c r="A6" s="1"/>
      <c r="B6" s="1"/>
      <c r="C6" s="6"/>
      <c r="D6" s="6"/>
      <c r="E6" s="6"/>
      <c r="F6" s="6"/>
      <c r="G6" s="6"/>
      <c r="H6" s="2"/>
      <c r="I6" s="2"/>
      <c r="J6" s="2"/>
      <c r="K6" s="2"/>
      <c r="L6" s="2"/>
      <c r="M6" s="2"/>
      <c r="N6" s="2"/>
      <c r="O6" s="2"/>
    </row>
    <row r="7" spans="1:18" ht="23.5" x14ac:dyDescent="0.35">
      <c r="A7" s="7"/>
      <c r="B7" s="7"/>
      <c r="C7" s="214" t="s">
        <v>1</v>
      </c>
      <c r="D7" s="214"/>
      <c r="E7" s="8"/>
      <c r="F7" s="8" t="s">
        <v>2</v>
      </c>
      <c r="G7" s="8" t="s">
        <v>3</v>
      </c>
      <c r="H7" s="215" t="s">
        <v>4</v>
      </c>
      <c r="I7" s="215"/>
      <c r="J7" s="215"/>
      <c r="K7" s="215"/>
      <c r="L7" s="9"/>
      <c r="M7" s="9"/>
      <c r="N7" s="9"/>
      <c r="O7" s="216" t="s">
        <v>5</v>
      </c>
      <c r="P7" s="217"/>
      <c r="Q7" s="217"/>
      <c r="R7" s="218"/>
    </row>
    <row r="8" spans="1:18" ht="47" x14ac:dyDescent="0.35">
      <c r="A8" s="7"/>
      <c r="B8" s="10" t="s">
        <v>6</v>
      </c>
      <c r="C8" s="10" t="s">
        <v>7</v>
      </c>
      <c r="D8" s="10" t="s">
        <v>8</v>
      </c>
      <c r="E8" s="10" t="s">
        <v>9</v>
      </c>
      <c r="F8" s="10" t="s">
        <v>2</v>
      </c>
      <c r="G8" s="10" t="s">
        <v>10</v>
      </c>
      <c r="H8" s="11" t="s">
        <v>11</v>
      </c>
      <c r="I8" s="11" t="s">
        <v>12</v>
      </c>
      <c r="J8" s="11" t="s">
        <v>13</v>
      </c>
      <c r="K8" s="11" t="s">
        <v>14</v>
      </c>
      <c r="L8" s="11" t="s">
        <v>15</v>
      </c>
      <c r="M8" s="11" t="s">
        <v>16</v>
      </c>
      <c r="N8" s="11" t="s">
        <v>17</v>
      </c>
      <c r="O8" s="10" t="s">
        <v>18</v>
      </c>
      <c r="P8" s="12" t="s">
        <v>19</v>
      </c>
      <c r="Q8" s="12" t="s">
        <v>20</v>
      </c>
      <c r="R8" s="12" t="s">
        <v>21</v>
      </c>
    </row>
    <row r="9" spans="1:18" ht="102" customHeight="1" x14ac:dyDescent="0.35">
      <c r="A9" t="str">
        <f>_xlfn.CONCAT(C9,D9,O9)</f>
        <v>Office SuppliesNAConsolidate to max 3 suppliers for all office material spending</v>
      </c>
      <c r="B9" s="13">
        <v>1</v>
      </c>
      <c r="C9" s="14" t="s">
        <v>22</v>
      </c>
      <c r="D9" s="14" t="s">
        <v>23</v>
      </c>
      <c r="E9" s="14"/>
      <c r="F9" s="14"/>
      <c r="G9" s="14" t="s">
        <v>24</v>
      </c>
      <c r="H9" s="14" t="s">
        <v>25</v>
      </c>
      <c r="I9" s="14" t="s">
        <v>26</v>
      </c>
      <c r="J9" s="14" t="s">
        <v>27</v>
      </c>
      <c r="K9" s="14" t="s">
        <v>28</v>
      </c>
      <c r="L9" s="15">
        <v>0.01</v>
      </c>
      <c r="M9" s="15">
        <v>0.02</v>
      </c>
      <c r="N9" s="15" t="str">
        <f>_xlfn.CONCAT(TEXT(L9,"0.0%"),"-",TEXT(M9,"0.0%"))</f>
        <v>1.0%-2.0%</v>
      </c>
      <c r="O9" s="13" t="s">
        <v>29</v>
      </c>
      <c r="P9" s="13" t="s">
        <v>30</v>
      </c>
      <c r="Q9" s="16" t="s">
        <v>31</v>
      </c>
      <c r="R9" s="16" t="s">
        <v>32</v>
      </c>
    </row>
    <row r="10" spans="1:18" ht="102" customHeight="1" x14ac:dyDescent="0.35">
      <c r="A10" t="str">
        <f t="shared" ref="A10:A73" si="0">_xlfn.CONCAT(C10,D10,O10)</f>
        <v>TravelAirIncluding budget airlines offers cost-effective options and leverages competition to reduce prices.</v>
      </c>
      <c r="B10" s="13">
        <v>2</v>
      </c>
      <c r="C10" s="14" t="s">
        <v>33</v>
      </c>
      <c r="D10" s="14" t="s">
        <v>34</v>
      </c>
      <c r="E10" s="14"/>
      <c r="F10" s="14"/>
      <c r="G10" s="14" t="s">
        <v>35</v>
      </c>
      <c r="H10" s="14" t="s">
        <v>36</v>
      </c>
      <c r="I10" s="14" t="s">
        <v>37</v>
      </c>
      <c r="J10" s="14" t="s">
        <v>38</v>
      </c>
      <c r="K10" s="14" t="s">
        <v>39</v>
      </c>
      <c r="L10" s="15">
        <v>5.0000000000000001E-3</v>
      </c>
      <c r="M10" s="15">
        <v>0.01</v>
      </c>
      <c r="N10" s="15" t="str">
        <f t="shared" ref="N10:N73" si="1">_xlfn.CONCAT(TEXT(L10,"0.0%"),"-",TEXT(M10,"0.0%"))</f>
        <v>0.5%-1.0%</v>
      </c>
      <c r="O10" s="13" t="s">
        <v>40</v>
      </c>
      <c r="P10" s="13" t="s">
        <v>30</v>
      </c>
      <c r="Q10" s="16" t="s">
        <v>41</v>
      </c>
      <c r="R10" s="16" t="s">
        <v>42</v>
      </c>
    </row>
    <row r="11" spans="1:18" ht="102" customHeight="1" x14ac:dyDescent="0.35">
      <c r="A11" t="str">
        <f t="shared" si="0"/>
        <v>TravelRailOffering loyalty cards for rail travel reduces costs and enhances travel benefits through rewards.</v>
      </c>
      <c r="B11" s="13">
        <v>3</v>
      </c>
      <c r="C11" s="14" t="s">
        <v>33</v>
      </c>
      <c r="D11" s="14" t="s">
        <v>43</v>
      </c>
      <c r="E11" s="14"/>
      <c r="F11" s="14"/>
      <c r="G11" s="14" t="s">
        <v>44</v>
      </c>
      <c r="H11" s="14" t="s">
        <v>45</v>
      </c>
      <c r="I11" s="14" t="s">
        <v>46</v>
      </c>
      <c r="J11" s="14" t="s">
        <v>47</v>
      </c>
      <c r="K11" s="14" t="s">
        <v>48</v>
      </c>
      <c r="L11" s="15">
        <v>0.01</v>
      </c>
      <c r="M11" s="15">
        <v>0.02</v>
      </c>
      <c r="N11" s="15" t="str">
        <f t="shared" si="1"/>
        <v>1.0%-2.0%</v>
      </c>
      <c r="O11" s="13" t="s">
        <v>49</v>
      </c>
      <c r="P11" s="13" t="s">
        <v>50</v>
      </c>
      <c r="Q11" s="16" t="s">
        <v>51</v>
      </c>
      <c r="R11" s="16" t="s">
        <v>52</v>
      </c>
    </row>
    <row r="12" spans="1:18" ht="102" customHeight="1" x14ac:dyDescent="0.35">
      <c r="A12" t="str">
        <f t="shared" si="0"/>
        <v>FleetFuelDrive efficiently to save on fuel, reduce maintenance costs, and potentially earn insurance discounts.</v>
      </c>
      <c r="B12" s="13">
        <v>4</v>
      </c>
      <c r="C12" s="14" t="s">
        <v>53</v>
      </c>
      <c r="D12" s="14" t="s">
        <v>54</v>
      </c>
      <c r="E12" s="14"/>
      <c r="F12" s="14"/>
      <c r="G12" s="14" t="s">
        <v>55</v>
      </c>
      <c r="H12" s="14" t="s">
        <v>56</v>
      </c>
      <c r="I12" s="14" t="s">
        <v>57</v>
      </c>
      <c r="J12" s="14" t="s">
        <v>58</v>
      </c>
      <c r="K12" s="14" t="s">
        <v>59</v>
      </c>
      <c r="L12" s="15">
        <v>0.01</v>
      </c>
      <c r="M12" s="15">
        <v>0.02</v>
      </c>
      <c r="N12" s="15" t="str">
        <f t="shared" si="1"/>
        <v>1.0%-2.0%</v>
      </c>
      <c r="O12" s="13" t="s">
        <v>60</v>
      </c>
      <c r="P12" s="13" t="s">
        <v>61</v>
      </c>
      <c r="Q12" s="16" t="s">
        <v>62</v>
      </c>
      <c r="R12" s="16" t="s">
        <v>63</v>
      </c>
    </row>
    <row r="13" spans="1:18" ht="102" customHeight="1" x14ac:dyDescent="0.35">
      <c r="A13" t="str">
        <f t="shared" si="0"/>
        <v>FleetFuelImplement incentives for employees to reduce kilometers traveled, such as rewards for carpooling, using public transport, or biking to work.</v>
      </c>
      <c r="B13" s="13">
        <v>5</v>
      </c>
      <c r="C13" s="14" t="s">
        <v>53</v>
      </c>
      <c r="D13" s="14" t="s">
        <v>54</v>
      </c>
      <c r="E13" s="14"/>
      <c r="F13" s="14"/>
      <c r="G13" s="14" t="s">
        <v>64</v>
      </c>
      <c r="H13" s="14" t="s">
        <v>56</v>
      </c>
      <c r="I13" s="14" t="s">
        <v>65</v>
      </c>
      <c r="J13" s="14" t="s">
        <v>66</v>
      </c>
      <c r="K13" s="14" t="s">
        <v>67</v>
      </c>
      <c r="L13" s="15">
        <v>0.01</v>
      </c>
      <c r="M13" s="15">
        <v>0.02</v>
      </c>
      <c r="N13" s="15" t="str">
        <f t="shared" si="1"/>
        <v>1.0%-2.0%</v>
      </c>
      <c r="O13" s="13" t="s">
        <v>68</v>
      </c>
      <c r="P13" s="13" t="s">
        <v>61</v>
      </c>
      <c r="Q13" s="16" t="s">
        <v>69</v>
      </c>
      <c r="R13" s="16" t="s">
        <v>70</v>
      </c>
    </row>
    <row r="14" spans="1:18" s="17" customFormat="1" ht="102" customHeight="1" x14ac:dyDescent="0.35">
      <c r="A14" t="str">
        <f t="shared" si="0"/>
        <v>FleetFuelImplementing financial incentives, such as bonuses or matching contributions, encourages employees to save money by directly rewarding their savings efforts.</v>
      </c>
      <c r="B14" s="13">
        <v>6</v>
      </c>
      <c r="C14" s="14" t="s">
        <v>53</v>
      </c>
      <c r="D14" s="14" t="s">
        <v>54</v>
      </c>
      <c r="E14" s="14"/>
      <c r="F14" s="14"/>
      <c r="G14" s="14" t="s">
        <v>71</v>
      </c>
      <c r="H14" s="14" t="s">
        <v>56</v>
      </c>
      <c r="I14" s="14" t="s">
        <v>72</v>
      </c>
      <c r="J14" s="14" t="s">
        <v>73</v>
      </c>
      <c r="K14" s="14" t="s">
        <v>74</v>
      </c>
      <c r="L14" s="15">
        <v>0.01</v>
      </c>
      <c r="M14" s="15">
        <v>0.02</v>
      </c>
      <c r="N14" s="15" t="str">
        <f t="shared" si="1"/>
        <v>1.0%-2.0%</v>
      </c>
      <c r="O14" s="13" t="s">
        <v>75</v>
      </c>
      <c r="P14" s="13" t="s">
        <v>61</v>
      </c>
      <c r="Q14" s="16" t="s">
        <v>69</v>
      </c>
      <c r="R14" s="16" t="s">
        <v>76</v>
      </c>
    </row>
    <row r="15" spans="1:18" ht="102" customHeight="1" x14ac:dyDescent="0.35">
      <c r="A15" t="str">
        <f t="shared" si="0"/>
        <v>LegalNAIndicative hourly rates and experience levels allow performance-based project control and provide grounds for complaints if hours significantly exceed estimates.</v>
      </c>
      <c r="B15" s="13">
        <v>7</v>
      </c>
      <c r="C15" s="14" t="s">
        <v>77</v>
      </c>
      <c r="D15" s="14" t="s">
        <v>23</v>
      </c>
      <c r="E15" s="14"/>
      <c r="F15" s="14"/>
      <c r="G15" s="14" t="s">
        <v>78</v>
      </c>
      <c r="H15" s="14" t="s">
        <v>56</v>
      </c>
      <c r="I15" s="14" t="s">
        <v>79</v>
      </c>
      <c r="J15" s="14" t="s">
        <v>80</v>
      </c>
      <c r="K15" s="14" t="s">
        <v>81</v>
      </c>
      <c r="L15" s="15">
        <v>0.01</v>
      </c>
      <c r="M15" s="15">
        <v>0.02</v>
      </c>
      <c r="N15" s="15" t="str">
        <f t="shared" si="1"/>
        <v>1.0%-2.0%</v>
      </c>
      <c r="O15" s="13" t="s">
        <v>82</v>
      </c>
      <c r="P15" s="13" t="s">
        <v>83</v>
      </c>
      <c r="Q15" s="16" t="s">
        <v>84</v>
      </c>
      <c r="R15" s="16" t="s">
        <v>85</v>
      </c>
    </row>
    <row r="16" spans="1:18" ht="102" customHeight="1" x14ac:dyDescent="0.35">
      <c r="A16" t="str">
        <f t="shared" si="0"/>
        <v>AuditNAIndicative hourly rates and experience levels allow performance-based project control and provide grounds for complaints if hours significantly exceed estimates.</v>
      </c>
      <c r="B16" s="13">
        <v>8</v>
      </c>
      <c r="C16" s="14" t="s">
        <v>86</v>
      </c>
      <c r="D16" s="14" t="s">
        <v>23</v>
      </c>
      <c r="E16" s="14"/>
      <c r="F16" s="14"/>
      <c r="G16" s="14" t="s">
        <v>78</v>
      </c>
      <c r="H16" s="14" t="s">
        <v>56</v>
      </c>
      <c r="I16" s="14" t="s">
        <v>79</v>
      </c>
      <c r="J16" s="14" t="s">
        <v>80</v>
      </c>
      <c r="K16" s="14" t="s">
        <v>81</v>
      </c>
      <c r="L16" s="15">
        <v>0.01</v>
      </c>
      <c r="M16" s="15">
        <v>0.02</v>
      </c>
      <c r="N16" s="15" t="str">
        <f t="shared" si="1"/>
        <v>1.0%-2.0%</v>
      </c>
      <c r="O16" s="13" t="s">
        <v>82</v>
      </c>
      <c r="P16" s="13" t="s">
        <v>83</v>
      </c>
      <c r="Q16" s="16" t="s">
        <v>84</v>
      </c>
      <c r="R16" s="16" t="s">
        <v>85</v>
      </c>
    </row>
    <row r="17" spans="1:18" ht="102" customHeight="1" x14ac:dyDescent="0.35">
      <c r="A17" t="str">
        <f t="shared" si="0"/>
        <v>HRTrainingConsider training to be conducted internaly, enables to realize savings &amp; build a training 100% to the need of the specific company &amp; culture.</v>
      </c>
      <c r="B17" s="13">
        <v>9</v>
      </c>
      <c r="C17" s="14" t="s">
        <v>87</v>
      </c>
      <c r="D17" s="14" t="s">
        <v>88</v>
      </c>
      <c r="E17" s="14"/>
      <c r="F17" s="14"/>
      <c r="G17" s="14" t="s">
        <v>89</v>
      </c>
      <c r="H17" s="14" t="s">
        <v>90</v>
      </c>
      <c r="I17" s="14" t="s">
        <v>91</v>
      </c>
      <c r="J17" s="14" t="s">
        <v>92</v>
      </c>
      <c r="K17" s="14" t="s">
        <v>93</v>
      </c>
      <c r="L17" s="15">
        <v>0.01</v>
      </c>
      <c r="M17" s="15">
        <v>0.02</v>
      </c>
      <c r="N17" s="15" t="str">
        <f t="shared" si="1"/>
        <v>1.0%-2.0%</v>
      </c>
      <c r="O17" s="13" t="s">
        <v>94</v>
      </c>
      <c r="P17" s="13" t="s">
        <v>61</v>
      </c>
      <c r="Q17" s="16" t="s">
        <v>69</v>
      </c>
      <c r="R17" s="16" t="s">
        <v>95</v>
      </c>
    </row>
    <row r="18" spans="1:18" ht="102" customHeight="1" x14ac:dyDescent="0.35">
      <c r="A18" t="str">
        <f t="shared" si="0"/>
        <v xml:space="preserve">FleetWay of purchasingWithin a RFP ideally fix 1-2 OEMs, to ensure the received discounts are significant. </v>
      </c>
      <c r="B18" s="13">
        <v>10</v>
      </c>
      <c r="C18" s="14" t="s">
        <v>53</v>
      </c>
      <c r="D18" s="14" t="s">
        <v>96</v>
      </c>
      <c r="E18" s="14"/>
      <c r="F18" s="14"/>
      <c r="G18" s="14" t="s">
        <v>97</v>
      </c>
      <c r="H18" s="14" t="s">
        <v>98</v>
      </c>
      <c r="I18" s="14" t="s">
        <v>99</v>
      </c>
      <c r="J18" s="14" t="s">
        <v>100</v>
      </c>
      <c r="K18" s="14" t="s">
        <v>28</v>
      </c>
      <c r="L18" s="15">
        <v>0.01</v>
      </c>
      <c r="M18" s="15">
        <v>0.02</v>
      </c>
      <c r="N18" s="15" t="str">
        <f t="shared" si="1"/>
        <v>1.0%-2.0%</v>
      </c>
      <c r="O18" s="13" t="s">
        <v>101</v>
      </c>
      <c r="P18" s="13" t="s">
        <v>30</v>
      </c>
      <c r="Q18" s="16" t="s">
        <v>102</v>
      </c>
      <c r="R18" s="16" t="s">
        <v>103</v>
      </c>
    </row>
    <row r="19" spans="1:18" ht="102" customHeight="1" x14ac:dyDescent="0.35">
      <c r="A19" t="str">
        <f t="shared" si="0"/>
        <v>FleetPolicyImplementing programs to manage underutilized and oversized assets throughout their lifecycle ensures optimal usage and cost distribution. This approach helps in disposing of unnecessary assets, expanding their influence, and efficiently managing workloads with the use of third parties for peak times, resulting in significant cost savings</v>
      </c>
      <c r="B19" s="13">
        <v>11</v>
      </c>
      <c r="C19" s="14" t="s">
        <v>53</v>
      </c>
      <c r="D19" s="14" t="s">
        <v>104</v>
      </c>
      <c r="E19" s="14"/>
      <c r="F19" s="14"/>
      <c r="G19" s="14" t="s">
        <v>105</v>
      </c>
      <c r="H19" s="14" t="s">
        <v>106</v>
      </c>
      <c r="I19" s="14" t="s">
        <v>107</v>
      </c>
      <c r="J19" s="14" t="s">
        <v>108</v>
      </c>
      <c r="K19" s="14" t="s">
        <v>109</v>
      </c>
      <c r="L19" s="15">
        <v>0.01</v>
      </c>
      <c r="M19" s="15">
        <v>0.02</v>
      </c>
      <c r="N19" s="15" t="str">
        <f t="shared" si="1"/>
        <v>1.0%-2.0%</v>
      </c>
      <c r="O19" s="13" t="s">
        <v>110</v>
      </c>
      <c r="P19" s="13" t="s">
        <v>61</v>
      </c>
      <c r="Q19" s="16" t="s">
        <v>111</v>
      </c>
      <c r="R19" s="16" t="s">
        <v>112</v>
      </c>
    </row>
    <row r="20" spans="1:18" ht="102" customHeight="1" x14ac:dyDescent="0.35">
      <c r="A20" t="str">
        <f t="shared" si="0"/>
        <v>Office SuppliesNAUse white label where possible, typically this needs to be &gt; 90% for office suppliers</v>
      </c>
      <c r="B20" s="13">
        <v>12</v>
      </c>
      <c r="C20" s="14" t="s">
        <v>22</v>
      </c>
      <c r="D20" s="14" t="s">
        <v>23</v>
      </c>
      <c r="E20" s="14"/>
      <c r="F20" s="14"/>
      <c r="G20" s="14" t="s">
        <v>113</v>
      </c>
      <c r="H20" s="14" t="s">
        <v>56</v>
      </c>
      <c r="I20" s="14" t="s">
        <v>114</v>
      </c>
      <c r="J20" s="14" t="s">
        <v>115</v>
      </c>
      <c r="K20" s="14" t="s">
        <v>116</v>
      </c>
      <c r="L20" s="15">
        <v>0.02</v>
      </c>
      <c r="M20" s="15">
        <v>0.04</v>
      </c>
      <c r="N20" s="15" t="str">
        <f t="shared" si="1"/>
        <v>2.0%-4.0%</v>
      </c>
      <c r="O20" s="13" t="s">
        <v>117</v>
      </c>
      <c r="P20" s="13" t="s">
        <v>30</v>
      </c>
      <c r="Q20" s="16" t="s">
        <v>41</v>
      </c>
      <c r="R20" s="16" t="s">
        <v>118</v>
      </c>
    </row>
    <row r="21" spans="1:18" ht="102" customHeight="1" x14ac:dyDescent="0.35">
      <c r="A21" t="str">
        <f t="shared" si="0"/>
        <v>LogisticsCEP LogisticsOptimize partner rates by service level and weight bucket on tradelanes.</v>
      </c>
      <c r="B21" s="13">
        <v>13</v>
      </c>
      <c r="C21" s="14" t="s">
        <v>119</v>
      </c>
      <c r="D21" s="14" t="s">
        <v>120</v>
      </c>
      <c r="E21" s="14"/>
      <c r="F21" s="14"/>
      <c r="G21" s="14" t="s">
        <v>121</v>
      </c>
      <c r="H21" s="14" t="s">
        <v>122</v>
      </c>
      <c r="I21" s="14" t="s">
        <v>123</v>
      </c>
      <c r="J21" s="14" t="s">
        <v>124</v>
      </c>
      <c r="K21" s="14" t="s">
        <v>125</v>
      </c>
      <c r="L21" s="15">
        <v>2.5000000000000001E-3</v>
      </c>
      <c r="M21" s="15">
        <v>5.0000000000000001E-3</v>
      </c>
      <c r="N21" s="15" t="str">
        <f t="shared" si="1"/>
        <v>0.3%-0.5%</v>
      </c>
      <c r="O21" s="13" t="s">
        <v>126</v>
      </c>
      <c r="P21" s="13" t="s">
        <v>30</v>
      </c>
      <c r="Q21" s="16" t="s">
        <v>127</v>
      </c>
      <c r="R21" s="16" t="s">
        <v>128</v>
      </c>
    </row>
    <row r="22" spans="1:18" ht="102" customHeight="1" x14ac:dyDescent="0.35">
      <c r="A22" t="str">
        <f t="shared" si="0"/>
        <v>LogisticsCEP LogisticsCollaborative purchasing to leverage collective buying power for cost savings.</v>
      </c>
      <c r="B22" s="13">
        <v>14</v>
      </c>
      <c r="C22" s="14" t="s">
        <v>119</v>
      </c>
      <c r="D22" s="14" t="s">
        <v>120</v>
      </c>
      <c r="E22" s="14"/>
      <c r="F22" s="14"/>
      <c r="G22" s="14" t="s">
        <v>129</v>
      </c>
      <c r="H22" s="14" t="s">
        <v>122</v>
      </c>
      <c r="I22" s="14" t="s">
        <v>130</v>
      </c>
      <c r="J22" s="14" t="s">
        <v>131</v>
      </c>
      <c r="K22" s="14" t="s">
        <v>132</v>
      </c>
      <c r="L22" s="15">
        <v>5.0000000000000001E-3</v>
      </c>
      <c r="M22" s="15">
        <v>0.01</v>
      </c>
      <c r="N22" s="15" t="str">
        <f t="shared" si="1"/>
        <v>0.5%-1.0%</v>
      </c>
      <c r="O22" s="13" t="s">
        <v>133</v>
      </c>
      <c r="P22" s="13" t="s">
        <v>50</v>
      </c>
      <c r="Q22" s="16" t="s">
        <v>134</v>
      </c>
      <c r="R22" s="16" t="s">
        <v>135</v>
      </c>
    </row>
    <row r="23" spans="1:18" ht="102" customHeight="1" x14ac:dyDescent="0.35">
      <c r="A23" t="str">
        <f t="shared" si="0"/>
        <v>HRRecruitmentFocus external recruiting towards just C-level and potentially 1 level below. Challenge if internal activities can be conducted that help with recruiting this person.</v>
      </c>
      <c r="B23" s="13">
        <v>15</v>
      </c>
      <c r="C23" s="14" t="s">
        <v>87</v>
      </c>
      <c r="D23" s="14" t="s">
        <v>136</v>
      </c>
      <c r="E23" s="14"/>
      <c r="F23" s="14"/>
      <c r="G23" s="14" t="s">
        <v>137</v>
      </c>
      <c r="H23" s="14" t="s">
        <v>138</v>
      </c>
      <c r="I23" s="14" t="s">
        <v>139</v>
      </c>
      <c r="J23" s="14" t="s">
        <v>140</v>
      </c>
      <c r="K23" s="14" t="s">
        <v>141</v>
      </c>
      <c r="L23" s="15">
        <v>2.5000000000000001E-2</v>
      </c>
      <c r="M23" s="15">
        <v>0.05</v>
      </c>
      <c r="N23" s="15" t="str">
        <f t="shared" si="1"/>
        <v>2.5%-5.0%</v>
      </c>
      <c r="O23" s="13" t="s">
        <v>142</v>
      </c>
      <c r="P23" s="13" t="s">
        <v>61</v>
      </c>
      <c r="Q23" s="16" t="s">
        <v>69</v>
      </c>
      <c r="R23" s="16" t="s">
        <v>143</v>
      </c>
    </row>
    <row r="24" spans="1:18" ht="102" customHeight="1" x14ac:dyDescent="0.35">
      <c r="A24" t="str">
        <f t="shared" si="0"/>
        <v>ConsultingNAEstablish spend approval boards: By ensuring senior-level approval for consulting projects, you centralize decision-making and enhance planning efficiency. This reduces disruption costs, leading to more streamlined processes and significant cost savings</v>
      </c>
      <c r="B24" s="13">
        <v>16</v>
      </c>
      <c r="C24" s="14" t="s">
        <v>144</v>
      </c>
      <c r="D24" s="14" t="s">
        <v>23</v>
      </c>
      <c r="E24" s="14"/>
      <c r="F24" s="14"/>
      <c r="G24" s="14" t="s">
        <v>145</v>
      </c>
      <c r="H24" s="14" t="s">
        <v>56</v>
      </c>
      <c r="I24" s="14" t="s">
        <v>146</v>
      </c>
      <c r="J24" s="14" t="s">
        <v>147</v>
      </c>
      <c r="K24" s="14" t="s">
        <v>148</v>
      </c>
      <c r="L24" s="15">
        <v>1.4999999999999999E-2</v>
      </c>
      <c r="M24" s="15">
        <v>0.03</v>
      </c>
      <c r="N24" s="15" t="str">
        <f t="shared" si="1"/>
        <v>1.5%-3.0%</v>
      </c>
      <c r="O24" s="13" t="s">
        <v>149</v>
      </c>
      <c r="P24" s="13" t="s">
        <v>83</v>
      </c>
      <c r="Q24" s="16" t="s">
        <v>150</v>
      </c>
      <c r="R24" s="16" t="s">
        <v>151</v>
      </c>
    </row>
    <row r="25" spans="1:18" ht="102" customHeight="1" x14ac:dyDescent="0.35">
      <c r="A25" t="str">
        <f t="shared" si="0"/>
        <v>HRRecruitmentEffective management of recruiting agency agreements provides transparency and consolidation, simplifying the process and ensuring cost-effective and efficient recruitment solutions</v>
      </c>
      <c r="B25" s="13">
        <v>17</v>
      </c>
      <c r="C25" s="14" t="s">
        <v>87</v>
      </c>
      <c r="D25" s="14" t="s">
        <v>136</v>
      </c>
      <c r="E25" s="14"/>
      <c r="F25" s="14"/>
      <c r="G25" s="14" t="s">
        <v>152</v>
      </c>
      <c r="H25" s="14" t="s">
        <v>153</v>
      </c>
      <c r="I25" s="14" t="s">
        <v>154</v>
      </c>
      <c r="J25" s="14" t="s">
        <v>155</v>
      </c>
      <c r="K25" s="14" t="s">
        <v>156</v>
      </c>
      <c r="L25" s="15">
        <v>2.5000000000000001E-2</v>
      </c>
      <c r="M25" s="15">
        <v>0.05</v>
      </c>
      <c r="N25" s="15" t="str">
        <f t="shared" si="1"/>
        <v>2.5%-5.0%</v>
      </c>
      <c r="O25" s="13" t="s">
        <v>157</v>
      </c>
      <c r="P25" s="13" t="s">
        <v>83</v>
      </c>
      <c r="Q25" s="16" t="s">
        <v>84</v>
      </c>
      <c r="R25" s="16" t="s">
        <v>158</v>
      </c>
    </row>
    <row r="26" spans="1:18" ht="102" customHeight="1" x14ac:dyDescent="0.35">
      <c r="A26" t="str">
        <f t="shared" si="0"/>
        <v>FleetWay of purchasingIdeally, leasing companies and OEMs are tendered at the same time - every 3 years and fix framework agreements. Every time larger demands arise mini-RFPs are conducted between the providers</v>
      </c>
      <c r="B26" s="13">
        <v>18</v>
      </c>
      <c r="C26" s="14" t="s">
        <v>53</v>
      </c>
      <c r="D26" s="14" t="s">
        <v>96</v>
      </c>
      <c r="E26" s="14"/>
      <c r="F26" s="14"/>
      <c r="G26" s="14" t="s">
        <v>159</v>
      </c>
      <c r="H26" s="14" t="s">
        <v>160</v>
      </c>
      <c r="I26" s="14" t="s">
        <v>161</v>
      </c>
      <c r="J26" s="14" t="s">
        <v>162</v>
      </c>
      <c r="K26" s="14" t="s">
        <v>163</v>
      </c>
      <c r="L26" s="15">
        <v>2.5000000000000001E-3</v>
      </c>
      <c r="M26" s="15">
        <v>5.0000000000000001E-3</v>
      </c>
      <c r="N26" s="15" t="str">
        <f t="shared" si="1"/>
        <v>0.3%-0.5%</v>
      </c>
      <c r="O26" s="13" t="s">
        <v>164</v>
      </c>
      <c r="P26" s="13" t="s">
        <v>30</v>
      </c>
      <c r="Q26" s="16" t="s">
        <v>165</v>
      </c>
      <c r="R26" s="16" t="s">
        <v>166</v>
      </c>
    </row>
    <row r="27" spans="1:18" ht="102" customHeight="1" x14ac:dyDescent="0.35">
      <c r="A27" t="str">
        <f t="shared" si="0"/>
        <v>AuditNASupplier panels by category by audit area should exist.</v>
      </c>
      <c r="B27" s="13">
        <v>19</v>
      </c>
      <c r="C27" s="14" t="s">
        <v>86</v>
      </c>
      <c r="D27" s="14" t="s">
        <v>23</v>
      </c>
      <c r="E27" s="14"/>
      <c r="F27" s="14"/>
      <c r="G27" s="14" t="s">
        <v>167</v>
      </c>
      <c r="H27" s="14" t="s">
        <v>168</v>
      </c>
      <c r="I27" s="14" t="s">
        <v>169</v>
      </c>
      <c r="J27" s="14" t="s">
        <v>170</v>
      </c>
      <c r="K27" s="14" t="s">
        <v>171</v>
      </c>
      <c r="L27" s="15">
        <v>0.01</v>
      </c>
      <c r="M27" s="15">
        <v>0.02</v>
      </c>
      <c r="N27" s="15" t="str">
        <f t="shared" si="1"/>
        <v>1.0%-2.0%</v>
      </c>
      <c r="O27" s="13" t="s">
        <v>172</v>
      </c>
      <c r="P27" s="13" t="s">
        <v>30</v>
      </c>
      <c r="Q27" s="16" t="s">
        <v>31</v>
      </c>
      <c r="R27" s="16" t="s">
        <v>173</v>
      </c>
    </row>
    <row r="28" spans="1:18" ht="102" customHeight="1" x14ac:dyDescent="0.35">
      <c r="A28" t="str">
        <f t="shared" si="0"/>
        <v>LegalNAOrganizes suppliers by legal area for efficient and transparent selection.</v>
      </c>
      <c r="B28" s="13">
        <v>20</v>
      </c>
      <c r="C28" s="14" t="s">
        <v>77</v>
      </c>
      <c r="D28" s="14" t="s">
        <v>23</v>
      </c>
      <c r="E28" s="14"/>
      <c r="F28" s="14"/>
      <c r="G28" s="14" t="s">
        <v>174</v>
      </c>
      <c r="H28" s="14" t="s">
        <v>175</v>
      </c>
      <c r="I28" s="14" t="s">
        <v>176</v>
      </c>
      <c r="J28" s="14" t="s">
        <v>170</v>
      </c>
      <c r="K28" s="14" t="s">
        <v>177</v>
      </c>
      <c r="L28" s="15">
        <v>0.01</v>
      </c>
      <c r="M28" s="15">
        <v>0.02</v>
      </c>
      <c r="N28" s="15" t="str">
        <f t="shared" si="1"/>
        <v>1.0%-2.0%</v>
      </c>
      <c r="O28" s="13" t="s">
        <v>178</v>
      </c>
      <c r="P28" s="13" t="s">
        <v>83</v>
      </c>
      <c r="Q28" s="16" t="s">
        <v>150</v>
      </c>
      <c r="R28" s="16" t="s">
        <v>179</v>
      </c>
    </row>
    <row r="29" spans="1:18" ht="102" customHeight="1" x14ac:dyDescent="0.35">
      <c r="A29" t="str">
        <f t="shared" si="0"/>
        <v>LegalNAVariable project remuneration can reduce purchasing costs through volume bonuses for exceeding turnover limits and satisfaction-dependent KPIs to adjust prices based on project satisfaction.</v>
      </c>
      <c r="B29" s="13">
        <v>21</v>
      </c>
      <c r="C29" s="14" t="s">
        <v>77</v>
      </c>
      <c r="D29" s="14" t="s">
        <v>23</v>
      </c>
      <c r="E29" s="14"/>
      <c r="F29" s="14"/>
      <c r="G29" s="14" t="s">
        <v>180</v>
      </c>
      <c r="H29" s="14" t="s">
        <v>56</v>
      </c>
      <c r="I29" s="14" t="s">
        <v>181</v>
      </c>
      <c r="J29" s="14" t="s">
        <v>182</v>
      </c>
      <c r="K29" s="14" t="s">
        <v>183</v>
      </c>
      <c r="L29" s="15">
        <v>2.5000000000000001E-3</v>
      </c>
      <c r="M29" s="15">
        <v>5.0000000000000001E-3</v>
      </c>
      <c r="N29" s="15" t="str">
        <f t="shared" si="1"/>
        <v>0.3%-0.5%</v>
      </c>
      <c r="O29" s="13" t="s">
        <v>184</v>
      </c>
      <c r="P29" s="13" t="s">
        <v>83</v>
      </c>
      <c r="Q29" s="16" t="s">
        <v>84</v>
      </c>
      <c r="R29" s="16" t="s">
        <v>185</v>
      </c>
    </row>
    <row r="30" spans="1:18" ht="102" customHeight="1" x14ac:dyDescent="0.35">
      <c r="A30" t="str">
        <f t="shared" si="0"/>
        <v>AuditNAVariable project remuneration can reduce purchasing costs through volume bonuses for exceeding turnover limits and satisfaction-dependent KPIs to lower prices in case of dissatisfaction.</v>
      </c>
      <c r="B30" s="13">
        <v>22</v>
      </c>
      <c r="C30" s="14" t="s">
        <v>86</v>
      </c>
      <c r="D30" s="14" t="s">
        <v>23</v>
      </c>
      <c r="E30" s="14"/>
      <c r="F30" s="14"/>
      <c r="G30" s="14" t="s">
        <v>180</v>
      </c>
      <c r="H30" s="14" t="s">
        <v>56</v>
      </c>
      <c r="I30" s="14" t="s">
        <v>181</v>
      </c>
      <c r="J30" s="14" t="s">
        <v>182</v>
      </c>
      <c r="K30" s="14" t="s">
        <v>183</v>
      </c>
      <c r="L30" s="15">
        <v>0.01</v>
      </c>
      <c r="M30" s="15">
        <v>0.02</v>
      </c>
      <c r="N30" s="15" t="str">
        <f t="shared" si="1"/>
        <v>1.0%-2.0%</v>
      </c>
      <c r="O30" s="13" t="s">
        <v>186</v>
      </c>
      <c r="P30" s="13" t="s">
        <v>83</v>
      </c>
      <c r="Q30" s="16" t="s">
        <v>187</v>
      </c>
      <c r="R30" s="16" t="s">
        <v>188</v>
      </c>
    </row>
    <row r="31" spans="1:18" ht="102" customHeight="1" x14ac:dyDescent="0.35">
      <c r="A31" t="str">
        <f t="shared" si="0"/>
        <v>Temp LabourNATrack the duration of temps on a regular basis. If temp is longer than 12 months - check for insourcing</v>
      </c>
      <c r="B31" s="13">
        <v>23</v>
      </c>
      <c r="C31" s="14" t="s">
        <v>189</v>
      </c>
      <c r="D31" s="14" t="s">
        <v>23</v>
      </c>
      <c r="E31" s="14"/>
      <c r="F31" s="14"/>
      <c r="G31" s="14" t="s">
        <v>190</v>
      </c>
      <c r="H31" s="14" t="s">
        <v>191</v>
      </c>
      <c r="I31" s="14" t="s">
        <v>192</v>
      </c>
      <c r="J31" s="14" t="s">
        <v>193</v>
      </c>
      <c r="K31" s="14" t="s">
        <v>194</v>
      </c>
      <c r="L31" s="15">
        <v>5.0000000000000001E-3</v>
      </c>
      <c r="M31" s="15">
        <v>0.01</v>
      </c>
      <c r="N31" s="15" t="str">
        <f t="shared" si="1"/>
        <v>0.5%-1.0%</v>
      </c>
      <c r="O31" s="13" t="s">
        <v>195</v>
      </c>
      <c r="P31" s="13" t="s">
        <v>61</v>
      </c>
      <c r="Q31" s="16" t="s">
        <v>69</v>
      </c>
      <c r="R31" s="16" t="s">
        <v>196</v>
      </c>
    </row>
    <row r="32" spans="1:18" ht="102" customHeight="1" x14ac:dyDescent="0.35">
      <c r="A32" t="str">
        <f t="shared" si="0"/>
        <v>AuditNASubsidiary companies can be audited by the same law firm, if legally permissible, resulting in cost savings through volume bundling.</v>
      </c>
      <c r="B32" s="13">
        <v>24</v>
      </c>
      <c r="C32" s="14" t="s">
        <v>86</v>
      </c>
      <c r="D32" s="14" t="s">
        <v>23</v>
      </c>
      <c r="E32" s="14"/>
      <c r="F32" s="14"/>
      <c r="G32" s="14" t="s">
        <v>197</v>
      </c>
      <c r="H32" s="14" t="s">
        <v>56</v>
      </c>
      <c r="I32" s="14" t="s">
        <v>198</v>
      </c>
      <c r="J32" s="14" t="s">
        <v>199</v>
      </c>
      <c r="K32" s="14" t="s">
        <v>200</v>
      </c>
      <c r="L32" s="15">
        <v>1.4999999999999999E-2</v>
      </c>
      <c r="M32" s="15">
        <v>0.03</v>
      </c>
      <c r="N32" s="15" t="str">
        <f t="shared" si="1"/>
        <v>1.5%-3.0%</v>
      </c>
      <c r="O32" s="13" t="s">
        <v>201</v>
      </c>
      <c r="P32" s="13" t="s">
        <v>30</v>
      </c>
      <c r="Q32" s="16" t="s">
        <v>202</v>
      </c>
      <c r="R32" s="16" t="s">
        <v>203</v>
      </c>
    </row>
    <row r="33" spans="1:18" ht="102" customHeight="1" x14ac:dyDescent="0.35">
      <c r="A33" t="str">
        <f t="shared" si="0"/>
        <v>LegalNACorporate subsidiaries can bundle legal services to align rates and increase volume at law firms.</v>
      </c>
      <c r="B33" s="13">
        <v>25</v>
      </c>
      <c r="C33" s="14" t="s">
        <v>77</v>
      </c>
      <c r="D33" s="14" t="s">
        <v>23</v>
      </c>
      <c r="E33" s="14"/>
      <c r="F33" s="14"/>
      <c r="G33" s="14" t="s">
        <v>204</v>
      </c>
      <c r="H33" s="14" t="s">
        <v>56</v>
      </c>
      <c r="I33" s="14" t="s">
        <v>198</v>
      </c>
      <c r="J33" s="14" t="s">
        <v>199</v>
      </c>
      <c r="K33" s="14" t="s">
        <v>200</v>
      </c>
      <c r="L33" s="15">
        <v>5.0000000000000001E-3</v>
      </c>
      <c r="M33" s="15">
        <v>0.01</v>
      </c>
      <c r="N33" s="15" t="str">
        <f t="shared" si="1"/>
        <v>0.5%-1.0%</v>
      </c>
      <c r="O33" s="13" t="s">
        <v>205</v>
      </c>
      <c r="P33" s="13" t="s">
        <v>30</v>
      </c>
      <c r="Q33" s="16" t="s">
        <v>202</v>
      </c>
      <c r="R33" s="16" t="s">
        <v>203</v>
      </c>
    </row>
    <row r="34" spans="1:18" ht="102" customHeight="1" x14ac:dyDescent="0.35">
      <c r="A34" t="str">
        <f t="shared" si="0"/>
        <v>LegalNABy comparing booked and charged hours with internal request estimates, overbooked hours can be identified.</v>
      </c>
      <c r="B34" s="13">
        <v>26</v>
      </c>
      <c r="C34" s="14" t="s">
        <v>77</v>
      </c>
      <c r="D34" s="14" t="s">
        <v>23</v>
      </c>
      <c r="E34" s="14"/>
      <c r="F34" s="14"/>
      <c r="G34" s="14" t="s">
        <v>206</v>
      </c>
      <c r="H34" s="14" t="s">
        <v>56</v>
      </c>
      <c r="I34" s="14" t="s">
        <v>181</v>
      </c>
      <c r="J34" s="14" t="s">
        <v>182</v>
      </c>
      <c r="K34" s="14" t="s">
        <v>207</v>
      </c>
      <c r="L34" s="15">
        <v>5.0000000000000001E-3</v>
      </c>
      <c r="M34" s="15">
        <v>0.01</v>
      </c>
      <c r="N34" s="15" t="str">
        <f t="shared" si="1"/>
        <v>0.5%-1.0%</v>
      </c>
      <c r="O34" s="13" t="s">
        <v>208</v>
      </c>
      <c r="P34" s="13" t="s">
        <v>83</v>
      </c>
      <c r="Q34" s="16" t="s">
        <v>84</v>
      </c>
      <c r="R34" s="16" t="s">
        <v>209</v>
      </c>
    </row>
    <row r="35" spans="1:18" ht="102" customHeight="1" x14ac:dyDescent="0.35">
      <c r="A35" t="str">
        <f t="shared" si="0"/>
        <v>MRONAOrders bypassing the purchasing department risk inefficient pricing. A simple catalog connection and consistent tracking of manufacturer material numbers can route internal customers to the specified purchasing process.</v>
      </c>
      <c r="B35" s="13">
        <v>27</v>
      </c>
      <c r="C35" s="14" t="s">
        <v>210</v>
      </c>
      <c r="D35" s="14" t="s">
        <v>23</v>
      </c>
      <c r="E35" s="14"/>
      <c r="F35" s="14"/>
      <c r="G35" s="14" t="s">
        <v>211</v>
      </c>
      <c r="H35" s="14" t="s">
        <v>56</v>
      </c>
      <c r="I35" s="14" t="s">
        <v>212</v>
      </c>
      <c r="J35" s="14" t="s">
        <v>212</v>
      </c>
      <c r="K35" s="14" t="s">
        <v>132</v>
      </c>
      <c r="L35" s="15">
        <v>5.0000000000000001E-3</v>
      </c>
      <c r="M35" s="15">
        <v>0.01</v>
      </c>
      <c r="N35" s="15" t="str">
        <f t="shared" si="1"/>
        <v>0.5%-1.0%</v>
      </c>
      <c r="O35" s="13" t="s">
        <v>213</v>
      </c>
      <c r="P35" s="13" t="s">
        <v>83</v>
      </c>
      <c r="Q35" s="16" t="s">
        <v>150</v>
      </c>
      <c r="R35" s="16" t="s">
        <v>214</v>
      </c>
    </row>
    <row r="36" spans="1:18" ht="102" customHeight="1" x14ac:dyDescent="0.35">
      <c r="A36" t="str">
        <f t="shared" si="0"/>
        <v>TravelAirPreferred carrier relationships secure favorable rates and service quality, enhancing cost efficiency.</v>
      </c>
      <c r="B36" s="13">
        <v>28</v>
      </c>
      <c r="C36" s="14" t="s">
        <v>33</v>
      </c>
      <c r="D36" s="14" t="s">
        <v>34</v>
      </c>
      <c r="E36" s="14"/>
      <c r="F36" s="14"/>
      <c r="G36" s="14" t="s">
        <v>215</v>
      </c>
      <c r="H36" s="14" t="s">
        <v>216</v>
      </c>
      <c r="I36" s="14" t="s">
        <v>217</v>
      </c>
      <c r="J36" s="14" t="s">
        <v>218</v>
      </c>
      <c r="K36" s="14" t="s">
        <v>219</v>
      </c>
      <c r="L36" s="15">
        <v>2.5000000000000001E-3</v>
      </c>
      <c r="M36" s="15">
        <v>5.0000000000000001E-3</v>
      </c>
      <c r="N36" s="15" t="str">
        <f t="shared" si="1"/>
        <v>0.3%-0.5%</v>
      </c>
      <c r="O36" s="13" t="s">
        <v>220</v>
      </c>
      <c r="P36" s="13" t="s">
        <v>50</v>
      </c>
      <c r="Q36" s="16" t="s">
        <v>51</v>
      </c>
      <c r="R36" s="16" t="s">
        <v>221</v>
      </c>
    </row>
    <row r="37" spans="1:18" ht="102" customHeight="1" x14ac:dyDescent="0.35">
      <c r="A37" t="str">
        <f t="shared" si="0"/>
        <v>TravelHotelSetting city caps on hotels controls expenses and ensures cost-effective accommodation choices.</v>
      </c>
      <c r="B37" s="13">
        <v>29</v>
      </c>
      <c r="C37" s="14" t="s">
        <v>33</v>
      </c>
      <c r="D37" s="14" t="s">
        <v>222</v>
      </c>
      <c r="E37" s="14"/>
      <c r="F37" s="14"/>
      <c r="G37" s="14" t="s">
        <v>223</v>
      </c>
      <c r="H37" s="14" t="s">
        <v>224</v>
      </c>
      <c r="I37" s="14" t="s">
        <v>225</v>
      </c>
      <c r="J37" s="14" t="s">
        <v>226</v>
      </c>
      <c r="K37" s="14" t="s">
        <v>227</v>
      </c>
      <c r="L37" s="15">
        <v>1.4999999999999999E-2</v>
      </c>
      <c r="M37" s="15">
        <v>0.03</v>
      </c>
      <c r="N37" s="15" t="str">
        <f t="shared" si="1"/>
        <v>1.5%-3.0%</v>
      </c>
      <c r="O37" s="13" t="s">
        <v>228</v>
      </c>
      <c r="P37" s="13" t="s">
        <v>83</v>
      </c>
      <c r="Q37" s="16" t="s">
        <v>84</v>
      </c>
      <c r="R37" s="16" t="s">
        <v>229</v>
      </c>
    </row>
    <row r="38" spans="1:18" ht="102" customHeight="1" x14ac:dyDescent="0.35">
      <c r="A38" t="str">
        <f t="shared" si="0"/>
        <v>TravelCar RentalChoosing the right compensation model aligns costs with usage, optimizing rental expenses.</v>
      </c>
      <c r="B38" s="13">
        <v>30</v>
      </c>
      <c r="C38" s="14" t="s">
        <v>33</v>
      </c>
      <c r="D38" s="14" t="s">
        <v>230</v>
      </c>
      <c r="E38" s="14"/>
      <c r="F38" s="14"/>
      <c r="G38" s="14" t="s">
        <v>231</v>
      </c>
      <c r="H38" s="14" t="s">
        <v>232</v>
      </c>
      <c r="I38" s="14" t="s">
        <v>233</v>
      </c>
      <c r="J38" s="14" t="s">
        <v>234</v>
      </c>
      <c r="K38" s="14" t="s">
        <v>235</v>
      </c>
      <c r="L38" s="15">
        <v>5.0000000000000001E-3</v>
      </c>
      <c r="M38" s="15">
        <v>0.01</v>
      </c>
      <c r="N38" s="15" t="str">
        <f t="shared" si="1"/>
        <v>0.5%-1.0%</v>
      </c>
      <c r="O38" s="13" t="s">
        <v>236</v>
      </c>
      <c r="P38" s="13" t="s">
        <v>30</v>
      </c>
      <c r="Q38" s="16" t="s">
        <v>127</v>
      </c>
      <c r="R38" s="16" t="s">
        <v>237</v>
      </c>
    </row>
    <row r="39" spans="1:18" ht="102" customHeight="1" x14ac:dyDescent="0.35">
      <c r="A39" t="str">
        <f t="shared" si="0"/>
        <v>ConsultingNASet-up framework contracts for different types of consulting work, allows to commercially tender and have the right rates in place.</v>
      </c>
      <c r="B39" s="13">
        <v>31</v>
      </c>
      <c r="C39" s="14" t="s">
        <v>144</v>
      </c>
      <c r="D39" s="14" t="s">
        <v>23</v>
      </c>
      <c r="E39" s="14"/>
      <c r="F39" s="14"/>
      <c r="G39" s="14" t="s">
        <v>238</v>
      </c>
      <c r="H39" s="14" t="s">
        <v>239</v>
      </c>
      <c r="I39" s="14" t="s">
        <v>240</v>
      </c>
      <c r="J39" s="14" t="s">
        <v>241</v>
      </c>
      <c r="K39" s="14" t="s">
        <v>242</v>
      </c>
      <c r="L39" s="15">
        <v>5.0000000000000001E-3</v>
      </c>
      <c r="M39" s="15">
        <v>0.01</v>
      </c>
      <c r="N39" s="15" t="str">
        <f t="shared" si="1"/>
        <v>0.5%-1.0%</v>
      </c>
      <c r="O39" s="13" t="s">
        <v>243</v>
      </c>
      <c r="P39" s="13" t="s">
        <v>30</v>
      </c>
      <c r="Q39" s="16" t="s">
        <v>165</v>
      </c>
      <c r="R39" s="16" t="s">
        <v>244</v>
      </c>
    </row>
    <row r="40" spans="1:18" ht="102" customHeight="1" x14ac:dyDescent="0.35">
      <c r="A40" t="str">
        <f t="shared" si="0"/>
        <v>TravelUber/ TaxiEstablishing agreements with taxi/Uber services ensures standardized rates and cost savings.</v>
      </c>
      <c r="B40" s="13">
        <v>32</v>
      </c>
      <c r="C40" s="14" t="s">
        <v>33</v>
      </c>
      <c r="D40" s="14" t="s">
        <v>245</v>
      </c>
      <c r="E40" s="14"/>
      <c r="F40" s="14"/>
      <c r="G40" s="14" t="s">
        <v>246</v>
      </c>
      <c r="H40" s="14" t="s">
        <v>247</v>
      </c>
      <c r="I40" s="14"/>
      <c r="J40" s="14"/>
      <c r="K40" s="14" t="s">
        <v>248</v>
      </c>
      <c r="L40" s="15">
        <v>0.02</v>
      </c>
      <c r="M40" s="15">
        <v>0.04</v>
      </c>
      <c r="N40" s="15" t="str">
        <f t="shared" si="1"/>
        <v>2.0%-4.0%</v>
      </c>
      <c r="O40" s="13" t="s">
        <v>249</v>
      </c>
      <c r="P40" s="13" t="s">
        <v>30</v>
      </c>
      <c r="Q40" s="16" t="s">
        <v>165</v>
      </c>
      <c r="R40" s="16" t="s">
        <v>250</v>
      </c>
    </row>
    <row r="41" spans="1:18" ht="102" customHeight="1" x14ac:dyDescent="0.35">
      <c r="A41" t="str">
        <f t="shared" si="0"/>
        <v>TravelHotelMaintaining an LRA rate card ensures standardized rates, fostering relationships and cost efficiencies.</v>
      </c>
      <c r="B41" s="13">
        <v>33</v>
      </c>
      <c r="C41" s="14" t="s">
        <v>33</v>
      </c>
      <c r="D41" s="14" t="s">
        <v>222</v>
      </c>
      <c r="E41" s="14"/>
      <c r="F41" s="14"/>
      <c r="G41" s="14" t="s">
        <v>251</v>
      </c>
      <c r="H41" s="14" t="s">
        <v>252</v>
      </c>
      <c r="I41" s="14" t="s">
        <v>253</v>
      </c>
      <c r="J41" s="14" t="s">
        <v>254</v>
      </c>
      <c r="K41" s="14" t="s">
        <v>255</v>
      </c>
      <c r="L41" s="15">
        <v>5.0000000000000001E-3</v>
      </c>
      <c r="M41" s="15">
        <v>0.01</v>
      </c>
      <c r="N41" s="15" t="str">
        <f t="shared" si="1"/>
        <v>0.5%-1.0%</v>
      </c>
      <c r="O41" s="13" t="s">
        <v>256</v>
      </c>
      <c r="P41" s="13" t="s">
        <v>83</v>
      </c>
      <c r="Q41" s="16" t="s">
        <v>84</v>
      </c>
      <c r="R41" s="16" t="s">
        <v>257</v>
      </c>
    </row>
    <row r="42" spans="1:18" ht="102" customHeight="1" x14ac:dyDescent="0.35">
      <c r="A42" t="str">
        <f t="shared" si="0"/>
        <v>TravelCar RentalPartnering with preferred car rental providers ensures cost-effective rental options.</v>
      </c>
      <c r="B42" s="13">
        <v>34</v>
      </c>
      <c r="C42" s="14" t="s">
        <v>33</v>
      </c>
      <c r="D42" s="14" t="s">
        <v>230</v>
      </c>
      <c r="E42" s="14"/>
      <c r="F42" s="14"/>
      <c r="G42" s="14" t="s">
        <v>258</v>
      </c>
      <c r="H42" s="14" t="s">
        <v>259</v>
      </c>
      <c r="I42" s="14" t="s">
        <v>260</v>
      </c>
      <c r="J42" s="14" t="s">
        <v>261</v>
      </c>
      <c r="K42" s="14" t="s">
        <v>262</v>
      </c>
      <c r="L42" s="15">
        <v>0.01</v>
      </c>
      <c r="M42" s="15">
        <v>0.02</v>
      </c>
      <c r="N42" s="15" t="str">
        <f t="shared" si="1"/>
        <v>1.0%-2.0%</v>
      </c>
      <c r="O42" s="13" t="s">
        <v>263</v>
      </c>
      <c r="P42" s="13" t="s">
        <v>50</v>
      </c>
      <c r="Q42" s="16" t="s">
        <v>51</v>
      </c>
      <c r="R42" s="16" t="s">
        <v>264</v>
      </c>
    </row>
    <row r="43" spans="1:18" ht="102" customHeight="1" x14ac:dyDescent="0.35">
      <c r="A43" t="str">
        <f t="shared" si="0"/>
        <v>ITSoftware development and maintenanceConsolidate contracts by developing small suppliers and establishing a preferred supplier pool for major development. Transition to fixed pricing with risk-sharing mechanisms and establish SLA guidelines to track compliance and shortcomings.</v>
      </c>
      <c r="B43" s="13">
        <v>35</v>
      </c>
      <c r="C43" s="14" t="s">
        <v>265</v>
      </c>
      <c r="D43" s="14" t="s">
        <v>266</v>
      </c>
      <c r="E43" s="14"/>
      <c r="F43" s="14"/>
      <c r="G43" s="14" t="s">
        <v>267</v>
      </c>
      <c r="H43" s="14" t="s">
        <v>56</v>
      </c>
      <c r="I43" s="14" t="s">
        <v>212</v>
      </c>
      <c r="J43" s="14" t="s">
        <v>181</v>
      </c>
      <c r="K43" s="14" t="s">
        <v>132</v>
      </c>
      <c r="L43" s="15">
        <v>0.01</v>
      </c>
      <c r="M43" s="15">
        <v>0.02</v>
      </c>
      <c r="N43" s="15" t="str">
        <f t="shared" si="1"/>
        <v>1.0%-2.0%</v>
      </c>
      <c r="O43" s="13" t="s">
        <v>268</v>
      </c>
      <c r="P43" s="13" t="s">
        <v>30</v>
      </c>
      <c r="Q43" s="16" t="s">
        <v>31</v>
      </c>
      <c r="R43" s="16" t="s">
        <v>269</v>
      </c>
    </row>
    <row r="44" spans="1:18" ht="102" customHeight="1" x14ac:dyDescent="0.35">
      <c r="A44" t="str">
        <f t="shared" si="0"/>
        <v>ITSoftware development and maintenanceLeveraging AI-based models can automate some parts of development and testing; thus reducing time and resource needs. This innovative approach minimizes manual tasks, cuts operational costs and boosts efficiency.</v>
      </c>
      <c r="B44" s="13">
        <v>36</v>
      </c>
      <c r="C44" s="14" t="s">
        <v>265</v>
      </c>
      <c r="D44" s="14" t="s">
        <v>266</v>
      </c>
      <c r="E44" s="14"/>
      <c r="F44" s="14"/>
      <c r="G44" s="14" t="s">
        <v>270</v>
      </c>
      <c r="H44" s="14" t="s">
        <v>122</v>
      </c>
      <c r="I44" s="14" t="s">
        <v>271</v>
      </c>
      <c r="J44" s="14" t="s">
        <v>272</v>
      </c>
      <c r="K44" s="14" t="s">
        <v>273</v>
      </c>
      <c r="L44" s="15">
        <v>5.0000000000000001E-3</v>
      </c>
      <c r="M44" s="15">
        <v>0.01</v>
      </c>
      <c r="N44" s="15" t="str">
        <f t="shared" si="1"/>
        <v>0.5%-1.0%</v>
      </c>
      <c r="O44" s="13" t="s">
        <v>274</v>
      </c>
      <c r="P44" s="13" t="s">
        <v>61</v>
      </c>
      <c r="Q44" s="16" t="s">
        <v>62</v>
      </c>
      <c r="R44" s="16" t="s">
        <v>275</v>
      </c>
    </row>
    <row r="45" spans="1:18" ht="102" customHeight="1" x14ac:dyDescent="0.35">
      <c r="A45" t="str">
        <f t="shared" si="0"/>
        <v>ITIT helpdeskAutomating help desk inquiries with AI cuts support costs and frees up resources for complex issues.</v>
      </c>
      <c r="B45" s="13">
        <v>37</v>
      </c>
      <c r="C45" s="14" t="s">
        <v>265</v>
      </c>
      <c r="D45" s="14" t="s">
        <v>276</v>
      </c>
      <c r="E45" s="14"/>
      <c r="F45" s="14"/>
      <c r="G45" s="14" t="s">
        <v>277</v>
      </c>
      <c r="H45" s="14" t="s">
        <v>122</v>
      </c>
      <c r="I45" s="14" t="s">
        <v>271</v>
      </c>
      <c r="J45" s="14" t="s">
        <v>272</v>
      </c>
      <c r="K45" s="14" t="s">
        <v>273</v>
      </c>
      <c r="L45" s="15">
        <v>1.4999999999999999E-2</v>
      </c>
      <c r="M45" s="15">
        <v>0.03</v>
      </c>
      <c r="N45" s="15" t="str">
        <f t="shared" si="1"/>
        <v>1.5%-3.0%</v>
      </c>
      <c r="O45" s="13" t="s">
        <v>278</v>
      </c>
      <c r="P45" s="13" t="s">
        <v>61</v>
      </c>
      <c r="Q45" s="16" t="s">
        <v>62</v>
      </c>
      <c r="R45" s="16" t="s">
        <v>279</v>
      </c>
    </row>
    <row r="46" spans="1:18" ht="102" customHeight="1" x14ac:dyDescent="0.35">
      <c r="A46" t="str">
        <f t="shared" si="0"/>
        <v>TravelPolicyPartnering with a travel agency streamlines bookings and leverages discounts, reducing travel costs.</v>
      </c>
      <c r="B46" s="13">
        <v>38</v>
      </c>
      <c r="C46" s="14" t="s">
        <v>33</v>
      </c>
      <c r="D46" s="14" t="s">
        <v>104</v>
      </c>
      <c r="E46" s="14"/>
      <c r="F46" s="14"/>
      <c r="G46" s="14" t="s">
        <v>280</v>
      </c>
      <c r="H46" s="14" t="s">
        <v>281</v>
      </c>
      <c r="I46" s="14" t="s">
        <v>282</v>
      </c>
      <c r="J46" s="14" t="s">
        <v>283</v>
      </c>
      <c r="K46" s="14" t="s">
        <v>284</v>
      </c>
      <c r="L46" s="15">
        <v>0.01</v>
      </c>
      <c r="M46" s="15">
        <v>0.02</v>
      </c>
      <c r="N46" s="15" t="str">
        <f t="shared" si="1"/>
        <v>1.0%-2.0%</v>
      </c>
      <c r="O46" s="13" t="s">
        <v>285</v>
      </c>
      <c r="P46" s="13" t="s">
        <v>30</v>
      </c>
      <c r="Q46" s="16" t="s">
        <v>202</v>
      </c>
      <c r="R46" s="16" t="s">
        <v>286</v>
      </c>
    </row>
    <row r="47" spans="1:18" ht="102" customHeight="1" x14ac:dyDescent="0.35">
      <c r="A47" t="str">
        <f t="shared" si="0"/>
        <v>LogisticsLOG OceanUnbundled rates with categorized services for flexible cost management.</v>
      </c>
      <c r="B47" s="13">
        <v>39</v>
      </c>
      <c r="C47" s="14" t="s">
        <v>119</v>
      </c>
      <c r="D47" s="14" t="s">
        <v>287</v>
      </c>
      <c r="E47" s="14"/>
      <c r="F47" s="14"/>
      <c r="G47" s="14" t="s">
        <v>288</v>
      </c>
      <c r="H47" s="14" t="s">
        <v>289</v>
      </c>
      <c r="I47" s="14" t="s">
        <v>290</v>
      </c>
      <c r="J47" s="14" t="s">
        <v>291</v>
      </c>
      <c r="K47" s="14" t="s">
        <v>292</v>
      </c>
      <c r="L47" s="15">
        <v>0.01</v>
      </c>
      <c r="M47" s="15">
        <v>0.02</v>
      </c>
      <c r="N47" s="15" t="str">
        <f t="shared" si="1"/>
        <v>1.0%-2.0%</v>
      </c>
      <c r="O47" s="13" t="s">
        <v>293</v>
      </c>
      <c r="P47" s="13" t="s">
        <v>83</v>
      </c>
      <c r="Q47" s="16" t="s">
        <v>84</v>
      </c>
      <c r="R47" s="16" t="s">
        <v>294</v>
      </c>
    </row>
    <row r="48" spans="1:18" ht="102" customHeight="1" x14ac:dyDescent="0.35">
      <c r="A48" t="str">
        <f t="shared" si="0"/>
        <v>LogisticsRoad LogisticsStandard tenders focus on quotes and supplier margins, while expressive bidding also addresses systemic costs through volume discounts, bundle discounts, and alternative bids, leading to lower rates.</v>
      </c>
      <c r="B48" s="13">
        <v>40</v>
      </c>
      <c r="C48" s="14" t="s">
        <v>119</v>
      </c>
      <c r="D48" s="14" t="s">
        <v>295</v>
      </c>
      <c r="E48" s="14"/>
      <c r="F48" s="14"/>
      <c r="G48" s="14" t="s">
        <v>296</v>
      </c>
      <c r="H48" s="14" t="s">
        <v>289</v>
      </c>
      <c r="I48" s="14" t="s">
        <v>290</v>
      </c>
      <c r="J48" s="14" t="s">
        <v>291</v>
      </c>
      <c r="K48" s="14" t="s">
        <v>292</v>
      </c>
      <c r="L48" s="15">
        <v>2.5000000000000001E-3</v>
      </c>
      <c r="M48" s="15">
        <v>5.0000000000000001E-3</v>
      </c>
      <c r="N48" s="15" t="str">
        <f t="shared" si="1"/>
        <v>0.3%-0.5%</v>
      </c>
      <c r="O48" s="13" t="s">
        <v>297</v>
      </c>
      <c r="P48" s="13" t="s">
        <v>30</v>
      </c>
      <c r="Q48" s="16" t="s">
        <v>165</v>
      </c>
      <c r="R48" s="16" t="s">
        <v>298</v>
      </c>
    </row>
    <row r="49" spans="1:18" ht="102" customHeight="1" x14ac:dyDescent="0.35">
      <c r="A49" t="str">
        <f t="shared" si="0"/>
        <v>PackagingNACost-based price modeling is a process-oriented method for determining target prices. The basis for target prices are the individual process steps, to which reference values are applied.</v>
      </c>
      <c r="B49" s="13">
        <v>41</v>
      </c>
      <c r="C49" s="14" t="s">
        <v>299</v>
      </c>
      <c r="D49" s="14" t="s">
        <v>23</v>
      </c>
      <c r="E49" s="14"/>
      <c r="F49" s="14"/>
      <c r="G49" s="14" t="s">
        <v>300</v>
      </c>
      <c r="H49" s="14" t="s">
        <v>301</v>
      </c>
      <c r="I49" s="14" t="s">
        <v>302</v>
      </c>
      <c r="J49" s="14" t="s">
        <v>303</v>
      </c>
      <c r="K49" s="14" t="s">
        <v>304</v>
      </c>
      <c r="L49" s="15">
        <v>2.5000000000000001E-2</v>
      </c>
      <c r="M49" s="15">
        <v>0.05</v>
      </c>
      <c r="N49" s="15" t="str">
        <f t="shared" si="1"/>
        <v>2.5%-5.0%</v>
      </c>
      <c r="O49" s="13" t="s">
        <v>305</v>
      </c>
      <c r="P49" s="13" t="s">
        <v>30</v>
      </c>
      <c r="Q49" s="16" t="s">
        <v>127</v>
      </c>
      <c r="R49" s="16" t="s">
        <v>306</v>
      </c>
    </row>
    <row r="50" spans="1:18" ht="102" customHeight="1" x14ac:dyDescent="0.35">
      <c r="A50" t="str">
        <f t="shared" si="0"/>
        <v>TravelAirDefining and enforcing flight class policies ensures cost-effective travel options.</v>
      </c>
      <c r="B50" s="13">
        <v>42</v>
      </c>
      <c r="C50" s="14" t="s">
        <v>33</v>
      </c>
      <c r="D50" s="14" t="s">
        <v>34</v>
      </c>
      <c r="E50" s="14"/>
      <c r="F50" s="14"/>
      <c r="G50" s="14" t="s">
        <v>307</v>
      </c>
      <c r="H50" s="14" t="s">
        <v>308</v>
      </c>
      <c r="I50" s="14" t="s">
        <v>309</v>
      </c>
      <c r="J50" s="14" t="s">
        <v>310</v>
      </c>
      <c r="K50" s="14" t="s">
        <v>311</v>
      </c>
      <c r="L50" s="15">
        <v>1.4999999999999999E-2</v>
      </c>
      <c r="M50" s="15">
        <v>0.03</v>
      </c>
      <c r="N50" s="15" t="str">
        <f t="shared" si="1"/>
        <v>1.5%-3.0%</v>
      </c>
      <c r="O50" s="13" t="s">
        <v>312</v>
      </c>
      <c r="P50" s="13" t="s">
        <v>83</v>
      </c>
      <c r="Q50" s="16" t="s">
        <v>84</v>
      </c>
      <c r="R50" s="16" t="s">
        <v>313</v>
      </c>
    </row>
    <row r="51" spans="1:18" ht="102" customHeight="1" x14ac:dyDescent="0.35">
      <c r="A51" t="str">
        <f t="shared" si="0"/>
        <v>FleetPolicyLeasing duration can vary, offering flexibility in lease terms to suit different needs.</v>
      </c>
      <c r="B51" s="13">
        <v>43</v>
      </c>
      <c r="C51" s="14" t="s">
        <v>53</v>
      </c>
      <c r="D51" s="14" t="s">
        <v>104</v>
      </c>
      <c r="E51" s="14"/>
      <c r="F51" s="14"/>
      <c r="G51" s="14" t="s">
        <v>314</v>
      </c>
      <c r="H51" s="14" t="s">
        <v>315</v>
      </c>
      <c r="I51" s="14" t="s">
        <v>316</v>
      </c>
      <c r="J51" s="14" t="s">
        <v>317</v>
      </c>
      <c r="K51" s="14" t="s">
        <v>318</v>
      </c>
      <c r="L51" s="15">
        <v>2.5000000000000001E-3</v>
      </c>
      <c r="M51" s="15">
        <v>5.0000000000000001E-3</v>
      </c>
      <c r="N51" s="15" t="str">
        <f t="shared" si="1"/>
        <v>0.3%-0.5%</v>
      </c>
      <c r="O51" s="13" t="s">
        <v>319</v>
      </c>
      <c r="P51" s="13" t="s">
        <v>61</v>
      </c>
      <c r="Q51" s="16" t="s">
        <v>320</v>
      </c>
      <c r="R51" s="16" t="s">
        <v>321</v>
      </c>
    </row>
    <row r="52" spans="1:18" ht="102" customHeight="1" x14ac:dyDescent="0.35">
      <c r="A52" t="str">
        <f t="shared" si="0"/>
        <v>MarketingPOS MaterialMove POS material to digital screens</v>
      </c>
      <c r="B52" s="13">
        <v>44</v>
      </c>
      <c r="C52" s="14" t="s">
        <v>322</v>
      </c>
      <c r="D52" s="14" t="s">
        <v>323</v>
      </c>
      <c r="E52" s="14"/>
      <c r="F52" s="14"/>
      <c r="G52" s="14" t="s">
        <v>324</v>
      </c>
      <c r="H52" s="14" t="s">
        <v>325</v>
      </c>
      <c r="I52" s="14" t="s">
        <v>326</v>
      </c>
      <c r="J52" s="14" t="s">
        <v>327</v>
      </c>
      <c r="K52" s="14" t="s">
        <v>328</v>
      </c>
      <c r="L52" s="15">
        <v>1.4999999999999999E-2</v>
      </c>
      <c r="M52" s="15">
        <v>0.03</v>
      </c>
      <c r="N52" s="15" t="str">
        <f t="shared" si="1"/>
        <v>1.5%-3.0%</v>
      </c>
      <c r="O52" s="13" t="s">
        <v>329</v>
      </c>
      <c r="P52" s="13" t="s">
        <v>61</v>
      </c>
      <c r="Q52" s="16" t="s">
        <v>69</v>
      </c>
      <c r="R52" s="16" t="s">
        <v>330</v>
      </c>
    </row>
    <row r="53" spans="1:18" ht="102" customHeight="1" x14ac:dyDescent="0.35">
      <c r="A53" t="str">
        <f t="shared" si="0"/>
        <v>MarketingTraditional MediaEnsure rate commitments for all pursued target audiences in TV/radio.</v>
      </c>
      <c r="B53" s="13">
        <v>45</v>
      </c>
      <c r="C53" s="14" t="s">
        <v>322</v>
      </c>
      <c r="D53" s="14" t="s">
        <v>331</v>
      </c>
      <c r="E53" s="14"/>
      <c r="F53" s="14"/>
      <c r="G53" s="14" t="s">
        <v>332</v>
      </c>
      <c r="H53" s="14" t="s">
        <v>333</v>
      </c>
      <c r="I53" s="14" t="s">
        <v>334</v>
      </c>
      <c r="J53" s="14" t="s">
        <v>335</v>
      </c>
      <c r="K53" s="14" t="s">
        <v>336</v>
      </c>
      <c r="L53" s="15">
        <v>0.01</v>
      </c>
      <c r="M53" s="15">
        <v>0.02</v>
      </c>
      <c r="N53" s="15" t="str">
        <f t="shared" si="1"/>
        <v>1.0%-2.0%</v>
      </c>
      <c r="O53" s="13" t="s">
        <v>337</v>
      </c>
      <c r="P53" s="13" t="s">
        <v>83</v>
      </c>
      <c r="Q53" s="16" t="s">
        <v>84</v>
      </c>
      <c r="R53" s="16" t="s">
        <v>338</v>
      </c>
    </row>
    <row r="54" spans="1:18" ht="102" customHeight="1" x14ac:dyDescent="0.35">
      <c r="A54" t="str">
        <f t="shared" si="0"/>
        <v>PackagingNAThis organization is characterized by the permanent concentration of decision makers in one place plus a dynamic planning process. Via improved information flow, disruption costs are avoided.</v>
      </c>
      <c r="B54" s="13">
        <v>46</v>
      </c>
      <c r="C54" s="14" t="s">
        <v>299</v>
      </c>
      <c r="D54" s="14" t="s">
        <v>23</v>
      </c>
      <c r="E54" s="14"/>
      <c r="F54" s="14"/>
      <c r="G54" s="14" t="s">
        <v>339</v>
      </c>
      <c r="H54" s="14" t="s">
        <v>340</v>
      </c>
      <c r="I54" s="14" t="s">
        <v>341</v>
      </c>
      <c r="J54" s="14" t="s">
        <v>342</v>
      </c>
      <c r="K54" s="14" t="s">
        <v>343</v>
      </c>
      <c r="L54" s="15">
        <v>1.4999999999999999E-2</v>
      </c>
      <c r="M54" s="15">
        <v>0.03</v>
      </c>
      <c r="N54" s="15" t="str">
        <f t="shared" si="1"/>
        <v>1.5%-3.0%</v>
      </c>
      <c r="O54" s="13" t="s">
        <v>344</v>
      </c>
      <c r="P54" s="13" t="s">
        <v>83</v>
      </c>
      <c r="Q54" s="16" t="s">
        <v>150</v>
      </c>
      <c r="R54" s="16" t="s">
        <v>345</v>
      </c>
    </row>
    <row r="55" spans="1:18" ht="102" customHeight="1" x14ac:dyDescent="0.35">
      <c r="A55" t="str">
        <f t="shared" si="0"/>
        <v>PackagingNAClassification of all material/ supplier master data through standardized logic, consistent link-up of master data to the ordering system and avoidance of loosely worded purchase orders.</v>
      </c>
      <c r="B55" s="13">
        <v>47</v>
      </c>
      <c r="C55" s="14" t="s">
        <v>299</v>
      </c>
      <c r="D55" s="14" t="s">
        <v>23</v>
      </c>
      <c r="E55" s="14"/>
      <c r="F55" s="14"/>
      <c r="G55" s="14" t="s">
        <v>346</v>
      </c>
      <c r="H55" s="14" t="s">
        <v>340</v>
      </c>
      <c r="I55" s="14" t="s">
        <v>341</v>
      </c>
      <c r="J55" s="14" t="s">
        <v>342</v>
      </c>
      <c r="K55" s="14" t="s">
        <v>343</v>
      </c>
      <c r="L55" s="15">
        <v>2.5000000000000001E-2</v>
      </c>
      <c r="M55" s="15">
        <v>0.05</v>
      </c>
      <c r="N55" s="15" t="str">
        <f t="shared" si="1"/>
        <v>2.5%-5.0%</v>
      </c>
      <c r="O55" s="13" t="s">
        <v>347</v>
      </c>
      <c r="P55" s="13" t="s">
        <v>83</v>
      </c>
      <c r="Q55" s="16" t="s">
        <v>150</v>
      </c>
      <c r="R55" s="16" t="s">
        <v>348</v>
      </c>
    </row>
    <row r="56" spans="1:18" ht="102" customHeight="1" x14ac:dyDescent="0.35">
      <c r="A56" t="str">
        <f t="shared" si="0"/>
        <v>Temp LabourNATemp labour policy to include Furlough (no temp labour during holiday season, no overtime)</v>
      </c>
      <c r="B56" s="13">
        <v>48</v>
      </c>
      <c r="C56" s="14" t="s">
        <v>189</v>
      </c>
      <c r="D56" s="14" t="s">
        <v>23</v>
      </c>
      <c r="E56" s="14"/>
      <c r="F56" s="14"/>
      <c r="G56" s="14" t="s">
        <v>349</v>
      </c>
      <c r="H56" s="14" t="s">
        <v>56</v>
      </c>
      <c r="I56" s="14" t="s">
        <v>350</v>
      </c>
      <c r="J56" s="14" t="s">
        <v>351</v>
      </c>
      <c r="K56" s="14" t="s">
        <v>352</v>
      </c>
      <c r="L56" s="15">
        <v>0.01</v>
      </c>
      <c r="M56" s="15">
        <v>0.02</v>
      </c>
      <c r="N56" s="15" t="str">
        <f t="shared" si="1"/>
        <v>1.0%-2.0%</v>
      </c>
      <c r="O56" s="13" t="s">
        <v>353</v>
      </c>
      <c r="P56" s="13" t="s">
        <v>61</v>
      </c>
      <c r="Q56" s="16" t="s">
        <v>69</v>
      </c>
      <c r="R56" s="16" t="s">
        <v>354</v>
      </c>
    </row>
    <row r="57" spans="1:18" ht="102" customHeight="1" x14ac:dyDescent="0.35">
      <c r="A57" t="str">
        <f t="shared" si="0"/>
        <v>MRONADispensing controls, like dispensing machines, effectively reduce the need for tools and PPE products. Authorized employees use a card to record and charge each withdrawal to the cost center, significantly reducing material removal and consumption.</v>
      </c>
      <c r="B57" s="13">
        <v>49</v>
      </c>
      <c r="C57" s="14" t="s">
        <v>210</v>
      </c>
      <c r="D57" s="14" t="s">
        <v>23</v>
      </c>
      <c r="E57" s="14"/>
      <c r="F57" s="14"/>
      <c r="G57" s="14" t="s">
        <v>355</v>
      </c>
      <c r="H57" s="14" t="s">
        <v>56</v>
      </c>
      <c r="I57" s="14" t="s">
        <v>356</v>
      </c>
      <c r="J57" s="14" t="s">
        <v>212</v>
      </c>
      <c r="K57" s="14" t="s">
        <v>357</v>
      </c>
      <c r="L57" s="15">
        <v>0.01</v>
      </c>
      <c r="M57" s="15">
        <v>0.02</v>
      </c>
      <c r="N57" s="15" t="str">
        <f t="shared" si="1"/>
        <v>1.0%-2.0%</v>
      </c>
      <c r="O57" s="13" t="s">
        <v>358</v>
      </c>
      <c r="P57" s="13" t="s">
        <v>61</v>
      </c>
      <c r="Q57" s="16" t="s">
        <v>69</v>
      </c>
      <c r="R57" s="16" t="s">
        <v>359</v>
      </c>
    </row>
    <row r="58" spans="1:18" ht="102" customHeight="1" x14ac:dyDescent="0.35">
      <c r="A58" t="str">
        <f t="shared" si="0"/>
        <v>MarketingAd ProductionCentralize all adaptation funding under a single agency.</v>
      </c>
      <c r="B58" s="13">
        <v>50</v>
      </c>
      <c r="C58" s="14" t="s">
        <v>322</v>
      </c>
      <c r="D58" s="14" t="s">
        <v>360</v>
      </c>
      <c r="E58" s="14"/>
      <c r="F58" s="14"/>
      <c r="G58" s="14" t="s">
        <v>361</v>
      </c>
      <c r="H58" s="14" t="s">
        <v>362</v>
      </c>
      <c r="I58" s="14" t="s">
        <v>363</v>
      </c>
      <c r="J58" s="14" t="s">
        <v>364</v>
      </c>
      <c r="K58" s="14" t="s">
        <v>365</v>
      </c>
      <c r="L58" s="15">
        <v>5.0000000000000001E-3</v>
      </c>
      <c r="M58" s="15">
        <v>0.01</v>
      </c>
      <c r="N58" s="15" t="str">
        <f t="shared" si="1"/>
        <v>0.5%-1.0%</v>
      </c>
      <c r="O58" s="13" t="s">
        <v>366</v>
      </c>
      <c r="P58" s="13" t="s">
        <v>30</v>
      </c>
      <c r="Q58" s="16" t="s">
        <v>202</v>
      </c>
      <c r="R58" s="16" t="s">
        <v>367</v>
      </c>
    </row>
    <row r="59" spans="1:18" ht="102" customHeight="1" x14ac:dyDescent="0.35">
      <c r="A59" t="str">
        <f t="shared" si="0"/>
        <v>HRRecruitmentAdopting global strategies for recruiting ensures the selection of the most competitive suppliers, leading to higher quality hires and cost-effective recruitment processes.</v>
      </c>
      <c r="B59" s="13">
        <v>51</v>
      </c>
      <c r="C59" s="14" t="s">
        <v>87</v>
      </c>
      <c r="D59" s="14" t="s">
        <v>136</v>
      </c>
      <c r="E59" s="14"/>
      <c r="F59" s="14"/>
      <c r="G59" s="14" t="s">
        <v>368</v>
      </c>
      <c r="H59" s="14" t="s">
        <v>369</v>
      </c>
      <c r="I59" s="14" t="s">
        <v>370</v>
      </c>
      <c r="J59" s="14" t="s">
        <v>371</v>
      </c>
      <c r="K59" s="14" t="s">
        <v>372</v>
      </c>
      <c r="L59" s="15">
        <v>2.5000000000000001E-2</v>
      </c>
      <c r="M59" s="15">
        <v>0.05</v>
      </c>
      <c r="N59" s="15" t="str">
        <f t="shared" si="1"/>
        <v>2.5%-5.0%</v>
      </c>
      <c r="O59" s="13" t="s">
        <v>373</v>
      </c>
      <c r="P59" s="13" t="s">
        <v>30</v>
      </c>
      <c r="Q59" s="16" t="s">
        <v>31</v>
      </c>
      <c r="R59" s="16" t="s">
        <v>374</v>
      </c>
    </row>
    <row r="60" spans="1:18" ht="102" customHeight="1" x14ac:dyDescent="0.35">
      <c r="A60" t="str">
        <f t="shared" si="0"/>
        <v>Temp LabourNAChallenging of the spec and updating occurs on a regular basis.</v>
      </c>
      <c r="B60" s="13">
        <v>52</v>
      </c>
      <c r="C60" s="14" t="s">
        <v>189</v>
      </c>
      <c r="D60" s="14" t="s">
        <v>23</v>
      </c>
      <c r="E60" s="14"/>
      <c r="F60" s="14"/>
      <c r="G60" s="14" t="s">
        <v>375</v>
      </c>
      <c r="H60" s="14" t="s">
        <v>376</v>
      </c>
      <c r="I60" s="14" t="s">
        <v>377</v>
      </c>
      <c r="J60" s="14" t="s">
        <v>378</v>
      </c>
      <c r="K60" s="14" t="s">
        <v>379</v>
      </c>
      <c r="L60" s="15">
        <v>0.01</v>
      </c>
      <c r="M60" s="15">
        <v>0.02</v>
      </c>
      <c r="N60" s="15" t="str">
        <f t="shared" si="1"/>
        <v>1.0%-2.0%</v>
      </c>
      <c r="O60" s="13" t="s">
        <v>380</v>
      </c>
      <c r="P60" s="13" t="s">
        <v>61</v>
      </c>
      <c r="Q60" s="16" t="s">
        <v>381</v>
      </c>
      <c r="R60" s="16" t="s">
        <v>382</v>
      </c>
    </row>
    <row r="61" spans="1:18" ht="102" customHeight="1" x14ac:dyDescent="0.35">
      <c r="A61" t="str">
        <f t="shared" si="0"/>
        <v>FleetPolicyThe ideal job car should be reliable, fuel-efficient, and comfortable, with ample storage space and advanced safety features.</v>
      </c>
      <c r="B61" s="13">
        <v>53</v>
      </c>
      <c r="C61" s="14" t="s">
        <v>53</v>
      </c>
      <c r="D61" s="14" t="s">
        <v>104</v>
      </c>
      <c r="E61" s="14"/>
      <c r="F61" s="14"/>
      <c r="G61" s="14" t="s">
        <v>383</v>
      </c>
      <c r="H61" s="14" t="s">
        <v>384</v>
      </c>
      <c r="I61" s="14" t="s">
        <v>385</v>
      </c>
      <c r="J61" s="14" t="s">
        <v>386</v>
      </c>
      <c r="K61" s="14" t="s">
        <v>387</v>
      </c>
      <c r="L61" s="15">
        <v>0.01</v>
      </c>
      <c r="M61" s="15">
        <v>0.02</v>
      </c>
      <c r="N61" s="15" t="str">
        <f t="shared" si="1"/>
        <v>1.0%-2.0%</v>
      </c>
      <c r="O61" s="13" t="s">
        <v>388</v>
      </c>
      <c r="P61" s="13" t="s">
        <v>61</v>
      </c>
      <c r="Q61" s="16" t="s">
        <v>381</v>
      </c>
      <c r="R61" s="16" t="s">
        <v>389</v>
      </c>
    </row>
    <row r="62" spans="1:18" ht="102" customHeight="1" x14ac:dyDescent="0.35">
      <c r="A62" t="str">
        <f t="shared" si="0"/>
        <v>HRTrainingSelecting the most competitive training suppliers from a global pool enhances training quality and cost efficiency, overcoming regional supply limitations</v>
      </c>
      <c r="B62" s="13">
        <v>54</v>
      </c>
      <c r="C62" s="14" t="s">
        <v>87</v>
      </c>
      <c r="D62" s="14" t="s">
        <v>88</v>
      </c>
      <c r="E62" s="14"/>
      <c r="F62" s="14"/>
      <c r="G62" s="14" t="s">
        <v>390</v>
      </c>
      <c r="H62" s="14" t="s">
        <v>391</v>
      </c>
      <c r="I62" s="14" t="s">
        <v>392</v>
      </c>
      <c r="J62" s="14" t="s">
        <v>393</v>
      </c>
      <c r="K62" s="14" t="s">
        <v>394</v>
      </c>
      <c r="L62" s="15">
        <v>2.5000000000000001E-2</v>
      </c>
      <c r="M62" s="15">
        <v>0.05</v>
      </c>
      <c r="N62" s="15" t="str">
        <f t="shared" si="1"/>
        <v>2.5%-5.0%</v>
      </c>
      <c r="O62" s="13" t="s">
        <v>395</v>
      </c>
      <c r="P62" s="13" t="s">
        <v>30</v>
      </c>
      <c r="Q62" s="16" t="s">
        <v>31</v>
      </c>
      <c r="R62" s="16" t="s">
        <v>396</v>
      </c>
    </row>
    <row r="63" spans="1:18" ht="102" customHeight="1" x14ac:dyDescent="0.35">
      <c r="A63" t="str">
        <f t="shared" si="0"/>
        <v>LogisticsCEP LogisticsOptimize service levels by aligning demand with value-based sourcing categories.</v>
      </c>
      <c r="B63" s="13">
        <v>55</v>
      </c>
      <c r="C63" s="14" t="s">
        <v>119</v>
      </c>
      <c r="D63" s="14" t="s">
        <v>120</v>
      </c>
      <c r="E63" s="14"/>
      <c r="F63" s="14"/>
      <c r="G63" s="14" t="s">
        <v>397</v>
      </c>
      <c r="H63" s="14" t="s">
        <v>122</v>
      </c>
      <c r="I63" s="14" t="s">
        <v>398</v>
      </c>
      <c r="J63" s="14" t="s">
        <v>399</v>
      </c>
      <c r="K63" s="14" t="s">
        <v>400</v>
      </c>
      <c r="L63" s="15">
        <v>0.01</v>
      </c>
      <c r="M63" s="15">
        <v>0.02</v>
      </c>
      <c r="N63" s="15" t="str">
        <f t="shared" si="1"/>
        <v>1.0%-2.0%</v>
      </c>
      <c r="O63" s="13" t="s">
        <v>401</v>
      </c>
      <c r="P63" s="13" t="s">
        <v>61</v>
      </c>
      <c r="Q63" s="16" t="s">
        <v>402</v>
      </c>
      <c r="R63" s="16" t="s">
        <v>403</v>
      </c>
    </row>
    <row r="64" spans="1:18" ht="102" customHeight="1" x14ac:dyDescent="0.35">
      <c r="A64" t="str">
        <f t="shared" si="0"/>
        <v>MarketingEventsUse ROI analysis to enhance event demand.</v>
      </c>
      <c r="B64" s="13">
        <v>56</v>
      </c>
      <c r="C64" s="14" t="s">
        <v>322</v>
      </c>
      <c r="D64" s="14" t="s">
        <v>404</v>
      </c>
      <c r="E64" s="14"/>
      <c r="F64" s="14"/>
      <c r="G64" s="14" t="s">
        <v>405</v>
      </c>
      <c r="H64" s="14" t="s">
        <v>406</v>
      </c>
      <c r="I64" s="14" t="s">
        <v>407</v>
      </c>
      <c r="J64" s="14" t="s">
        <v>408</v>
      </c>
      <c r="K64" s="14" t="s">
        <v>409</v>
      </c>
      <c r="L64" s="15">
        <v>0.02</v>
      </c>
      <c r="M64" s="15">
        <v>0.04</v>
      </c>
      <c r="N64" s="15" t="str">
        <f t="shared" si="1"/>
        <v>2.0%-4.0%</v>
      </c>
      <c r="O64" s="13" t="s">
        <v>410</v>
      </c>
      <c r="P64" s="13" t="s">
        <v>61</v>
      </c>
      <c r="Q64" s="16" t="s">
        <v>411</v>
      </c>
      <c r="R64" s="16" t="s">
        <v>412</v>
      </c>
    </row>
    <row r="65" spans="1:18" ht="102" customHeight="1" x14ac:dyDescent="0.35">
      <c r="A65" t="str">
        <f t="shared" si="0"/>
        <v>ITIT helpdeskUtilize automation for tasks like password resets to enhance efficiency.</v>
      </c>
      <c r="B65" s="13">
        <v>57</v>
      </c>
      <c r="C65" s="14" t="s">
        <v>265</v>
      </c>
      <c r="D65" s="14" t="s">
        <v>276</v>
      </c>
      <c r="E65" s="14"/>
      <c r="F65" s="14"/>
      <c r="G65" s="14" t="s">
        <v>413</v>
      </c>
      <c r="H65" s="14" t="s">
        <v>414</v>
      </c>
      <c r="I65" s="14" t="s">
        <v>415</v>
      </c>
      <c r="J65" s="14" t="s">
        <v>416</v>
      </c>
      <c r="K65" s="14" t="s">
        <v>417</v>
      </c>
      <c r="L65" s="15">
        <v>1.4999999999999999E-2</v>
      </c>
      <c r="M65" s="15">
        <v>0.03</v>
      </c>
      <c r="N65" s="15" t="str">
        <f t="shared" si="1"/>
        <v>1.5%-3.0%</v>
      </c>
      <c r="O65" s="13" t="s">
        <v>418</v>
      </c>
      <c r="P65" s="13" t="s">
        <v>61</v>
      </c>
      <c r="Q65" s="16" t="s">
        <v>62</v>
      </c>
      <c r="R65" s="16" t="s">
        <v>419</v>
      </c>
    </row>
    <row r="66" spans="1:18" ht="102" customHeight="1" x14ac:dyDescent="0.35">
      <c r="A66" t="str">
        <f t="shared" si="0"/>
        <v>FleetPolicyThe Optimal Cross-Functional Car Policy ensures efficient vehicle use and maintenance across departments, promoting cost-effectiveness, safety, sustainability, and compliance with organizational goals.</v>
      </c>
      <c r="B66" s="13">
        <v>58</v>
      </c>
      <c r="C66" s="14" t="s">
        <v>53</v>
      </c>
      <c r="D66" s="14" t="s">
        <v>104</v>
      </c>
      <c r="E66" s="14"/>
      <c r="F66" s="14"/>
      <c r="G66" s="14" t="s">
        <v>420</v>
      </c>
      <c r="H66" s="14" t="s">
        <v>421</v>
      </c>
      <c r="I66" s="14" t="s">
        <v>422</v>
      </c>
      <c r="J66" s="14" t="s">
        <v>423</v>
      </c>
      <c r="K66" s="14" t="s">
        <v>424</v>
      </c>
      <c r="L66" s="15">
        <v>0.01</v>
      </c>
      <c r="M66" s="15">
        <v>0.02</v>
      </c>
      <c r="N66" s="15" t="str">
        <f t="shared" si="1"/>
        <v>1.0%-2.0%</v>
      </c>
      <c r="O66" s="13" t="s">
        <v>425</v>
      </c>
      <c r="P66" s="13" t="s">
        <v>83</v>
      </c>
      <c r="Q66" s="16" t="s">
        <v>84</v>
      </c>
      <c r="R66" s="16" t="s">
        <v>426</v>
      </c>
    </row>
    <row r="67" spans="1:18" ht="102" customHeight="1" x14ac:dyDescent="0.35">
      <c r="A67" t="str">
        <f t="shared" si="0"/>
        <v>ConsultingNAImplementing a robust performance monitoring system for consulting providers ensures adherence to service agreements and budget, resulting in high-quality service delivery and maximizing return on investment.</v>
      </c>
      <c r="B67" s="13">
        <v>59</v>
      </c>
      <c r="C67" s="14" t="s">
        <v>144</v>
      </c>
      <c r="D67" s="14" t="s">
        <v>23</v>
      </c>
      <c r="E67" s="14"/>
      <c r="F67" s="14"/>
      <c r="G67" s="14" t="s">
        <v>427</v>
      </c>
      <c r="H67" s="14" t="s">
        <v>428</v>
      </c>
      <c r="I67" s="14" t="s">
        <v>429</v>
      </c>
      <c r="J67" s="14" t="s">
        <v>430</v>
      </c>
      <c r="K67" s="14" t="s">
        <v>431</v>
      </c>
      <c r="L67" s="15">
        <v>5.0000000000000001E-3</v>
      </c>
      <c r="M67" s="15">
        <v>0.01</v>
      </c>
      <c r="N67" s="15" t="str">
        <f t="shared" si="1"/>
        <v>0.5%-1.0%</v>
      </c>
      <c r="O67" s="13" t="s">
        <v>432</v>
      </c>
      <c r="P67" s="13" t="s">
        <v>83</v>
      </c>
      <c r="Q67" s="16" t="s">
        <v>84</v>
      </c>
      <c r="R67" s="16" t="s">
        <v>433</v>
      </c>
    </row>
    <row r="68" spans="1:18" ht="102" customHeight="1" x14ac:dyDescent="0.35">
      <c r="A68" t="str">
        <f t="shared" si="0"/>
        <v>Facility ManagementNAEnsure comprehensive transparency in demands and needs for soft services to achieve harmonized SLAs and maintain controlled spending, enhancing service provider monitoring.</v>
      </c>
      <c r="B68" s="13">
        <v>60</v>
      </c>
      <c r="C68" s="14" t="s">
        <v>434</v>
      </c>
      <c r="D68" s="14" t="s">
        <v>23</v>
      </c>
      <c r="E68" s="14"/>
      <c r="F68" s="14"/>
      <c r="G68" s="14" t="s">
        <v>435</v>
      </c>
      <c r="H68" s="14" t="s">
        <v>436</v>
      </c>
      <c r="I68" s="14" t="s">
        <v>437</v>
      </c>
      <c r="J68" s="14" t="s">
        <v>438</v>
      </c>
      <c r="K68" s="14" t="s">
        <v>439</v>
      </c>
      <c r="L68" s="15">
        <v>0.01</v>
      </c>
      <c r="M68" s="15">
        <v>0.02</v>
      </c>
      <c r="N68" s="15" t="str">
        <f t="shared" si="1"/>
        <v>1.0%-2.0%</v>
      </c>
      <c r="O68" s="13" t="s">
        <v>440</v>
      </c>
      <c r="P68" s="13" t="s">
        <v>83</v>
      </c>
      <c r="Q68" s="16" t="s">
        <v>84</v>
      </c>
      <c r="R68" s="16" t="s">
        <v>441</v>
      </c>
    </row>
    <row r="69" spans="1:18" ht="102" customHeight="1" x14ac:dyDescent="0.35">
      <c r="A69" t="str">
        <f t="shared" si="0"/>
        <v>ConsultingNATo select suppliers, a RFP must be set-up where commercial has a min. relevance of 40%</v>
      </c>
      <c r="B69" s="13">
        <v>61</v>
      </c>
      <c r="C69" s="14" t="s">
        <v>144</v>
      </c>
      <c r="D69" s="14" t="s">
        <v>23</v>
      </c>
      <c r="E69" s="14"/>
      <c r="F69" s="14"/>
      <c r="G69" s="14" t="s">
        <v>442</v>
      </c>
      <c r="H69" s="14" t="s">
        <v>443</v>
      </c>
      <c r="I69" s="14" t="s">
        <v>444</v>
      </c>
      <c r="J69" s="14" t="s">
        <v>445</v>
      </c>
      <c r="K69" s="14" t="s">
        <v>446</v>
      </c>
      <c r="L69" s="15">
        <v>0.01</v>
      </c>
      <c r="M69" s="15">
        <v>0.02</v>
      </c>
      <c r="N69" s="15" t="str">
        <f t="shared" si="1"/>
        <v>1.0%-2.0%</v>
      </c>
      <c r="O69" s="13" t="s">
        <v>447</v>
      </c>
      <c r="P69" s="13" t="s">
        <v>30</v>
      </c>
      <c r="Q69" s="16" t="s">
        <v>165</v>
      </c>
      <c r="R69" s="16" t="s">
        <v>448</v>
      </c>
    </row>
    <row r="70" spans="1:18" ht="102" customHeight="1" x14ac:dyDescent="0.35">
      <c r="A70" t="str">
        <f t="shared" si="0"/>
        <v>FleetPolicySetting service levels based on comprehensive price comparison and contract terms helps ensure that fleet lifecycle costs are commercially suitable. This method allows for the utilization of the minimum number of assets necessary, optimizing costs and maintaining high service standards.</v>
      </c>
      <c r="B70" s="13">
        <v>62</v>
      </c>
      <c r="C70" s="14" t="s">
        <v>53</v>
      </c>
      <c r="D70" s="14" t="s">
        <v>104</v>
      </c>
      <c r="E70" s="14"/>
      <c r="F70" s="14"/>
      <c r="G70" s="14" t="s">
        <v>449</v>
      </c>
      <c r="H70" s="14" t="s">
        <v>450</v>
      </c>
      <c r="I70" s="14" t="s">
        <v>451</v>
      </c>
      <c r="J70" s="14" t="s">
        <v>452</v>
      </c>
      <c r="K70" s="14" t="s">
        <v>453</v>
      </c>
      <c r="L70" s="15">
        <v>5.0000000000000001E-3</v>
      </c>
      <c r="M70" s="15">
        <v>0.01</v>
      </c>
      <c r="N70" s="15" t="str">
        <f t="shared" si="1"/>
        <v>0.5%-1.0%</v>
      </c>
      <c r="O70" s="13" t="s">
        <v>454</v>
      </c>
      <c r="P70" s="13" t="s">
        <v>61</v>
      </c>
      <c r="Q70" s="16" t="s">
        <v>111</v>
      </c>
      <c r="R70" s="16" t="s">
        <v>455</v>
      </c>
    </row>
    <row r="71" spans="1:18" ht="102" customHeight="1" x14ac:dyDescent="0.35">
      <c r="A71" t="str">
        <f t="shared" si="0"/>
        <v>PackagingNAExpressive bidding refers to obtaining supplier offers while allowing for “if-then” conditions (e.g. delivery period, service levels).</v>
      </c>
      <c r="B71" s="13">
        <v>63</v>
      </c>
      <c r="C71" s="14" t="s">
        <v>299</v>
      </c>
      <c r="D71" s="14" t="s">
        <v>23</v>
      </c>
      <c r="E71" s="14"/>
      <c r="F71" s="14"/>
      <c r="G71" s="14" t="s">
        <v>456</v>
      </c>
      <c r="H71" s="14" t="s">
        <v>457</v>
      </c>
      <c r="I71" s="14" t="s">
        <v>458</v>
      </c>
      <c r="J71" s="14" t="s">
        <v>459</v>
      </c>
      <c r="K71" s="14" t="s">
        <v>460</v>
      </c>
      <c r="L71" s="15">
        <v>0.03</v>
      </c>
      <c r="M71" s="15">
        <v>0.06</v>
      </c>
      <c r="N71" s="15" t="str">
        <f t="shared" si="1"/>
        <v>3.0%-6.0%</v>
      </c>
      <c r="O71" s="13" t="s">
        <v>461</v>
      </c>
      <c r="P71" s="13" t="s">
        <v>30</v>
      </c>
      <c r="Q71" s="16" t="s">
        <v>165</v>
      </c>
      <c r="R71" s="16" t="s">
        <v>298</v>
      </c>
    </row>
    <row r="72" spans="1:18" ht="102" customHeight="1" x14ac:dyDescent="0.35">
      <c r="A72" t="str">
        <f t="shared" si="0"/>
        <v>Facility ManagementNAAim for high standardization across sites, using a tiered system if needed, to categorize buildings for applicable standards.</v>
      </c>
      <c r="B72" s="13">
        <v>64</v>
      </c>
      <c r="C72" s="14" t="s">
        <v>434</v>
      </c>
      <c r="D72" s="14" t="s">
        <v>23</v>
      </c>
      <c r="E72" s="14"/>
      <c r="F72" s="14"/>
      <c r="G72" s="14" t="s">
        <v>462</v>
      </c>
      <c r="H72" s="14" t="s">
        <v>436</v>
      </c>
      <c r="I72" s="14" t="s">
        <v>437</v>
      </c>
      <c r="J72" s="14" t="s">
        <v>438</v>
      </c>
      <c r="K72" s="14" t="s">
        <v>439</v>
      </c>
      <c r="L72" s="15">
        <v>0.01</v>
      </c>
      <c r="M72" s="15">
        <v>0.02</v>
      </c>
      <c r="N72" s="15" t="str">
        <f t="shared" si="1"/>
        <v>1.0%-2.0%</v>
      </c>
      <c r="O72" s="13" t="s">
        <v>463</v>
      </c>
      <c r="P72" s="13" t="s">
        <v>61</v>
      </c>
      <c r="Q72" s="16" t="s">
        <v>381</v>
      </c>
      <c r="R72" s="16" t="s">
        <v>464</v>
      </c>
    </row>
    <row r="73" spans="1:18" ht="102" customHeight="1" x14ac:dyDescent="0.35">
      <c r="A73" t="str">
        <f t="shared" si="0"/>
        <v>MRONADistributors can meet much of the MRO demand with their broad white-label portfolio and support their implementation. For the "Other" product group, 40% coverage is assumed.</v>
      </c>
      <c r="B73" s="13">
        <v>65</v>
      </c>
      <c r="C73" s="14" t="s">
        <v>210</v>
      </c>
      <c r="D73" s="14" t="s">
        <v>23</v>
      </c>
      <c r="E73" s="14"/>
      <c r="F73" s="14"/>
      <c r="G73" s="14" t="s">
        <v>465</v>
      </c>
      <c r="H73" s="14" t="s">
        <v>436</v>
      </c>
      <c r="I73" s="14" t="s">
        <v>466</v>
      </c>
      <c r="J73" s="14" t="s">
        <v>467</v>
      </c>
      <c r="K73" s="14" t="s">
        <v>468</v>
      </c>
      <c r="L73" s="15">
        <v>1.4999999999999999E-2</v>
      </c>
      <c r="M73" s="15">
        <v>0.03</v>
      </c>
      <c r="N73" s="15" t="str">
        <f t="shared" si="1"/>
        <v>1.5%-3.0%</v>
      </c>
      <c r="O73" s="13" t="s">
        <v>469</v>
      </c>
      <c r="P73" s="13" t="s">
        <v>30</v>
      </c>
      <c r="Q73" s="16" t="s">
        <v>41</v>
      </c>
      <c r="R73" s="16" t="s">
        <v>470</v>
      </c>
    </row>
    <row r="74" spans="1:18" ht="102" customHeight="1" x14ac:dyDescent="0.35">
      <c r="A74" t="str">
        <f t="shared" ref="A74:A137" si="2">_xlfn.CONCAT(C74,D74,O74)</f>
        <v>MRONAWhite-label products offer a budget-friendly option compared to OEM parts, but ensuring their technical equivalence is crucial. The approval process for these products requires urgent review and optimization. Distributors are in a position to initiate and oversee this improvement.</v>
      </c>
      <c r="B74" s="13">
        <v>66</v>
      </c>
      <c r="C74" s="14" t="s">
        <v>210</v>
      </c>
      <c r="D74" s="14" t="s">
        <v>23</v>
      </c>
      <c r="E74" s="14"/>
      <c r="F74" s="14"/>
      <c r="G74" s="14" t="s">
        <v>471</v>
      </c>
      <c r="H74" s="14" t="s">
        <v>472</v>
      </c>
      <c r="I74" s="14" t="s">
        <v>473</v>
      </c>
      <c r="J74" s="14" t="s">
        <v>474</v>
      </c>
      <c r="K74" s="14" t="s">
        <v>475</v>
      </c>
      <c r="L74" s="15">
        <v>0.01</v>
      </c>
      <c r="M74" s="15">
        <v>0.02</v>
      </c>
      <c r="N74" s="15" t="str">
        <f t="shared" ref="N74:N137" si="3">_xlfn.CONCAT(TEXT(L74,"0.0%"),"-",TEXT(M74,"0.0%"))</f>
        <v>1.0%-2.0%</v>
      </c>
      <c r="O74" s="13" t="s">
        <v>476</v>
      </c>
      <c r="P74" s="13" t="s">
        <v>30</v>
      </c>
      <c r="Q74" s="16" t="s">
        <v>477</v>
      </c>
      <c r="R74" s="16" t="s">
        <v>478</v>
      </c>
    </row>
    <row r="75" spans="1:18" ht="102" customHeight="1" x14ac:dyDescent="0.35">
      <c r="A75" t="str">
        <f t="shared" si="2"/>
        <v>LogisticsRoad LogisticsFirms often have multiple supplier rate cards, with varying prices for different weight buckets or service levels. A system recommending the best option for each shipment can optimize costs and efficiency.</v>
      </c>
      <c r="B75" s="13">
        <v>67</v>
      </c>
      <c r="C75" s="14" t="s">
        <v>119</v>
      </c>
      <c r="D75" s="14" t="s">
        <v>295</v>
      </c>
      <c r="E75" s="14"/>
      <c r="F75" s="14"/>
      <c r="G75" s="14" t="s">
        <v>479</v>
      </c>
      <c r="H75" s="14" t="s">
        <v>122</v>
      </c>
      <c r="I75" s="14" t="s">
        <v>480</v>
      </c>
      <c r="J75" s="14" t="s">
        <v>481</v>
      </c>
      <c r="K75" s="14" t="s">
        <v>482</v>
      </c>
      <c r="L75" s="15">
        <v>2.5000000000000001E-3</v>
      </c>
      <c r="M75" s="15">
        <v>5.0000000000000001E-3</v>
      </c>
      <c r="N75" s="15" t="str">
        <f t="shared" si="3"/>
        <v>0.3%-0.5%</v>
      </c>
      <c r="O75" s="13" t="s">
        <v>483</v>
      </c>
      <c r="P75" s="13" t="s">
        <v>83</v>
      </c>
      <c r="Q75" s="16" t="s">
        <v>84</v>
      </c>
      <c r="R75" s="16" t="s">
        <v>484</v>
      </c>
    </row>
    <row r="76" spans="1:18" ht="102" customHeight="1" x14ac:dyDescent="0.35">
      <c r="A76" t="str">
        <f t="shared" si="2"/>
        <v>Temp LabourNAPre-define the strategy regarding temps vs. perms. Ensure departments adhere to their budgets</v>
      </c>
      <c r="B76" s="13">
        <v>68</v>
      </c>
      <c r="C76" s="14" t="s">
        <v>189</v>
      </c>
      <c r="D76" s="14" t="s">
        <v>23</v>
      </c>
      <c r="E76" s="14"/>
      <c r="F76" s="14"/>
      <c r="G76" s="14" t="s">
        <v>485</v>
      </c>
      <c r="H76" s="14" t="s">
        <v>486</v>
      </c>
      <c r="I76" s="14" t="s">
        <v>487</v>
      </c>
      <c r="J76" s="14" t="s">
        <v>488</v>
      </c>
      <c r="K76" s="14" t="s">
        <v>489</v>
      </c>
      <c r="L76" s="15">
        <v>1.4999999999999999E-2</v>
      </c>
      <c r="M76" s="15">
        <v>0.03</v>
      </c>
      <c r="N76" s="15" t="str">
        <f t="shared" si="3"/>
        <v>1.5%-3.0%</v>
      </c>
      <c r="O76" s="13" t="s">
        <v>490</v>
      </c>
      <c r="P76" s="13" t="s">
        <v>61</v>
      </c>
      <c r="Q76" s="16" t="s">
        <v>491</v>
      </c>
      <c r="R76" s="16" t="s">
        <v>492</v>
      </c>
    </row>
    <row r="77" spans="1:18" ht="102" customHeight="1" x14ac:dyDescent="0.35">
      <c r="A77" t="str">
        <f t="shared" si="2"/>
        <v>HRTrainingConduct demand management: reduce not obligatory trainings.</v>
      </c>
      <c r="B77" s="13">
        <v>69</v>
      </c>
      <c r="C77" s="14" t="s">
        <v>87</v>
      </c>
      <c r="D77" s="14" t="s">
        <v>88</v>
      </c>
      <c r="E77" s="14"/>
      <c r="F77" s="14"/>
      <c r="G77" s="14" t="s">
        <v>493</v>
      </c>
      <c r="H77" s="14" t="s">
        <v>494</v>
      </c>
      <c r="I77" s="14" t="s">
        <v>495</v>
      </c>
      <c r="J77" s="14" t="s">
        <v>496</v>
      </c>
      <c r="K77" s="14" t="s">
        <v>497</v>
      </c>
      <c r="L77" s="15">
        <v>2.5000000000000001E-2</v>
      </c>
      <c r="M77" s="15">
        <v>0.05</v>
      </c>
      <c r="N77" s="15" t="str">
        <f t="shared" si="3"/>
        <v>2.5%-5.0%</v>
      </c>
      <c r="O77" s="13" t="s">
        <v>498</v>
      </c>
      <c r="P77" s="13" t="s">
        <v>61</v>
      </c>
      <c r="Q77" s="16" t="s">
        <v>69</v>
      </c>
      <c r="R77" s="16" t="s">
        <v>499</v>
      </c>
    </row>
    <row r="78" spans="1:18" ht="102" customHeight="1" x14ac:dyDescent="0.35">
      <c r="A78" t="str">
        <f t="shared" si="2"/>
        <v>Temp LabourNAGlobal RFPs are conducted every 2-3 years, requesting additional savings ideas (e.g., reducing equal pay in Germany).</v>
      </c>
      <c r="B78" s="13">
        <v>70</v>
      </c>
      <c r="C78" s="14" t="s">
        <v>189</v>
      </c>
      <c r="D78" s="14" t="s">
        <v>23</v>
      </c>
      <c r="E78" s="14"/>
      <c r="F78" s="14"/>
      <c r="G78" s="14" t="s">
        <v>500</v>
      </c>
      <c r="H78" s="14" t="s">
        <v>501</v>
      </c>
      <c r="I78" s="14" t="s">
        <v>502</v>
      </c>
      <c r="J78" s="14" t="s">
        <v>503</v>
      </c>
      <c r="K78" s="14" t="s">
        <v>504</v>
      </c>
      <c r="L78" s="15">
        <v>5.0000000000000001E-3</v>
      </c>
      <c r="M78" s="15">
        <v>0.01</v>
      </c>
      <c r="N78" s="15" t="str">
        <f t="shared" si="3"/>
        <v>0.5%-1.0%</v>
      </c>
      <c r="O78" s="13" t="s">
        <v>505</v>
      </c>
      <c r="P78" s="13" t="s">
        <v>30</v>
      </c>
      <c r="Q78" s="16" t="s">
        <v>165</v>
      </c>
      <c r="R78" s="16" t="s">
        <v>506</v>
      </c>
    </row>
    <row r="79" spans="1:18" ht="102" customHeight="1" x14ac:dyDescent="0.35">
      <c r="A79" t="str">
        <f t="shared" si="2"/>
        <v>HRTrainingStreamlining the training approval process and ensuring adherence to guidelines results in efficient procurement and cost savings</v>
      </c>
      <c r="B79" s="13">
        <v>71</v>
      </c>
      <c r="C79" s="14" t="s">
        <v>87</v>
      </c>
      <c r="D79" s="14" t="s">
        <v>88</v>
      </c>
      <c r="E79" s="14"/>
      <c r="F79" s="14"/>
      <c r="G79" s="14" t="s">
        <v>507</v>
      </c>
      <c r="H79" s="14" t="s">
        <v>508</v>
      </c>
      <c r="I79" s="14" t="s">
        <v>509</v>
      </c>
      <c r="J79" s="14"/>
      <c r="K79" s="14" t="s">
        <v>510</v>
      </c>
      <c r="L79" s="15">
        <v>1.4999999999999999E-2</v>
      </c>
      <c r="M79" s="15">
        <v>0.03</v>
      </c>
      <c r="N79" s="15" t="str">
        <f t="shared" si="3"/>
        <v>1.5%-3.0%</v>
      </c>
      <c r="O79" s="13" t="s">
        <v>511</v>
      </c>
      <c r="P79" s="13" t="s">
        <v>83</v>
      </c>
      <c r="Q79" s="16" t="s">
        <v>150</v>
      </c>
      <c r="R79" s="16" t="s">
        <v>512</v>
      </c>
    </row>
    <row r="80" spans="1:18" ht="102" customHeight="1" x14ac:dyDescent="0.35">
      <c r="A80" t="str">
        <f t="shared" si="2"/>
        <v>ITEnd user/ Workplace HardwareStandardized hardware specifications / product variants. This enables more efficient sourcing &amp; buying, along with better consistency and more streamlined support processes.</v>
      </c>
      <c r="B80" s="13">
        <v>72</v>
      </c>
      <c r="C80" s="14" t="s">
        <v>265</v>
      </c>
      <c r="D80" s="14" t="s">
        <v>513</v>
      </c>
      <c r="E80" s="14"/>
      <c r="F80" s="14"/>
      <c r="G80" s="14" t="s">
        <v>514</v>
      </c>
      <c r="H80" s="14" t="s">
        <v>515</v>
      </c>
      <c r="I80" s="14" t="s">
        <v>212</v>
      </c>
      <c r="J80" s="14" t="s">
        <v>516</v>
      </c>
      <c r="K80" s="14" t="s">
        <v>517</v>
      </c>
      <c r="L80" s="15">
        <v>0.01</v>
      </c>
      <c r="M80" s="15">
        <v>0.02</v>
      </c>
      <c r="N80" s="15" t="str">
        <f t="shared" si="3"/>
        <v>1.0%-2.0%</v>
      </c>
      <c r="O80" s="13" t="s">
        <v>518</v>
      </c>
      <c r="P80" s="13" t="s">
        <v>61</v>
      </c>
      <c r="Q80" s="16" t="s">
        <v>381</v>
      </c>
      <c r="R80" s="16" t="s">
        <v>519</v>
      </c>
    </row>
    <row r="81" spans="1:18" ht="102" customHeight="1" x14ac:dyDescent="0.35">
      <c r="A81" t="str">
        <f t="shared" si="2"/>
        <v>Facility ManagementNAEstablish a central Facility Management organization for easier service provider monitoring, increased transparency, and better control over categories and services.</v>
      </c>
      <c r="B81" s="13">
        <v>73</v>
      </c>
      <c r="C81" s="14" t="s">
        <v>434</v>
      </c>
      <c r="D81" s="14" t="s">
        <v>23</v>
      </c>
      <c r="E81" s="14"/>
      <c r="F81" s="14"/>
      <c r="G81" s="14" t="s">
        <v>520</v>
      </c>
      <c r="H81" s="14" t="s">
        <v>521</v>
      </c>
      <c r="I81" s="14" t="s">
        <v>522</v>
      </c>
      <c r="J81" s="14" t="s">
        <v>523</v>
      </c>
      <c r="K81" s="14" t="s">
        <v>524</v>
      </c>
      <c r="L81" s="15">
        <v>5.0000000000000001E-3</v>
      </c>
      <c r="M81" s="15">
        <v>0.01</v>
      </c>
      <c r="N81" s="15" t="str">
        <f t="shared" si="3"/>
        <v>0.5%-1.0%</v>
      </c>
      <c r="O81" s="13" t="s">
        <v>525</v>
      </c>
      <c r="P81" s="13" t="s">
        <v>83</v>
      </c>
      <c r="Q81" s="16" t="s">
        <v>150</v>
      </c>
      <c r="R81" s="16" t="s">
        <v>526</v>
      </c>
    </row>
    <row r="82" spans="1:18" ht="102" customHeight="1" x14ac:dyDescent="0.35">
      <c r="A82" t="str">
        <f t="shared" si="2"/>
        <v>TravelTravel Management AgencyConsolidating travel agencies leverages volume bundling, reducing costs through economies of scale.</v>
      </c>
      <c r="B82" s="13">
        <v>74</v>
      </c>
      <c r="C82" s="14" t="s">
        <v>33</v>
      </c>
      <c r="D82" s="14" t="s">
        <v>527</v>
      </c>
      <c r="E82" s="14"/>
      <c r="F82" s="14"/>
      <c r="G82" s="14" t="s">
        <v>528</v>
      </c>
      <c r="H82" s="14" t="s">
        <v>529</v>
      </c>
      <c r="I82" s="14" t="s">
        <v>530</v>
      </c>
      <c r="J82" s="14" t="s">
        <v>531</v>
      </c>
      <c r="K82" s="14" t="s">
        <v>532</v>
      </c>
      <c r="L82" s="15">
        <v>0.02</v>
      </c>
      <c r="M82" s="15">
        <v>0.04</v>
      </c>
      <c r="N82" s="15" t="str">
        <f t="shared" si="3"/>
        <v>2.0%-4.0%</v>
      </c>
      <c r="O82" s="13" t="s">
        <v>533</v>
      </c>
      <c r="P82" s="13" t="s">
        <v>30</v>
      </c>
      <c r="Q82" s="16" t="s">
        <v>202</v>
      </c>
      <c r="R82" s="16" t="s">
        <v>286</v>
      </c>
    </row>
    <row r="83" spans="1:18" ht="102" customHeight="1" x14ac:dyDescent="0.35">
      <c r="A83" t="str">
        <f t="shared" si="2"/>
        <v>LogisticsRoad LogisticsIn the current market, carriers can cherry-pick customers and loads, so it's crucial to become a shipper of choice by enhancing warehouse infrastructure and improving communication with carriers.</v>
      </c>
      <c r="B83" s="13">
        <v>75</v>
      </c>
      <c r="C83" s="14" t="s">
        <v>119</v>
      </c>
      <c r="D83" s="14" t="s">
        <v>295</v>
      </c>
      <c r="E83" s="14"/>
      <c r="F83" s="14"/>
      <c r="G83" s="14" t="s">
        <v>534</v>
      </c>
      <c r="H83" s="14" t="s">
        <v>535</v>
      </c>
      <c r="I83" s="14" t="s">
        <v>536</v>
      </c>
      <c r="J83" s="14" t="s">
        <v>537</v>
      </c>
      <c r="K83" s="14" t="s">
        <v>538</v>
      </c>
      <c r="L83" s="15">
        <v>2.5000000000000001E-3</v>
      </c>
      <c r="M83" s="15">
        <v>5.0000000000000001E-3</v>
      </c>
      <c r="N83" s="15" t="str">
        <f t="shared" si="3"/>
        <v>0.3%-0.5%</v>
      </c>
      <c r="O83" s="13" t="s">
        <v>539</v>
      </c>
      <c r="P83" s="13" t="s">
        <v>50</v>
      </c>
      <c r="Q83" s="16" t="s">
        <v>134</v>
      </c>
      <c r="R83" s="16" t="s">
        <v>540</v>
      </c>
    </row>
    <row r="84" spans="1:18" ht="102" customHeight="1" x14ac:dyDescent="0.35">
      <c r="A84" t="str">
        <f t="shared" si="2"/>
        <v>LogisticsLOG OceanLeveraging carrier participation for competitive ocean freight rates.</v>
      </c>
      <c r="B84" s="13">
        <v>76</v>
      </c>
      <c r="C84" s="14" t="s">
        <v>119</v>
      </c>
      <c r="D84" s="14" t="s">
        <v>287</v>
      </c>
      <c r="E84" s="14"/>
      <c r="F84" s="14"/>
      <c r="G84" s="14" t="s">
        <v>534</v>
      </c>
      <c r="H84" s="14" t="s">
        <v>535</v>
      </c>
      <c r="I84" s="14" t="s">
        <v>536</v>
      </c>
      <c r="J84" s="14" t="s">
        <v>541</v>
      </c>
      <c r="K84" s="14" t="s">
        <v>542</v>
      </c>
      <c r="L84" s="15">
        <v>5.0000000000000001E-3</v>
      </c>
      <c r="M84" s="15">
        <v>0.01</v>
      </c>
      <c r="N84" s="15" t="str">
        <f t="shared" si="3"/>
        <v>0.5%-1.0%</v>
      </c>
      <c r="O84" s="13" t="s">
        <v>543</v>
      </c>
      <c r="P84" s="13" t="s">
        <v>30</v>
      </c>
      <c r="Q84" s="16" t="s">
        <v>165</v>
      </c>
      <c r="R84" s="16" t="s">
        <v>544</v>
      </c>
    </row>
    <row r="85" spans="1:18" ht="102" customHeight="1" x14ac:dyDescent="0.35">
      <c r="A85" t="str">
        <f t="shared" si="2"/>
        <v>LogisticsRoad LogisticsTransportation is often managed by a long-term partner with premium rates, but regularly seeking multiple quotes for large volumes helps identify alternatives and true market rates.</v>
      </c>
      <c r="B85" s="13">
        <v>77</v>
      </c>
      <c r="C85" s="14" t="s">
        <v>119</v>
      </c>
      <c r="D85" s="14" t="s">
        <v>295</v>
      </c>
      <c r="E85" s="14"/>
      <c r="F85" s="14"/>
      <c r="G85" s="14" t="s">
        <v>545</v>
      </c>
      <c r="H85" s="14" t="s">
        <v>546</v>
      </c>
      <c r="I85" s="14" t="s">
        <v>547</v>
      </c>
      <c r="J85" s="14" t="s">
        <v>548</v>
      </c>
      <c r="K85" s="14" t="s">
        <v>549</v>
      </c>
      <c r="L85" s="15">
        <v>2.5000000000000001E-3</v>
      </c>
      <c r="M85" s="15">
        <v>5.0000000000000001E-3</v>
      </c>
      <c r="N85" s="15" t="str">
        <f t="shared" si="3"/>
        <v>0.3%-0.5%</v>
      </c>
      <c r="O85" s="13" t="s">
        <v>550</v>
      </c>
      <c r="P85" s="13" t="s">
        <v>30</v>
      </c>
      <c r="Q85" s="16" t="s">
        <v>165</v>
      </c>
      <c r="R85" s="16" t="s">
        <v>551</v>
      </c>
    </row>
    <row r="86" spans="1:18" ht="102" customHeight="1" x14ac:dyDescent="0.35">
      <c r="A86" t="str">
        <f t="shared" si="2"/>
        <v>LogisticsLOG OceanOptimize carrier network by consolidating suppliers into specific categories.</v>
      </c>
      <c r="B86" s="13">
        <v>78</v>
      </c>
      <c r="C86" s="14" t="s">
        <v>119</v>
      </c>
      <c r="D86" s="14" t="s">
        <v>287</v>
      </c>
      <c r="E86" s="14"/>
      <c r="F86" s="14"/>
      <c r="G86" s="14" t="s">
        <v>545</v>
      </c>
      <c r="H86" s="14" t="s">
        <v>549</v>
      </c>
      <c r="I86" s="14" t="s">
        <v>552</v>
      </c>
      <c r="J86" s="14" t="s">
        <v>553</v>
      </c>
      <c r="K86" s="14" t="s">
        <v>554</v>
      </c>
      <c r="L86" s="15">
        <v>5.0000000000000001E-3</v>
      </c>
      <c r="M86" s="15">
        <v>0.01</v>
      </c>
      <c r="N86" s="15" t="str">
        <f t="shared" si="3"/>
        <v>0.5%-1.0%</v>
      </c>
      <c r="O86" s="13" t="s">
        <v>555</v>
      </c>
      <c r="P86" s="13" t="s">
        <v>30</v>
      </c>
      <c r="Q86" s="16" t="s">
        <v>31</v>
      </c>
      <c r="R86" s="16" t="s">
        <v>556</v>
      </c>
    </row>
    <row r="87" spans="1:18" ht="102" customHeight="1" x14ac:dyDescent="0.35">
      <c r="A87" t="str">
        <f t="shared" si="2"/>
        <v>Facility ManagementNATrack and monitor a critical number of KPIs for effective governance; avoid too few or too many (over 15) KPIs to manage monitoring efforts efficiently.</v>
      </c>
      <c r="B87" s="13">
        <v>79</v>
      </c>
      <c r="C87" s="14" t="s">
        <v>434</v>
      </c>
      <c r="D87" s="14" t="s">
        <v>23</v>
      </c>
      <c r="E87" s="14"/>
      <c r="F87" s="14"/>
      <c r="G87" s="14" t="s">
        <v>557</v>
      </c>
      <c r="H87" s="14" t="s">
        <v>558</v>
      </c>
      <c r="I87" s="14" t="s">
        <v>542</v>
      </c>
      <c r="J87" s="14" t="s">
        <v>541</v>
      </c>
      <c r="K87" s="14" t="s">
        <v>536</v>
      </c>
      <c r="L87" s="15">
        <v>0.01</v>
      </c>
      <c r="M87" s="15">
        <v>0.02</v>
      </c>
      <c r="N87" s="15" t="str">
        <f t="shared" si="3"/>
        <v>1.0%-2.0%</v>
      </c>
      <c r="O87" s="13" t="s">
        <v>559</v>
      </c>
      <c r="P87" s="13" t="s">
        <v>83</v>
      </c>
      <c r="Q87" s="16" t="s">
        <v>84</v>
      </c>
      <c r="R87" s="16" t="s">
        <v>560</v>
      </c>
    </row>
    <row r="88" spans="1:18" ht="102" customHeight="1" x14ac:dyDescent="0.35">
      <c r="A88" t="str">
        <f t="shared" si="2"/>
        <v>TravelPolicyEvaluating travel flexibility balances cost control with business needs, optimizing travel spend.</v>
      </c>
      <c r="B88" s="13">
        <v>80</v>
      </c>
      <c r="C88" s="14" t="s">
        <v>33</v>
      </c>
      <c r="D88" s="14" t="s">
        <v>104</v>
      </c>
      <c r="E88" s="14"/>
      <c r="F88" s="14"/>
      <c r="G88" s="14" t="s">
        <v>561</v>
      </c>
      <c r="H88" s="14" t="s">
        <v>562</v>
      </c>
      <c r="I88" s="14" t="s">
        <v>563</v>
      </c>
      <c r="J88" s="14" t="s">
        <v>564</v>
      </c>
      <c r="K88" s="14" t="s">
        <v>565</v>
      </c>
      <c r="L88" s="15">
        <v>0.01</v>
      </c>
      <c r="M88" s="15">
        <v>0.02</v>
      </c>
      <c r="N88" s="15" t="str">
        <f t="shared" si="3"/>
        <v>1.0%-2.0%</v>
      </c>
      <c r="O88" s="13" t="s">
        <v>566</v>
      </c>
      <c r="P88" s="13" t="s">
        <v>61</v>
      </c>
      <c r="Q88" s="16" t="s">
        <v>402</v>
      </c>
      <c r="R88" s="16" t="s">
        <v>567</v>
      </c>
    </row>
    <row r="89" spans="1:18" ht="102" customHeight="1" x14ac:dyDescent="0.35">
      <c r="A89" t="str">
        <f t="shared" si="2"/>
        <v>ITSoftware licensesReduce the number of software license providers to enhance bargaining power.</v>
      </c>
      <c r="B89" s="13">
        <v>81</v>
      </c>
      <c r="C89" s="14" t="s">
        <v>265</v>
      </c>
      <c r="D89" s="14" t="s">
        <v>568</v>
      </c>
      <c r="E89" s="14"/>
      <c r="F89" s="14"/>
      <c r="G89" s="14" t="s">
        <v>569</v>
      </c>
      <c r="H89" s="14" t="s">
        <v>436</v>
      </c>
      <c r="I89" s="14" t="s">
        <v>437</v>
      </c>
      <c r="J89" s="14" t="s">
        <v>438</v>
      </c>
      <c r="K89" s="14" t="s">
        <v>439</v>
      </c>
      <c r="L89" s="15">
        <v>1.4999999999999999E-2</v>
      </c>
      <c r="M89" s="15">
        <v>0.03</v>
      </c>
      <c r="N89" s="15" t="str">
        <f t="shared" si="3"/>
        <v>1.5%-3.0%</v>
      </c>
      <c r="O89" s="13" t="s">
        <v>570</v>
      </c>
      <c r="P89" s="13" t="s">
        <v>30</v>
      </c>
      <c r="Q89" s="16" t="s">
        <v>31</v>
      </c>
      <c r="R89" s="16" t="s">
        <v>571</v>
      </c>
    </row>
    <row r="90" spans="1:18" ht="102" customHeight="1" x14ac:dyDescent="0.35">
      <c r="A90" t="str">
        <f t="shared" si="2"/>
        <v>PackagingNAThis organization is characterized by the permanent concentration of decision makers in one place plus a dynamic planning process. Via improved information flow, disruption costs are avoided.</v>
      </c>
      <c r="B90" s="13">
        <v>82</v>
      </c>
      <c r="C90" s="14" t="s">
        <v>299</v>
      </c>
      <c r="D90" s="14" t="s">
        <v>23</v>
      </c>
      <c r="E90" s="14"/>
      <c r="F90" s="14"/>
      <c r="G90" s="14" t="s">
        <v>572</v>
      </c>
      <c r="H90" s="14" t="s">
        <v>573</v>
      </c>
      <c r="I90" s="14" t="s">
        <v>574</v>
      </c>
      <c r="J90" s="14" t="s">
        <v>575</v>
      </c>
      <c r="K90" s="14" t="s">
        <v>340</v>
      </c>
      <c r="L90" s="15">
        <v>3.5000000000000003E-2</v>
      </c>
      <c r="M90" s="15">
        <v>7.0000000000000007E-2</v>
      </c>
      <c r="N90" s="15" t="str">
        <f t="shared" si="3"/>
        <v>3.5%-7.0%</v>
      </c>
      <c r="O90" s="13" t="s">
        <v>344</v>
      </c>
      <c r="P90" s="13" t="s">
        <v>83</v>
      </c>
      <c r="Q90" s="16" t="s">
        <v>150</v>
      </c>
      <c r="R90" s="16" t="s">
        <v>345</v>
      </c>
    </row>
    <row r="91" spans="1:18" ht="102" customHeight="1" x14ac:dyDescent="0.35">
      <c r="A91" t="str">
        <f t="shared" si="2"/>
        <v>ConsultingNASetting up budgets for consultancy is a base step in establising a forecast and ensure Procurement can create meaningful framework contracts.</v>
      </c>
      <c r="B91" s="13">
        <v>83</v>
      </c>
      <c r="C91" s="14" t="s">
        <v>144</v>
      </c>
      <c r="D91" s="14" t="s">
        <v>23</v>
      </c>
      <c r="E91" s="14"/>
      <c r="F91" s="14"/>
      <c r="G91" s="14" t="s">
        <v>576</v>
      </c>
      <c r="H91" s="14" t="s">
        <v>577</v>
      </c>
      <c r="I91" s="14" t="s">
        <v>578</v>
      </c>
      <c r="J91" s="14" t="s">
        <v>438</v>
      </c>
      <c r="K91" s="14" t="s">
        <v>439</v>
      </c>
      <c r="L91" s="15">
        <v>1.4999999999999999E-2</v>
      </c>
      <c r="M91" s="15">
        <v>0.03</v>
      </c>
      <c r="N91" s="15" t="str">
        <f t="shared" si="3"/>
        <v>1.5%-3.0%</v>
      </c>
      <c r="O91" s="13" t="s">
        <v>579</v>
      </c>
      <c r="P91" s="13" t="s">
        <v>83</v>
      </c>
      <c r="Q91" s="16" t="s">
        <v>150</v>
      </c>
      <c r="R91" s="16" t="s">
        <v>580</v>
      </c>
    </row>
    <row r="92" spans="1:18" ht="102" customHeight="1" x14ac:dyDescent="0.35">
      <c r="A92" t="str">
        <f t="shared" si="2"/>
        <v>Facility ManagementNAAnnually tender or renegotiate a high volume to benefit from market innovations and maintain high performance pressures on service providers.</v>
      </c>
      <c r="B92" s="13">
        <v>84</v>
      </c>
      <c r="C92" s="14" t="s">
        <v>434</v>
      </c>
      <c r="D92" s="14" t="s">
        <v>23</v>
      </c>
      <c r="E92" s="14"/>
      <c r="F92" s="14"/>
      <c r="G92" s="14" t="s">
        <v>581</v>
      </c>
      <c r="H92" s="14" t="s">
        <v>436</v>
      </c>
      <c r="I92" s="14" t="s">
        <v>437</v>
      </c>
      <c r="J92" s="14" t="s">
        <v>438</v>
      </c>
      <c r="K92" s="14" t="s">
        <v>439</v>
      </c>
      <c r="L92" s="15">
        <v>0.01</v>
      </c>
      <c r="M92" s="15">
        <v>0.02</v>
      </c>
      <c r="N92" s="15" t="str">
        <f t="shared" si="3"/>
        <v>1.0%-2.0%</v>
      </c>
      <c r="O92" s="13" t="s">
        <v>582</v>
      </c>
      <c r="P92" s="13" t="s">
        <v>30</v>
      </c>
      <c r="Q92" s="16" t="s">
        <v>165</v>
      </c>
      <c r="R92" s="16" t="s">
        <v>583</v>
      </c>
    </row>
    <row r="93" spans="1:18" ht="102" customHeight="1" x14ac:dyDescent="0.35">
      <c r="A93" t="str">
        <f t="shared" si="2"/>
        <v>LogisticsRoad LogisticsA large supplier list doesn't guarantee higher savings and requires manual effort for communication and follow-ups, but greater participation increases competitive pressure and improves rates.</v>
      </c>
      <c r="B93" s="13">
        <v>85</v>
      </c>
      <c r="C93" s="14" t="s">
        <v>119</v>
      </c>
      <c r="D93" s="14" t="s">
        <v>295</v>
      </c>
      <c r="E93" s="14"/>
      <c r="F93" s="14"/>
      <c r="G93" s="14" t="s">
        <v>584</v>
      </c>
      <c r="H93" s="14" t="s">
        <v>406</v>
      </c>
      <c r="I93" s="14" t="s">
        <v>585</v>
      </c>
      <c r="J93" s="14" t="s">
        <v>586</v>
      </c>
      <c r="K93" s="14" t="s">
        <v>587</v>
      </c>
      <c r="L93" s="15">
        <v>5.0000000000000001E-3</v>
      </c>
      <c r="M93" s="15">
        <v>0.01</v>
      </c>
      <c r="N93" s="15" t="str">
        <f t="shared" si="3"/>
        <v>0.5%-1.0%</v>
      </c>
      <c r="O93" s="13" t="s">
        <v>588</v>
      </c>
      <c r="P93" s="13" t="s">
        <v>30</v>
      </c>
      <c r="Q93" s="16" t="s">
        <v>165</v>
      </c>
      <c r="R93" s="16" t="s">
        <v>589</v>
      </c>
    </row>
    <row r="94" spans="1:18" ht="102" customHeight="1" x14ac:dyDescent="0.35">
      <c r="A94" t="str">
        <f t="shared" si="2"/>
        <v>TravelHotelRegularly negotiating hotel rate cards ensures competitive pricing and better deals.</v>
      </c>
      <c r="B94" s="13">
        <v>86</v>
      </c>
      <c r="C94" s="14" t="s">
        <v>33</v>
      </c>
      <c r="D94" s="14" t="s">
        <v>222</v>
      </c>
      <c r="E94" s="14"/>
      <c r="F94" s="14"/>
      <c r="G94" s="14" t="s">
        <v>590</v>
      </c>
      <c r="H94" s="14" t="s">
        <v>591</v>
      </c>
      <c r="I94" s="14" t="s">
        <v>592</v>
      </c>
      <c r="J94" s="14" t="s">
        <v>593</v>
      </c>
      <c r="K94" s="14" t="s">
        <v>594</v>
      </c>
      <c r="L94" s="15">
        <v>0.01</v>
      </c>
      <c r="M94" s="15">
        <v>0.02</v>
      </c>
      <c r="N94" s="15" t="str">
        <f t="shared" si="3"/>
        <v>1.0%-2.0%</v>
      </c>
      <c r="O94" s="13" t="s">
        <v>595</v>
      </c>
      <c r="P94" s="13" t="s">
        <v>30</v>
      </c>
      <c r="Q94" s="16" t="s">
        <v>165</v>
      </c>
      <c r="R94" s="16" t="s">
        <v>596</v>
      </c>
    </row>
    <row r="95" spans="1:18" ht="102" customHeight="1" x14ac:dyDescent="0.35">
      <c r="A95" t="str">
        <f t="shared" si="2"/>
        <v>MarketingAd ProductionDecouple production from creative agency and establish roster of production houses</v>
      </c>
      <c r="B95" s="13">
        <v>87</v>
      </c>
      <c r="C95" s="14" t="s">
        <v>322</v>
      </c>
      <c r="D95" s="14" t="s">
        <v>360</v>
      </c>
      <c r="E95" s="14"/>
      <c r="F95" s="14"/>
      <c r="G95" s="14" t="s">
        <v>597</v>
      </c>
      <c r="H95" s="14" t="s">
        <v>598</v>
      </c>
      <c r="I95" s="14" t="s">
        <v>599</v>
      </c>
      <c r="J95" s="14" t="s">
        <v>600</v>
      </c>
      <c r="K95" s="14" t="s">
        <v>601</v>
      </c>
      <c r="L95" s="15">
        <v>5.0000000000000001E-3</v>
      </c>
      <c r="M95" s="15">
        <v>0.01</v>
      </c>
      <c r="N95" s="15" t="str">
        <f t="shared" si="3"/>
        <v>0.5%-1.0%</v>
      </c>
      <c r="O95" s="13" t="s">
        <v>602</v>
      </c>
      <c r="P95" s="13" t="s">
        <v>30</v>
      </c>
      <c r="Q95" s="16" t="s">
        <v>31</v>
      </c>
      <c r="R95" s="16" t="s">
        <v>603</v>
      </c>
    </row>
    <row r="96" spans="1:18" ht="102" customHeight="1" x14ac:dyDescent="0.35">
      <c r="A96" t="str">
        <f t="shared" si="2"/>
        <v>TravelPolicyRegular compliance reporting identifies deviations, ensuring cost-effective travel management.</v>
      </c>
      <c r="B96" s="13">
        <v>88</v>
      </c>
      <c r="C96" s="14" t="s">
        <v>33</v>
      </c>
      <c r="D96" s="14" t="s">
        <v>104</v>
      </c>
      <c r="E96" s="14"/>
      <c r="F96" s="14"/>
      <c r="G96" s="14" t="s">
        <v>604</v>
      </c>
      <c r="H96" s="14" t="s">
        <v>605</v>
      </c>
      <c r="I96" s="14" t="s">
        <v>606</v>
      </c>
      <c r="J96" s="14" t="s">
        <v>607</v>
      </c>
      <c r="K96" s="14" t="s">
        <v>608</v>
      </c>
      <c r="L96" s="15">
        <v>1.4999999999999999E-2</v>
      </c>
      <c r="M96" s="15">
        <v>0.03</v>
      </c>
      <c r="N96" s="15" t="str">
        <f t="shared" si="3"/>
        <v>1.5%-3.0%</v>
      </c>
      <c r="O96" s="13" t="s">
        <v>609</v>
      </c>
      <c r="P96" s="13" t="s">
        <v>83</v>
      </c>
      <c r="Q96" s="16" t="s">
        <v>84</v>
      </c>
      <c r="R96" s="16" t="s">
        <v>610</v>
      </c>
    </row>
    <row r="97" spans="1:18" ht="102" customHeight="1" x14ac:dyDescent="0.35">
      <c r="A97" t="str">
        <f t="shared" si="2"/>
        <v>Real estateNAConducting an in-depth analysis of existing data helps identify savings potential and prepares you for negotiations. Comparing discount rates and other factors ensures that you secure the best possible terms, optimizing costs and maximizing value</v>
      </c>
      <c r="B97" s="13">
        <v>89</v>
      </c>
      <c r="C97" s="14" t="s">
        <v>611</v>
      </c>
      <c r="D97" s="14" t="s">
        <v>23</v>
      </c>
      <c r="E97" s="14"/>
      <c r="F97" s="14"/>
      <c r="G97" s="14" t="s">
        <v>612</v>
      </c>
      <c r="H97" s="14" t="s">
        <v>613</v>
      </c>
      <c r="I97" s="14" t="s">
        <v>614</v>
      </c>
      <c r="J97" s="14" t="s">
        <v>615</v>
      </c>
      <c r="K97" s="14" t="s">
        <v>616</v>
      </c>
      <c r="L97" s="15">
        <v>0.01</v>
      </c>
      <c r="M97" s="15">
        <v>0.02</v>
      </c>
      <c r="N97" s="15" t="str">
        <f t="shared" si="3"/>
        <v>1.0%-2.0%</v>
      </c>
      <c r="O97" s="13" t="s">
        <v>617</v>
      </c>
      <c r="P97" s="13" t="s">
        <v>30</v>
      </c>
      <c r="Q97" s="16" t="s">
        <v>127</v>
      </c>
      <c r="R97" s="16" t="s">
        <v>618</v>
      </c>
    </row>
    <row r="98" spans="1:18" ht="102" customHeight="1" x14ac:dyDescent="0.35">
      <c r="A98" t="str">
        <f t="shared" si="2"/>
        <v>MarketingAd ProductionUtilize cost-effective production sites.</v>
      </c>
      <c r="B98" s="13">
        <v>90</v>
      </c>
      <c r="C98" s="14" t="s">
        <v>322</v>
      </c>
      <c r="D98" s="14" t="s">
        <v>360</v>
      </c>
      <c r="E98" s="14"/>
      <c r="F98" s="14"/>
      <c r="G98" s="14" t="s">
        <v>619</v>
      </c>
      <c r="H98" s="14" t="s">
        <v>325</v>
      </c>
      <c r="I98" s="14" t="s">
        <v>620</v>
      </c>
      <c r="J98" s="14" t="s">
        <v>621</v>
      </c>
      <c r="K98" s="14" t="s">
        <v>622</v>
      </c>
      <c r="L98" s="15">
        <v>5.0000000000000001E-3</v>
      </c>
      <c r="M98" s="15">
        <v>0.01</v>
      </c>
      <c r="N98" s="15" t="str">
        <f t="shared" si="3"/>
        <v>0.5%-1.0%</v>
      </c>
      <c r="O98" s="13" t="s">
        <v>623</v>
      </c>
      <c r="P98" s="13" t="s">
        <v>30</v>
      </c>
      <c r="Q98" s="16" t="s">
        <v>624</v>
      </c>
      <c r="R98" s="16" t="s">
        <v>625</v>
      </c>
    </row>
    <row r="99" spans="1:18" ht="102" customHeight="1" x14ac:dyDescent="0.35">
      <c r="A99" t="str">
        <f t="shared" si="2"/>
        <v>MarketingTraditional MediaOptimize specs: R/F goals, deal-time mix, station mix, daypart mix, title mix.</v>
      </c>
      <c r="B99" s="13">
        <v>91</v>
      </c>
      <c r="C99" s="14" t="s">
        <v>322</v>
      </c>
      <c r="D99" s="14" t="s">
        <v>331</v>
      </c>
      <c r="E99" s="14"/>
      <c r="F99" s="14"/>
      <c r="G99" s="14" t="s">
        <v>626</v>
      </c>
      <c r="H99" s="14" t="s">
        <v>627</v>
      </c>
      <c r="I99" s="14" t="s">
        <v>628</v>
      </c>
      <c r="J99" s="14" t="s">
        <v>629</v>
      </c>
      <c r="K99" s="14" t="s">
        <v>630</v>
      </c>
      <c r="L99" s="15">
        <v>1.4999999999999999E-2</v>
      </c>
      <c r="M99" s="15">
        <v>0.03</v>
      </c>
      <c r="N99" s="15" t="str">
        <f t="shared" si="3"/>
        <v>1.5%-3.0%</v>
      </c>
      <c r="O99" s="13" t="s">
        <v>631</v>
      </c>
      <c r="P99" s="13" t="s">
        <v>61</v>
      </c>
      <c r="Q99" s="16" t="s">
        <v>381</v>
      </c>
      <c r="R99" s="16" t="s">
        <v>632</v>
      </c>
    </row>
    <row r="100" spans="1:18" ht="102" customHeight="1" x14ac:dyDescent="0.35">
      <c r="A100" t="str">
        <f t="shared" si="2"/>
        <v>TravelHotelEnsuring contracts for meeting locations controls expenses and optimizes facility use.</v>
      </c>
      <c r="B100" s="13">
        <v>92</v>
      </c>
      <c r="C100" s="14" t="s">
        <v>33</v>
      </c>
      <c r="D100" s="14" t="s">
        <v>222</v>
      </c>
      <c r="E100" s="14"/>
      <c r="F100" s="14"/>
      <c r="G100" s="14" t="s">
        <v>633</v>
      </c>
      <c r="H100" s="14" t="s">
        <v>634</v>
      </c>
      <c r="I100" s="14" t="s">
        <v>635</v>
      </c>
      <c r="J100" s="14" t="s">
        <v>636</v>
      </c>
      <c r="K100" s="14" t="s">
        <v>637</v>
      </c>
      <c r="L100" s="15">
        <v>5.0000000000000001E-3</v>
      </c>
      <c r="M100" s="15">
        <v>0.01</v>
      </c>
      <c r="N100" s="15" t="str">
        <f t="shared" si="3"/>
        <v>0.5%-1.0%</v>
      </c>
      <c r="O100" s="13" t="s">
        <v>638</v>
      </c>
      <c r="P100" s="13" t="s">
        <v>83</v>
      </c>
      <c r="Q100" s="16" t="s">
        <v>84</v>
      </c>
      <c r="R100" s="16" t="s">
        <v>639</v>
      </c>
    </row>
    <row r="101" spans="1:18" ht="102" customHeight="1" x14ac:dyDescent="0.35">
      <c r="A101" t="str">
        <f t="shared" si="2"/>
        <v>Office SuppliesNASavings on IT expendables can be tough due to quantity estimation challenges. Opting for no-name cartridges from reputable makers like Pelikan is a viable solution. They often oversee production and offer warranties for capacity and reliability. Replacing faulty hardware with these cartridges is common practice.</v>
      </c>
      <c r="B101" s="13">
        <v>93</v>
      </c>
      <c r="C101" s="14" t="s">
        <v>22</v>
      </c>
      <c r="D101" s="14" t="s">
        <v>23</v>
      </c>
      <c r="E101" s="14"/>
      <c r="F101" s="14"/>
      <c r="G101" s="14" t="s">
        <v>640</v>
      </c>
      <c r="H101" s="14" t="s">
        <v>132</v>
      </c>
      <c r="I101" s="14" t="s">
        <v>212</v>
      </c>
      <c r="J101" s="14" t="s">
        <v>212</v>
      </c>
      <c r="K101" s="14" t="s">
        <v>56</v>
      </c>
      <c r="L101" s="15">
        <v>0.01</v>
      </c>
      <c r="M101" s="15">
        <v>0.02</v>
      </c>
      <c r="N101" s="15" t="str">
        <f t="shared" si="3"/>
        <v>1.0%-2.0%</v>
      </c>
      <c r="O101" s="13" t="s">
        <v>641</v>
      </c>
      <c r="P101" s="13" t="s">
        <v>30</v>
      </c>
      <c r="Q101" s="16" t="s">
        <v>477</v>
      </c>
      <c r="R101" s="16" t="s">
        <v>642</v>
      </c>
    </row>
    <row r="102" spans="1:18" ht="102" customHeight="1" x14ac:dyDescent="0.35">
      <c r="A102" t="str">
        <f t="shared" si="2"/>
        <v>ITSoftware development and maintenanceUse standard applications instead of entirely new developments (home-brewn solution).</v>
      </c>
      <c r="B102" s="13">
        <v>94</v>
      </c>
      <c r="C102" s="14" t="s">
        <v>265</v>
      </c>
      <c r="D102" s="14" t="s">
        <v>266</v>
      </c>
      <c r="E102" s="14"/>
      <c r="F102" s="14"/>
      <c r="G102" s="14" t="s">
        <v>643</v>
      </c>
      <c r="H102" s="14" t="s">
        <v>56</v>
      </c>
      <c r="I102" s="14" t="s">
        <v>212</v>
      </c>
      <c r="J102" s="14" t="s">
        <v>212</v>
      </c>
      <c r="K102" s="14" t="s">
        <v>132</v>
      </c>
      <c r="L102" s="15">
        <v>5.0000000000000001E-3</v>
      </c>
      <c r="M102" s="15">
        <v>0.01</v>
      </c>
      <c r="N102" s="15" t="str">
        <f t="shared" si="3"/>
        <v>0.5%-1.0%</v>
      </c>
      <c r="O102" s="13" t="s">
        <v>644</v>
      </c>
      <c r="P102" s="13" t="s">
        <v>61</v>
      </c>
      <c r="Q102" s="16" t="s">
        <v>62</v>
      </c>
      <c r="R102" s="16" t="s">
        <v>645</v>
      </c>
    </row>
    <row r="103" spans="1:18" ht="102" customHeight="1" x14ac:dyDescent="0.35">
      <c r="A103" t="str">
        <f t="shared" si="2"/>
        <v>MarketingTraditional MediaFor TV/radio, secure agency commitments based on the total campaign cost rather than just the price per unit.
Secure agency commitments for TV/radio based on total campaign cost, not just unit price.</v>
      </c>
      <c r="B103" s="13">
        <v>95</v>
      </c>
      <c r="C103" s="14" t="s">
        <v>322</v>
      </c>
      <c r="D103" s="14" t="s">
        <v>331</v>
      </c>
      <c r="E103" s="14"/>
      <c r="F103" s="14"/>
      <c r="G103" s="14" t="s">
        <v>646</v>
      </c>
      <c r="H103" s="14" t="s">
        <v>591</v>
      </c>
      <c r="I103" s="14" t="s">
        <v>647</v>
      </c>
      <c r="J103" s="14" t="s">
        <v>648</v>
      </c>
      <c r="K103" s="14" t="s">
        <v>649</v>
      </c>
      <c r="L103" s="15">
        <v>1.4999999999999999E-2</v>
      </c>
      <c r="M103" s="15">
        <v>0.03</v>
      </c>
      <c r="N103" s="15" t="str">
        <f t="shared" si="3"/>
        <v>1.5%-3.0%</v>
      </c>
      <c r="O103" s="13" t="s">
        <v>650</v>
      </c>
      <c r="P103" s="13" t="s">
        <v>83</v>
      </c>
      <c r="Q103" s="16" t="s">
        <v>187</v>
      </c>
      <c r="R103" s="16" t="s">
        <v>651</v>
      </c>
    </row>
    <row r="104" spans="1:18" ht="102" customHeight="1" x14ac:dyDescent="0.35">
      <c r="A104" t="str">
        <f t="shared" si="2"/>
        <v>MarketingPOS MaterialDefine one integrator, who takes care of the whole SC and demand management of POS material</v>
      </c>
      <c r="B104" s="13">
        <v>96</v>
      </c>
      <c r="C104" s="14" t="s">
        <v>322</v>
      </c>
      <c r="D104" s="14" t="s">
        <v>323</v>
      </c>
      <c r="E104" s="14"/>
      <c r="F104" s="14"/>
      <c r="G104" s="14" t="s">
        <v>652</v>
      </c>
      <c r="H104" s="14" t="s">
        <v>56</v>
      </c>
      <c r="I104" s="14" t="s">
        <v>653</v>
      </c>
      <c r="J104" s="14"/>
      <c r="K104" s="14" t="s">
        <v>654</v>
      </c>
      <c r="L104" s="15">
        <v>1.4999999999999999E-2</v>
      </c>
      <c r="M104" s="15">
        <v>0.03</v>
      </c>
      <c r="N104" s="15" t="str">
        <f t="shared" si="3"/>
        <v>1.5%-3.0%</v>
      </c>
      <c r="O104" s="13" t="s">
        <v>655</v>
      </c>
      <c r="P104" s="13" t="s">
        <v>50</v>
      </c>
      <c r="Q104" s="16" t="s">
        <v>51</v>
      </c>
      <c r="R104" s="16" t="s">
        <v>656</v>
      </c>
    </row>
    <row r="105" spans="1:18" ht="102" customHeight="1" x14ac:dyDescent="0.35">
      <c r="A105" t="str">
        <f t="shared" si="2"/>
        <v>Facility ManagementNACentralize service standards for better SLA control and harmonization across locations, simplifying service provider management.</v>
      </c>
      <c r="B105" s="13">
        <v>97</v>
      </c>
      <c r="C105" s="14" t="s">
        <v>434</v>
      </c>
      <c r="D105" s="14" t="s">
        <v>23</v>
      </c>
      <c r="E105" s="14"/>
      <c r="F105" s="14"/>
      <c r="G105" s="14" t="s">
        <v>657</v>
      </c>
      <c r="H105" s="14" t="s">
        <v>658</v>
      </c>
      <c r="I105" s="14" t="s">
        <v>522</v>
      </c>
      <c r="J105" s="14" t="s">
        <v>523</v>
      </c>
      <c r="K105" s="14" t="s">
        <v>524</v>
      </c>
      <c r="L105" s="15">
        <v>0.01</v>
      </c>
      <c r="M105" s="15">
        <v>0.02</v>
      </c>
      <c r="N105" s="15" t="str">
        <f t="shared" si="3"/>
        <v>1.0%-2.0%</v>
      </c>
      <c r="O105" s="13" t="s">
        <v>659</v>
      </c>
      <c r="P105" s="13" t="s">
        <v>83</v>
      </c>
      <c r="Q105" s="16" t="s">
        <v>150</v>
      </c>
      <c r="R105" s="16" t="s">
        <v>660</v>
      </c>
    </row>
    <row r="106" spans="1:18" ht="102" customHeight="1" x14ac:dyDescent="0.35">
      <c r="A106" t="str">
        <f t="shared" si="2"/>
        <v>FleetWay of purchasingExpand fixed elements in framework agreements for better structure and clarity.</v>
      </c>
      <c r="B106" s="13">
        <v>98</v>
      </c>
      <c r="C106" s="14" t="s">
        <v>53</v>
      </c>
      <c r="D106" s="14" t="s">
        <v>96</v>
      </c>
      <c r="E106" s="14"/>
      <c r="F106" s="14"/>
      <c r="G106" s="14" t="s">
        <v>661</v>
      </c>
      <c r="H106" s="14" t="s">
        <v>662</v>
      </c>
      <c r="I106" s="14" t="s">
        <v>663</v>
      </c>
      <c r="J106" s="14" t="s">
        <v>664</v>
      </c>
      <c r="K106" s="14" t="s">
        <v>665</v>
      </c>
      <c r="L106" s="15">
        <v>5.0000000000000001E-3</v>
      </c>
      <c r="M106" s="15">
        <v>0.01</v>
      </c>
      <c r="N106" s="15" t="str">
        <f t="shared" si="3"/>
        <v>0.5%-1.0%</v>
      </c>
      <c r="O106" s="13" t="s">
        <v>666</v>
      </c>
      <c r="P106" s="13" t="s">
        <v>30</v>
      </c>
      <c r="Q106" s="16" t="s">
        <v>165</v>
      </c>
      <c r="R106" s="16" t="s">
        <v>667</v>
      </c>
    </row>
    <row r="107" spans="1:18" ht="102" customHeight="1" x14ac:dyDescent="0.35">
      <c r="A107" t="str">
        <f t="shared" si="2"/>
        <v>TravelCar RentalDefining car size policies and ensuring compliance controls rental costs and optimizes resource use.</v>
      </c>
      <c r="B107" s="13">
        <v>99</v>
      </c>
      <c r="C107" s="14" t="s">
        <v>33</v>
      </c>
      <c r="D107" s="14" t="s">
        <v>230</v>
      </c>
      <c r="E107" s="14"/>
      <c r="F107" s="14"/>
      <c r="G107" s="14" t="s">
        <v>668</v>
      </c>
      <c r="H107" s="14" t="s">
        <v>669</v>
      </c>
      <c r="I107" s="14" t="s">
        <v>670</v>
      </c>
      <c r="J107" s="14" t="s">
        <v>671</v>
      </c>
      <c r="K107" s="14" t="s">
        <v>672</v>
      </c>
      <c r="L107" s="15">
        <v>0.02</v>
      </c>
      <c r="M107" s="15">
        <v>0.04</v>
      </c>
      <c r="N107" s="15" t="str">
        <f t="shared" si="3"/>
        <v>2.0%-4.0%</v>
      </c>
      <c r="O107" s="13" t="s">
        <v>673</v>
      </c>
      <c r="P107" s="13" t="s">
        <v>83</v>
      </c>
      <c r="Q107" s="16" t="s">
        <v>84</v>
      </c>
      <c r="R107" s="16" t="s">
        <v>674</v>
      </c>
    </row>
    <row r="108" spans="1:18" ht="102" customHeight="1" x14ac:dyDescent="0.35">
      <c r="A108" t="str">
        <f t="shared" si="2"/>
        <v>MRONAThe approach critically evaluates current specifications and asking whether they are in fact useful or merely increase cost and complexity. Specifications that are not necessary are discarded.</v>
      </c>
      <c r="B108" s="13">
        <v>100</v>
      </c>
      <c r="C108" s="14" t="s">
        <v>210</v>
      </c>
      <c r="D108" s="14" t="s">
        <v>23</v>
      </c>
      <c r="E108" s="14"/>
      <c r="F108" s="14"/>
      <c r="G108" s="14" t="s">
        <v>675</v>
      </c>
      <c r="H108" s="14" t="s">
        <v>56</v>
      </c>
      <c r="I108" s="14" t="s">
        <v>676</v>
      </c>
      <c r="J108" s="14" t="s">
        <v>677</v>
      </c>
      <c r="K108" s="14" t="s">
        <v>132</v>
      </c>
      <c r="L108" s="15">
        <v>1.4999999999999999E-2</v>
      </c>
      <c r="M108" s="15">
        <v>0.03</v>
      </c>
      <c r="N108" s="15" t="str">
        <f t="shared" si="3"/>
        <v>1.5%-3.0%</v>
      </c>
      <c r="O108" s="13" t="s">
        <v>678</v>
      </c>
      <c r="P108" s="13" t="s">
        <v>61</v>
      </c>
      <c r="Q108" s="16" t="s">
        <v>381</v>
      </c>
      <c r="R108" s="16" t="s">
        <v>679</v>
      </c>
    </row>
    <row r="109" spans="1:18" ht="102" customHeight="1" x14ac:dyDescent="0.35">
      <c r="A109" t="str">
        <f t="shared" si="2"/>
        <v>TravelPolicyStrict travel guidelines ensure necessary travel only, reducing unnecessary trips and costs.</v>
      </c>
      <c r="B109" s="13">
        <v>101</v>
      </c>
      <c r="C109" s="14" t="s">
        <v>33</v>
      </c>
      <c r="D109" s="14" t="s">
        <v>104</v>
      </c>
      <c r="E109" s="14"/>
      <c r="F109" s="14"/>
      <c r="G109" s="14" t="s">
        <v>680</v>
      </c>
      <c r="H109" s="14" t="s">
        <v>681</v>
      </c>
      <c r="I109" s="14" t="s">
        <v>682</v>
      </c>
      <c r="J109" s="14" t="s">
        <v>683</v>
      </c>
      <c r="K109" s="14" t="s">
        <v>684</v>
      </c>
      <c r="L109" s="15">
        <v>0.01</v>
      </c>
      <c r="M109" s="15">
        <v>0.02</v>
      </c>
      <c r="N109" s="15" t="str">
        <f t="shared" si="3"/>
        <v>1.0%-2.0%</v>
      </c>
      <c r="O109" s="13" t="s">
        <v>685</v>
      </c>
      <c r="P109" s="13" t="s">
        <v>83</v>
      </c>
      <c r="Q109" s="16" t="s">
        <v>84</v>
      </c>
      <c r="R109" s="16" t="s">
        <v>686</v>
      </c>
    </row>
    <row r="110" spans="1:18" ht="102" customHeight="1" x14ac:dyDescent="0.35">
      <c r="A110" t="str">
        <f t="shared" si="2"/>
        <v>TravelPolicyImplement a travel cost guideline to ensure cost-conscious booking within company restrictions.</v>
      </c>
      <c r="B110" s="13">
        <v>102</v>
      </c>
      <c r="C110" s="14" t="s">
        <v>33</v>
      </c>
      <c r="D110" s="14" t="s">
        <v>104</v>
      </c>
      <c r="E110" s="14"/>
      <c r="F110" s="14"/>
      <c r="G110" s="14" t="s">
        <v>687</v>
      </c>
      <c r="H110" s="14" t="s">
        <v>45</v>
      </c>
      <c r="I110" s="14" t="s">
        <v>688</v>
      </c>
      <c r="J110" s="14" t="s">
        <v>689</v>
      </c>
      <c r="K110" s="14" t="s">
        <v>690</v>
      </c>
      <c r="L110" s="15">
        <v>1.4999999999999999E-2</v>
      </c>
      <c r="M110" s="15">
        <v>0.03</v>
      </c>
      <c r="N110" s="15" t="str">
        <f t="shared" si="3"/>
        <v>1.5%-3.0%</v>
      </c>
      <c r="O110" s="13" t="s">
        <v>691</v>
      </c>
      <c r="P110" s="13" t="s">
        <v>83</v>
      </c>
      <c r="Q110" s="16" t="s">
        <v>84</v>
      </c>
      <c r="R110" s="16" t="s">
        <v>692</v>
      </c>
    </row>
    <row r="111" spans="1:18" ht="102" customHeight="1" x14ac:dyDescent="0.35">
      <c r="A111" t="str">
        <f t="shared" si="2"/>
        <v>MarketingAd ProductionEnhance process efficiency by streamlining and optimizing existing workflows and procedures.</v>
      </c>
      <c r="B111" s="13">
        <v>103</v>
      </c>
      <c r="C111" s="14" t="s">
        <v>322</v>
      </c>
      <c r="D111" s="14" t="s">
        <v>360</v>
      </c>
      <c r="E111" s="14"/>
      <c r="F111" s="14"/>
      <c r="G111" s="14" t="s">
        <v>693</v>
      </c>
      <c r="H111" s="14" t="s">
        <v>591</v>
      </c>
      <c r="I111" s="14" t="s">
        <v>694</v>
      </c>
      <c r="J111" s="14" t="s">
        <v>695</v>
      </c>
      <c r="K111" s="14" t="s">
        <v>649</v>
      </c>
      <c r="L111" s="15">
        <v>5.0000000000000001E-3</v>
      </c>
      <c r="M111" s="15">
        <v>0.01</v>
      </c>
      <c r="N111" s="15" t="str">
        <f t="shared" si="3"/>
        <v>0.5%-1.0%</v>
      </c>
      <c r="O111" s="13" t="s">
        <v>696</v>
      </c>
      <c r="P111" s="13" t="s">
        <v>83</v>
      </c>
      <c r="Q111" s="16" t="s">
        <v>150</v>
      </c>
      <c r="R111" s="16" t="s">
        <v>697</v>
      </c>
    </row>
    <row r="112" spans="1:18" ht="102" customHeight="1" x14ac:dyDescent="0.35">
      <c r="A112" t="str">
        <f t="shared" si="2"/>
        <v>Temp LabourNAFor larger spend in several locations:consider a master vendor. A master vendor is a supplier who guarantees a fixed multiplier, subcontracts other agencies when needed, and may take over HR and operations tasks; they often offer reduced multipliers for large temp labor demands, balancing cost reduction with the risk of single-supplier dependence.</v>
      </c>
      <c r="B112" s="13">
        <v>104</v>
      </c>
      <c r="C112" s="14" t="s">
        <v>189</v>
      </c>
      <c r="D112" s="14" t="s">
        <v>23</v>
      </c>
      <c r="E112" s="14"/>
      <c r="F112" s="14"/>
      <c r="G112" s="14" t="s">
        <v>698</v>
      </c>
      <c r="H112" s="14" t="s">
        <v>699</v>
      </c>
      <c r="I112" s="14" t="s">
        <v>700</v>
      </c>
      <c r="J112" s="14" t="s">
        <v>701</v>
      </c>
      <c r="K112" s="14" t="s">
        <v>702</v>
      </c>
      <c r="L112" s="15">
        <v>0.01</v>
      </c>
      <c r="M112" s="15">
        <v>0.02</v>
      </c>
      <c r="N112" s="15" t="str">
        <f t="shared" si="3"/>
        <v>1.0%-2.0%</v>
      </c>
      <c r="O112" s="13" t="s">
        <v>703</v>
      </c>
      <c r="P112" s="13" t="s">
        <v>30</v>
      </c>
      <c r="Q112" s="16" t="s">
        <v>704</v>
      </c>
      <c r="R112" s="16" t="s">
        <v>705</v>
      </c>
    </row>
    <row r="113" spans="1:18" ht="102" customHeight="1" x14ac:dyDescent="0.35">
      <c r="A113" t="str">
        <f t="shared" si="2"/>
        <v>Real estateNAContinuously monitoring potential areas of value loss, such as unutilized payment terms, ensures that real estate demand is accurately assessed. This proactive approach helps optimize space usage and reduce unnecessary costs</v>
      </c>
      <c r="B113" s="13">
        <v>105</v>
      </c>
      <c r="C113" s="14" t="s">
        <v>611</v>
      </c>
      <c r="D113" s="14" t="s">
        <v>23</v>
      </c>
      <c r="E113" s="14"/>
      <c r="F113" s="14"/>
      <c r="G113" s="14" t="s">
        <v>706</v>
      </c>
      <c r="H113" s="14" t="s">
        <v>707</v>
      </c>
      <c r="I113" s="14" t="s">
        <v>708</v>
      </c>
      <c r="J113" s="14" t="s">
        <v>709</v>
      </c>
      <c r="K113" s="14" t="s">
        <v>710</v>
      </c>
      <c r="L113" s="15">
        <v>0.01</v>
      </c>
      <c r="M113" s="15">
        <v>0.02</v>
      </c>
      <c r="N113" s="15" t="str">
        <f t="shared" si="3"/>
        <v>1.0%-2.0%</v>
      </c>
      <c r="O113" s="13" t="s">
        <v>711</v>
      </c>
      <c r="P113" s="13" t="s">
        <v>61</v>
      </c>
      <c r="Q113" s="16" t="s">
        <v>320</v>
      </c>
      <c r="R113" s="16" t="s">
        <v>712</v>
      </c>
    </row>
    <row r="114" spans="1:18" ht="102" customHeight="1" x14ac:dyDescent="0.35">
      <c r="A114" t="str">
        <f t="shared" si="2"/>
        <v>Office SuppliesNAThe approach critically evaluates current specifications and asking whether they are in fact useful or merely increase cost and complexity. Specifications that are not necessary are discarded.</v>
      </c>
      <c r="B114" s="13">
        <v>106</v>
      </c>
      <c r="C114" s="14" t="s">
        <v>22</v>
      </c>
      <c r="D114" s="14" t="s">
        <v>23</v>
      </c>
      <c r="E114" s="14"/>
      <c r="F114" s="14"/>
      <c r="G114" s="14" t="s">
        <v>713</v>
      </c>
      <c r="H114" s="14" t="s">
        <v>714</v>
      </c>
      <c r="I114" s="14" t="s">
        <v>715</v>
      </c>
      <c r="J114" s="14" t="s">
        <v>716</v>
      </c>
      <c r="K114" s="14" t="s">
        <v>27</v>
      </c>
      <c r="L114" s="15">
        <v>0.01</v>
      </c>
      <c r="M114" s="15">
        <v>0.02</v>
      </c>
      <c r="N114" s="15" t="str">
        <f t="shared" si="3"/>
        <v>1.0%-2.0%</v>
      </c>
      <c r="O114" s="13" t="s">
        <v>678</v>
      </c>
      <c r="P114" s="13" t="s">
        <v>61</v>
      </c>
      <c r="Q114" s="16" t="s">
        <v>381</v>
      </c>
      <c r="R114" s="16" t="s">
        <v>679</v>
      </c>
    </row>
    <row r="115" spans="1:18" ht="102" customHeight="1" x14ac:dyDescent="0.35">
      <c r="A115" t="str">
        <f t="shared" si="2"/>
        <v>ITSoftware development and maintenanceAlign internal processes with industry standards to leverage out-of-the-box solutions.</v>
      </c>
      <c r="B115" s="13">
        <v>107</v>
      </c>
      <c r="C115" s="14" t="s">
        <v>265</v>
      </c>
      <c r="D115" s="14" t="s">
        <v>266</v>
      </c>
      <c r="E115" s="14"/>
      <c r="F115" s="14"/>
      <c r="G115" s="14" t="s">
        <v>717</v>
      </c>
      <c r="H115" s="14" t="s">
        <v>436</v>
      </c>
      <c r="I115" s="14" t="s">
        <v>437</v>
      </c>
      <c r="J115" s="14" t="s">
        <v>438</v>
      </c>
      <c r="K115" s="14" t="s">
        <v>439</v>
      </c>
      <c r="L115" s="15">
        <v>1.4999999999999999E-2</v>
      </c>
      <c r="M115" s="15">
        <v>0.03</v>
      </c>
      <c r="N115" s="15" t="str">
        <f t="shared" si="3"/>
        <v>1.5%-3.0%</v>
      </c>
      <c r="O115" s="13" t="s">
        <v>718</v>
      </c>
      <c r="P115" s="13" t="s">
        <v>61</v>
      </c>
      <c r="Q115" s="16" t="s">
        <v>62</v>
      </c>
      <c r="R115" s="16" t="s">
        <v>719</v>
      </c>
    </row>
    <row r="116" spans="1:18" ht="102" customHeight="1" x14ac:dyDescent="0.35">
      <c r="A116" t="str">
        <f t="shared" si="2"/>
        <v>ITSoftware licensesUsing bundled license providers consolidates suppliers, achieving economies of scale, reducing costs.</v>
      </c>
      <c r="B116" s="13">
        <v>108</v>
      </c>
      <c r="C116" s="14" t="s">
        <v>265</v>
      </c>
      <c r="D116" s="14" t="s">
        <v>568</v>
      </c>
      <c r="E116" s="14"/>
      <c r="F116" s="14"/>
      <c r="G116" s="14" t="s">
        <v>720</v>
      </c>
      <c r="H116" s="14">
        <v>0</v>
      </c>
      <c r="I116" s="14" t="s">
        <v>585</v>
      </c>
      <c r="J116" s="14" t="s">
        <v>436</v>
      </c>
      <c r="K116" s="14" t="s">
        <v>721</v>
      </c>
      <c r="L116" s="15">
        <v>5.0000000000000001E-3</v>
      </c>
      <c r="M116" s="15">
        <v>0.01</v>
      </c>
      <c r="N116" s="15" t="str">
        <f t="shared" si="3"/>
        <v>0.5%-1.0%</v>
      </c>
      <c r="O116" s="13" t="s">
        <v>722</v>
      </c>
      <c r="P116" s="13" t="s">
        <v>30</v>
      </c>
      <c r="Q116" s="16" t="s">
        <v>202</v>
      </c>
      <c r="R116" s="16" t="s">
        <v>723</v>
      </c>
    </row>
    <row r="117" spans="1:18" ht="102" customHeight="1" x14ac:dyDescent="0.35">
      <c r="A117" t="str">
        <f t="shared" si="2"/>
        <v>LegalNASpecialist departments lead in commissioning legal and auditing services, while involving the purchasing department in critical processes like price negotiation can yield additional savings.</v>
      </c>
      <c r="B117" s="13">
        <v>109</v>
      </c>
      <c r="C117" s="14" t="s">
        <v>77</v>
      </c>
      <c r="D117" s="14" t="s">
        <v>23</v>
      </c>
      <c r="E117" s="14"/>
      <c r="F117" s="14"/>
      <c r="G117" s="14" t="s">
        <v>724</v>
      </c>
      <c r="H117" s="14" t="s">
        <v>725</v>
      </c>
      <c r="I117" s="14" t="s">
        <v>726</v>
      </c>
      <c r="J117" s="14" t="s">
        <v>727</v>
      </c>
      <c r="K117" s="14" t="s">
        <v>728</v>
      </c>
      <c r="L117" s="15">
        <v>5.0000000000000001E-3</v>
      </c>
      <c r="M117" s="15">
        <v>0.01</v>
      </c>
      <c r="N117" s="15" t="str">
        <f t="shared" si="3"/>
        <v>0.5%-1.0%</v>
      </c>
      <c r="O117" s="13" t="s">
        <v>729</v>
      </c>
      <c r="P117" s="13" t="s">
        <v>83</v>
      </c>
      <c r="Q117" s="16" t="s">
        <v>150</v>
      </c>
      <c r="R117" s="16" t="s">
        <v>730</v>
      </c>
    </row>
    <row r="118" spans="1:18" ht="102" customHeight="1" x14ac:dyDescent="0.35">
      <c r="A118" t="str">
        <f t="shared" si="2"/>
        <v>LogisticsRoad LogisticsMost shipments are prioritized for fast delivery, but many could be slower and cheaper without impacting needs. A data-driven discussion with the business side is essential to highlight this opportunity.</v>
      </c>
      <c r="B118" s="13">
        <v>110</v>
      </c>
      <c r="C118" s="14" t="s">
        <v>119</v>
      </c>
      <c r="D118" s="14" t="s">
        <v>295</v>
      </c>
      <c r="E118" s="14"/>
      <c r="F118" s="14"/>
      <c r="G118" s="14" t="s">
        <v>731</v>
      </c>
      <c r="H118" s="14" t="s">
        <v>122</v>
      </c>
      <c r="I118" s="14" t="s">
        <v>732</v>
      </c>
      <c r="J118" s="14" t="s">
        <v>733</v>
      </c>
      <c r="K118" s="14" t="s">
        <v>734</v>
      </c>
      <c r="L118" s="15">
        <v>2.5000000000000001E-3</v>
      </c>
      <c r="M118" s="15">
        <v>5.0000000000000001E-3</v>
      </c>
      <c r="N118" s="15" t="str">
        <f t="shared" si="3"/>
        <v>0.3%-0.5%</v>
      </c>
      <c r="O118" s="13" t="s">
        <v>735</v>
      </c>
      <c r="P118" s="13" t="s">
        <v>61</v>
      </c>
      <c r="Q118" s="16" t="s">
        <v>402</v>
      </c>
      <c r="R118" s="16" t="s">
        <v>736</v>
      </c>
    </row>
    <row r="119" spans="1:18" ht="102" customHeight="1" x14ac:dyDescent="0.35">
      <c r="A119" t="str">
        <f t="shared" si="2"/>
        <v>LogisticsLOG OceanStrategic SRM program enhances shipper status via collaborative capacity management.</v>
      </c>
      <c r="B119" s="13">
        <v>111</v>
      </c>
      <c r="C119" s="14" t="s">
        <v>119</v>
      </c>
      <c r="D119" s="14" t="s">
        <v>287</v>
      </c>
      <c r="E119" s="14"/>
      <c r="F119" s="14"/>
      <c r="G119" s="14" t="s">
        <v>737</v>
      </c>
      <c r="H119" s="14" t="s">
        <v>406</v>
      </c>
      <c r="I119" s="14" t="s">
        <v>738</v>
      </c>
      <c r="J119" s="14" t="s">
        <v>739</v>
      </c>
      <c r="K119" s="14" t="s">
        <v>740</v>
      </c>
      <c r="L119" s="15">
        <v>5.0000000000000001E-3</v>
      </c>
      <c r="M119" s="15">
        <v>0.01</v>
      </c>
      <c r="N119" s="15" t="str">
        <f t="shared" si="3"/>
        <v>0.5%-1.0%</v>
      </c>
      <c r="O119" s="13" t="s">
        <v>741</v>
      </c>
      <c r="P119" s="13" t="s">
        <v>50</v>
      </c>
      <c r="Q119" s="16" t="s">
        <v>134</v>
      </c>
      <c r="R119" s="16" t="s">
        <v>742</v>
      </c>
    </row>
    <row r="120" spans="1:18" ht="102" customHeight="1" x14ac:dyDescent="0.35">
      <c r="A120" t="str">
        <f t="shared" si="2"/>
        <v>LogisticsRoad LogisticsTransportation is often managed by a long-term partner with premium rates, but regularly seeking multiple quotes for large volumes helps identify alternatives and true market rates.</v>
      </c>
      <c r="B120" s="13">
        <v>112</v>
      </c>
      <c r="C120" s="14" t="s">
        <v>119</v>
      </c>
      <c r="D120" s="14" t="s">
        <v>295</v>
      </c>
      <c r="E120" s="14"/>
      <c r="F120" s="14"/>
      <c r="G120" s="14" t="s">
        <v>743</v>
      </c>
      <c r="H120" s="14" t="s">
        <v>406</v>
      </c>
      <c r="I120" s="14" t="s">
        <v>738</v>
      </c>
      <c r="J120" s="14" t="s">
        <v>739</v>
      </c>
      <c r="K120" s="14" t="s">
        <v>740</v>
      </c>
      <c r="L120" s="15">
        <v>2.5000000000000001E-3</v>
      </c>
      <c r="M120" s="15">
        <v>5.0000000000000001E-3</v>
      </c>
      <c r="N120" s="15" t="str">
        <f t="shared" si="3"/>
        <v>0.3%-0.5%</v>
      </c>
      <c r="O120" s="13" t="s">
        <v>550</v>
      </c>
      <c r="P120" s="13" t="s">
        <v>30</v>
      </c>
      <c r="Q120" s="16" t="s">
        <v>165</v>
      </c>
      <c r="R120" s="16" t="s">
        <v>551</v>
      </c>
    </row>
    <row r="121" spans="1:18" ht="102" customHeight="1" x14ac:dyDescent="0.35">
      <c r="A121" t="str">
        <f t="shared" si="2"/>
        <v>LogisticsCEP LogisticsInvesting in new suppliers to challenge and diversify existing partnerships.</v>
      </c>
      <c r="B121" s="13">
        <v>113</v>
      </c>
      <c r="C121" s="14" t="s">
        <v>119</v>
      </c>
      <c r="D121" s="14" t="s">
        <v>120</v>
      </c>
      <c r="E121" s="14"/>
      <c r="F121" s="14"/>
      <c r="G121" s="14" t="s">
        <v>744</v>
      </c>
      <c r="H121" s="14" t="s">
        <v>406</v>
      </c>
      <c r="I121" s="14" t="s">
        <v>738</v>
      </c>
      <c r="J121" s="14" t="s">
        <v>739</v>
      </c>
      <c r="K121" s="14" t="s">
        <v>740</v>
      </c>
      <c r="L121" s="15">
        <v>5.0000000000000001E-3</v>
      </c>
      <c r="M121" s="15">
        <v>0.01</v>
      </c>
      <c r="N121" s="15" t="str">
        <f t="shared" si="3"/>
        <v>0.5%-1.0%</v>
      </c>
      <c r="O121" s="13" t="s">
        <v>745</v>
      </c>
      <c r="P121" s="13" t="s">
        <v>30</v>
      </c>
      <c r="Q121" s="16" t="s">
        <v>31</v>
      </c>
      <c r="R121" s="16" t="s">
        <v>746</v>
      </c>
    </row>
    <row r="122" spans="1:18" ht="102" customHeight="1" x14ac:dyDescent="0.35">
      <c r="A122" t="str">
        <f t="shared" si="2"/>
        <v>LogisticsRoad LogisticsCentralizing transportation spend increases leverage and reduces fragmented local solutions.</v>
      </c>
      <c r="B122" s="13">
        <v>114</v>
      </c>
      <c r="C122" s="14" t="s">
        <v>119</v>
      </c>
      <c r="D122" s="14" t="s">
        <v>295</v>
      </c>
      <c r="E122" s="14"/>
      <c r="F122" s="14"/>
      <c r="G122" s="14" t="s">
        <v>747</v>
      </c>
      <c r="H122" s="14" t="s">
        <v>122</v>
      </c>
      <c r="I122" s="14" t="s">
        <v>748</v>
      </c>
      <c r="J122" s="14" t="s">
        <v>749</v>
      </c>
      <c r="K122" s="14" t="s">
        <v>750</v>
      </c>
      <c r="L122" s="15">
        <v>2.5000000000000001E-3</v>
      </c>
      <c r="M122" s="15">
        <v>5.0000000000000001E-3</v>
      </c>
      <c r="N122" s="15" t="str">
        <f t="shared" si="3"/>
        <v>0.3%-0.5%</v>
      </c>
      <c r="O122" s="13" t="s">
        <v>751</v>
      </c>
      <c r="P122" s="13" t="s">
        <v>30</v>
      </c>
      <c r="Q122" s="16" t="s">
        <v>202</v>
      </c>
      <c r="R122" s="16" t="s">
        <v>752</v>
      </c>
    </row>
    <row r="123" spans="1:18" ht="102" customHeight="1" x14ac:dyDescent="0.35">
      <c r="A123" t="str">
        <f t="shared" si="2"/>
        <v>LogisticsCEP LogisticsExpressive bidding with categories enhances flexibility and competitive supplier proposals.</v>
      </c>
      <c r="B123" s="13">
        <v>115</v>
      </c>
      <c r="C123" s="14" t="s">
        <v>119</v>
      </c>
      <c r="D123" s="14" t="s">
        <v>120</v>
      </c>
      <c r="E123" s="14"/>
      <c r="F123" s="14"/>
      <c r="G123" s="14" t="s">
        <v>747</v>
      </c>
      <c r="H123" s="14" t="s">
        <v>122</v>
      </c>
      <c r="I123" s="14" t="s">
        <v>748</v>
      </c>
      <c r="J123" s="14" t="s">
        <v>749</v>
      </c>
      <c r="K123" s="14" t="s">
        <v>750</v>
      </c>
      <c r="L123" s="15">
        <v>1.4999999999999999E-2</v>
      </c>
      <c r="M123" s="15">
        <v>0.03</v>
      </c>
      <c r="N123" s="15" t="str">
        <f t="shared" si="3"/>
        <v>1.5%-3.0%</v>
      </c>
      <c r="O123" s="13" t="s">
        <v>753</v>
      </c>
      <c r="P123" s="13" t="s">
        <v>30</v>
      </c>
      <c r="Q123" s="16" t="s">
        <v>165</v>
      </c>
      <c r="R123" s="16" t="s">
        <v>754</v>
      </c>
    </row>
    <row r="124" spans="1:18" ht="102" customHeight="1" x14ac:dyDescent="0.35">
      <c r="A124" t="str">
        <f t="shared" si="2"/>
        <v>LogisticsLOG OceanMost firms' spend isn't large enough to attract CEP providers, but a purchasing consortium like CoreTrust bundles volumes from multiple participants to negotiate significant savings, with no major prerequisites besides joining the pool.</v>
      </c>
      <c r="B124" s="13">
        <v>116</v>
      </c>
      <c r="C124" s="14" t="s">
        <v>119</v>
      </c>
      <c r="D124" s="14" t="s">
        <v>287</v>
      </c>
      <c r="E124" s="14"/>
      <c r="F124" s="14"/>
      <c r="G124" s="14" t="s">
        <v>755</v>
      </c>
      <c r="H124" s="14" t="s">
        <v>122</v>
      </c>
      <c r="I124" s="14" t="s">
        <v>732</v>
      </c>
      <c r="J124" s="14" t="s">
        <v>733</v>
      </c>
      <c r="K124" s="14" t="s">
        <v>756</v>
      </c>
      <c r="L124" s="15">
        <v>5.0000000000000001E-3</v>
      </c>
      <c r="M124" s="15">
        <v>0.01</v>
      </c>
      <c r="N124" s="15" t="str">
        <f t="shared" si="3"/>
        <v>0.5%-1.0%</v>
      </c>
      <c r="O124" s="13" t="s">
        <v>757</v>
      </c>
      <c r="P124" s="13" t="s">
        <v>30</v>
      </c>
      <c r="Q124" s="16" t="s">
        <v>202</v>
      </c>
      <c r="R124" s="16" t="s">
        <v>758</v>
      </c>
    </row>
    <row r="125" spans="1:18" ht="102" customHeight="1" x14ac:dyDescent="0.35">
      <c r="A125" t="str">
        <f t="shared" si="2"/>
        <v>LogisticsCEP LogisticsIncorporate strategic bidding to optimize supplier selection and pricing.</v>
      </c>
      <c r="B125" s="13">
        <v>117</v>
      </c>
      <c r="C125" s="14" t="s">
        <v>119</v>
      </c>
      <c r="D125" s="14" t="s">
        <v>120</v>
      </c>
      <c r="E125" s="14"/>
      <c r="F125" s="14"/>
      <c r="G125" s="14" t="s">
        <v>759</v>
      </c>
      <c r="H125" s="14" t="s">
        <v>122</v>
      </c>
      <c r="I125" s="14" t="s">
        <v>732</v>
      </c>
      <c r="J125" s="14" t="s">
        <v>733</v>
      </c>
      <c r="K125" s="14" t="s">
        <v>756</v>
      </c>
      <c r="L125" s="15">
        <v>5.0000000000000001E-3</v>
      </c>
      <c r="M125" s="15">
        <v>0.01</v>
      </c>
      <c r="N125" s="15" t="str">
        <f t="shared" si="3"/>
        <v>0.5%-1.0%</v>
      </c>
      <c r="O125" s="13" t="s">
        <v>760</v>
      </c>
      <c r="P125" s="13" t="s">
        <v>30</v>
      </c>
      <c r="Q125" s="16" t="s">
        <v>165</v>
      </c>
      <c r="R125" s="16" t="s">
        <v>761</v>
      </c>
    </row>
    <row r="126" spans="1:18" ht="102" customHeight="1" x14ac:dyDescent="0.35">
      <c r="A126" t="str">
        <f t="shared" si="2"/>
        <v>Office SuppliesNAReducing demand by changing the setup and perception of office material use is a powerful way to save money. This can include reducing office printers, eliminating paper waste baskets, implementing a policy requiring signatures, and training employees to use laptops instead of pen and paper.</v>
      </c>
      <c r="B126" s="13">
        <v>118</v>
      </c>
      <c r="C126" s="14" t="s">
        <v>22</v>
      </c>
      <c r="D126" s="14" t="s">
        <v>23</v>
      </c>
      <c r="E126" s="14"/>
      <c r="F126" s="14"/>
      <c r="G126" s="14" t="s">
        <v>762</v>
      </c>
      <c r="H126" s="14" t="s">
        <v>763</v>
      </c>
      <c r="I126" s="14" t="s">
        <v>764</v>
      </c>
      <c r="J126" s="14" t="s">
        <v>765</v>
      </c>
      <c r="K126" s="14" t="s">
        <v>766</v>
      </c>
      <c r="L126" s="15">
        <v>0.02</v>
      </c>
      <c r="M126" s="15">
        <v>0.04</v>
      </c>
      <c r="N126" s="15" t="str">
        <f t="shared" si="3"/>
        <v>2.0%-4.0%</v>
      </c>
      <c r="O126" s="13" t="s">
        <v>767</v>
      </c>
      <c r="P126" s="13" t="s">
        <v>61</v>
      </c>
      <c r="Q126" s="16" t="s">
        <v>768</v>
      </c>
      <c r="R126" s="16" t="s">
        <v>769</v>
      </c>
    </row>
    <row r="127" spans="1:18" ht="102" customHeight="1" x14ac:dyDescent="0.35">
      <c r="A127" t="str">
        <f t="shared" si="2"/>
        <v>TravelTravel Management AgencyTender travel agencies every 2-3 years for competitiveness or benchmark after 5 years and negotiate.</v>
      </c>
      <c r="B127" s="13">
        <v>119</v>
      </c>
      <c r="C127" s="14" t="s">
        <v>33</v>
      </c>
      <c r="D127" s="14" t="s">
        <v>527</v>
      </c>
      <c r="E127" s="14"/>
      <c r="F127" s="14"/>
      <c r="G127" s="14" t="s">
        <v>770</v>
      </c>
      <c r="H127" s="14" t="s">
        <v>591</v>
      </c>
      <c r="I127" s="14" t="s">
        <v>771</v>
      </c>
      <c r="J127" s="14" t="s">
        <v>772</v>
      </c>
      <c r="K127" s="14" t="s">
        <v>773</v>
      </c>
      <c r="L127" s="15">
        <v>2.5000000000000001E-2</v>
      </c>
      <c r="M127" s="15">
        <v>0.05</v>
      </c>
      <c r="N127" s="15" t="str">
        <f t="shared" si="3"/>
        <v>2.5%-5.0%</v>
      </c>
      <c r="O127" s="13" t="s">
        <v>774</v>
      </c>
      <c r="P127" s="13" t="s">
        <v>30</v>
      </c>
      <c r="Q127" s="16" t="s">
        <v>165</v>
      </c>
      <c r="R127" s="16" t="s">
        <v>775</v>
      </c>
    </row>
    <row r="128" spans="1:18" ht="102" customHeight="1" x14ac:dyDescent="0.35">
      <c r="A128" t="str">
        <f t="shared" si="2"/>
        <v>TravelTravel Management AgencyChoosing the right pricing agreements aligns costs with usage, optimizing travel expenses.</v>
      </c>
      <c r="B128" s="13">
        <v>120</v>
      </c>
      <c r="C128" s="14" t="s">
        <v>33</v>
      </c>
      <c r="D128" s="14" t="s">
        <v>527</v>
      </c>
      <c r="E128" s="14"/>
      <c r="F128" s="14"/>
      <c r="G128" s="14" t="s">
        <v>776</v>
      </c>
      <c r="H128" s="14" t="s">
        <v>777</v>
      </c>
      <c r="I128" s="14" t="s">
        <v>778</v>
      </c>
      <c r="J128" s="14" t="s">
        <v>779</v>
      </c>
      <c r="K128" s="14" t="s">
        <v>780</v>
      </c>
      <c r="L128" s="15">
        <v>2.5000000000000001E-2</v>
      </c>
      <c r="M128" s="15">
        <v>0.05</v>
      </c>
      <c r="N128" s="15" t="str">
        <f t="shared" si="3"/>
        <v>2.5%-5.0%</v>
      </c>
      <c r="O128" s="13" t="s">
        <v>781</v>
      </c>
      <c r="P128" s="13" t="s">
        <v>30</v>
      </c>
      <c r="Q128" s="16" t="s">
        <v>127</v>
      </c>
      <c r="R128" s="16" t="s">
        <v>782</v>
      </c>
    </row>
    <row r="129" spans="1:18" ht="102" customHeight="1" x14ac:dyDescent="0.35">
      <c r="A129" t="str">
        <f t="shared" si="2"/>
        <v>ITServer &amp; StorageDefine a cost model for SLA/service catalogue to prevent inflationary use by the business by reducing service levels.</v>
      </c>
      <c r="B129" s="13">
        <v>121</v>
      </c>
      <c r="C129" s="14" t="s">
        <v>265</v>
      </c>
      <c r="D129" s="14" t="s">
        <v>783</v>
      </c>
      <c r="E129" s="14"/>
      <c r="F129" s="14"/>
      <c r="G129" s="14" t="s">
        <v>784</v>
      </c>
      <c r="H129" s="14" t="s">
        <v>436</v>
      </c>
      <c r="I129" s="14" t="s">
        <v>437</v>
      </c>
      <c r="J129" s="14" t="s">
        <v>438</v>
      </c>
      <c r="K129" s="14" t="s">
        <v>439</v>
      </c>
      <c r="L129" s="15">
        <v>2.5000000000000001E-2</v>
      </c>
      <c r="M129" s="15">
        <v>0.05</v>
      </c>
      <c r="N129" s="15" t="str">
        <f t="shared" si="3"/>
        <v>2.5%-5.0%</v>
      </c>
      <c r="O129" s="13" t="s">
        <v>785</v>
      </c>
      <c r="P129" s="13" t="s">
        <v>61</v>
      </c>
      <c r="Q129" s="16" t="s">
        <v>402</v>
      </c>
      <c r="R129" s="16" t="s">
        <v>786</v>
      </c>
    </row>
    <row r="130" spans="1:18" ht="102" customHeight="1" x14ac:dyDescent="0.35">
      <c r="A130" t="str">
        <f t="shared" si="2"/>
        <v>MarketingEventsTransition in-person events to online formats.</v>
      </c>
      <c r="B130" s="13">
        <v>122</v>
      </c>
      <c r="C130" s="14" t="s">
        <v>322</v>
      </c>
      <c r="D130" s="14" t="s">
        <v>404</v>
      </c>
      <c r="E130" s="14"/>
      <c r="F130" s="14"/>
      <c r="G130" s="14" t="s">
        <v>787</v>
      </c>
      <c r="H130" s="14" t="s">
        <v>788</v>
      </c>
      <c r="I130" s="14" t="s">
        <v>466</v>
      </c>
      <c r="J130" s="14" t="s">
        <v>789</v>
      </c>
      <c r="K130" s="14" t="s">
        <v>336</v>
      </c>
      <c r="L130" s="15">
        <v>1.4999999999999999E-2</v>
      </c>
      <c r="M130" s="15">
        <v>0.03</v>
      </c>
      <c r="N130" s="15" t="str">
        <f t="shared" si="3"/>
        <v>1.5%-3.0%</v>
      </c>
      <c r="O130" s="13" t="s">
        <v>790</v>
      </c>
      <c r="P130" s="13" t="s">
        <v>61</v>
      </c>
      <c r="Q130" s="16" t="s">
        <v>69</v>
      </c>
      <c r="R130" s="16" t="s">
        <v>791</v>
      </c>
    </row>
    <row r="131" spans="1:18" ht="102" customHeight="1" x14ac:dyDescent="0.35">
      <c r="A131" t="str">
        <f t="shared" si="2"/>
        <v>MarketingTraditional MediaAre all targeted audiences and their corresponding CPM rates specified by the agency upfront?</v>
      </c>
      <c r="B131" s="13">
        <v>123</v>
      </c>
      <c r="C131" s="14" t="s">
        <v>322</v>
      </c>
      <c r="D131" s="14" t="s">
        <v>331</v>
      </c>
      <c r="E131" s="14"/>
      <c r="F131" s="14"/>
      <c r="G131" s="14" t="s">
        <v>792</v>
      </c>
      <c r="H131" s="14" t="s">
        <v>406</v>
      </c>
      <c r="I131" s="14" t="s">
        <v>793</v>
      </c>
      <c r="J131" s="14" t="s">
        <v>794</v>
      </c>
      <c r="K131" s="14" t="s">
        <v>795</v>
      </c>
      <c r="L131" s="15">
        <v>0.04</v>
      </c>
      <c r="M131" s="15">
        <v>0.08</v>
      </c>
      <c r="N131" s="15" t="str">
        <f t="shared" si="3"/>
        <v>4.0%-8.0%</v>
      </c>
      <c r="O131" s="13" t="s">
        <v>796</v>
      </c>
      <c r="P131" s="13" t="s">
        <v>83</v>
      </c>
      <c r="Q131" s="16" t="s">
        <v>84</v>
      </c>
      <c r="R131" s="16" t="s">
        <v>797</v>
      </c>
    </row>
    <row r="132" spans="1:18" ht="102" customHeight="1" x14ac:dyDescent="0.35">
      <c r="A132" t="str">
        <f t="shared" si="2"/>
        <v>MarketingEventsOutput-based work packages focus on delivering specific results or outcomes rather than just completing tasks, ensuring that the work is aligned with the desired end goals.</v>
      </c>
      <c r="B132" s="13">
        <v>124</v>
      </c>
      <c r="C132" s="14" t="s">
        <v>322</v>
      </c>
      <c r="D132" s="14" t="s">
        <v>404</v>
      </c>
      <c r="E132" s="14"/>
      <c r="F132" s="14"/>
      <c r="G132" s="14" t="s">
        <v>798</v>
      </c>
      <c r="H132" s="14" t="s">
        <v>799</v>
      </c>
      <c r="I132" s="14" t="s">
        <v>800</v>
      </c>
      <c r="J132" s="14" t="s">
        <v>801</v>
      </c>
      <c r="K132" s="14" t="s">
        <v>802</v>
      </c>
      <c r="L132" s="15">
        <v>0.01</v>
      </c>
      <c r="M132" s="15">
        <v>0.02</v>
      </c>
      <c r="N132" s="15" t="str">
        <f t="shared" si="3"/>
        <v>1.0%-2.0%</v>
      </c>
      <c r="O132" s="13" t="s">
        <v>803</v>
      </c>
      <c r="P132" s="13" t="s">
        <v>83</v>
      </c>
      <c r="Q132" s="16" t="s">
        <v>84</v>
      </c>
      <c r="R132" s="16" t="s">
        <v>804</v>
      </c>
    </row>
    <row r="133" spans="1:18" ht="102" customHeight="1" x14ac:dyDescent="0.35">
      <c r="A133" t="str">
        <f t="shared" si="2"/>
        <v>MarketingEventsSeparate the planning and brainstorming of events from their actual implementation.</v>
      </c>
      <c r="B133" s="13">
        <v>125</v>
      </c>
      <c r="C133" s="14" t="s">
        <v>322</v>
      </c>
      <c r="D133" s="14" t="s">
        <v>404</v>
      </c>
      <c r="E133" s="14"/>
      <c r="F133" s="14"/>
      <c r="G133" s="14" t="s">
        <v>805</v>
      </c>
      <c r="H133" s="14" t="s">
        <v>799</v>
      </c>
      <c r="I133" s="14" t="s">
        <v>800</v>
      </c>
      <c r="J133" s="14" t="s">
        <v>801</v>
      </c>
      <c r="K133" s="14" t="s">
        <v>802</v>
      </c>
      <c r="L133" s="15">
        <v>5.0000000000000001E-3</v>
      </c>
      <c r="M133" s="15">
        <v>0.01</v>
      </c>
      <c r="N133" s="15" t="str">
        <f t="shared" si="3"/>
        <v>0.5%-1.0%</v>
      </c>
      <c r="O133" s="13" t="s">
        <v>806</v>
      </c>
      <c r="P133" s="13" t="s">
        <v>83</v>
      </c>
      <c r="Q133" s="16" t="s">
        <v>150</v>
      </c>
      <c r="R133" s="16" t="s">
        <v>807</v>
      </c>
    </row>
    <row r="134" spans="1:18" ht="102" customHeight="1" x14ac:dyDescent="0.35">
      <c r="A134" t="str">
        <f t="shared" si="2"/>
        <v>MarketingDigital AgenciesCombine digital agency expenditures with those of creative or media agencies.</v>
      </c>
      <c r="B134" s="13">
        <v>126</v>
      </c>
      <c r="C134" s="14" t="s">
        <v>322</v>
      </c>
      <c r="D134" s="14" t="s">
        <v>808</v>
      </c>
      <c r="E134" s="14"/>
      <c r="F134" s="14"/>
      <c r="G134" s="14" t="s">
        <v>809</v>
      </c>
      <c r="H134" s="14" t="s">
        <v>810</v>
      </c>
      <c r="I134" s="14" t="s">
        <v>811</v>
      </c>
      <c r="J134" s="14" t="s">
        <v>812</v>
      </c>
      <c r="K134" s="14" t="s">
        <v>436</v>
      </c>
      <c r="L134" s="15">
        <v>0.01</v>
      </c>
      <c r="M134" s="15">
        <v>0.02</v>
      </c>
      <c r="N134" s="15" t="str">
        <f t="shared" si="3"/>
        <v>1.0%-2.0%</v>
      </c>
      <c r="O134" s="13" t="s">
        <v>813</v>
      </c>
      <c r="P134" s="13" t="s">
        <v>30</v>
      </c>
      <c r="Q134" s="16" t="s">
        <v>202</v>
      </c>
      <c r="R134" s="16" t="s">
        <v>814</v>
      </c>
    </row>
    <row r="135" spans="1:18" ht="102" customHeight="1" x14ac:dyDescent="0.35">
      <c r="A135" t="str">
        <f t="shared" si="2"/>
        <v>MarketingAd ProductionIn-source selected creative assets production</v>
      </c>
      <c r="B135" s="13">
        <v>127</v>
      </c>
      <c r="C135" s="14" t="s">
        <v>322</v>
      </c>
      <c r="D135" s="14" t="s">
        <v>360</v>
      </c>
      <c r="E135" s="14"/>
      <c r="F135" s="14"/>
      <c r="G135" s="14" t="s">
        <v>815</v>
      </c>
      <c r="H135" s="14" t="s">
        <v>810</v>
      </c>
      <c r="I135" s="14" t="s">
        <v>811</v>
      </c>
      <c r="J135" s="14" t="s">
        <v>812</v>
      </c>
      <c r="K135" s="14" t="s">
        <v>436</v>
      </c>
      <c r="L135" s="15">
        <v>1.4999999999999999E-2</v>
      </c>
      <c r="M135" s="15">
        <v>0.03</v>
      </c>
      <c r="N135" s="15" t="str">
        <f t="shared" si="3"/>
        <v>1.5%-3.0%</v>
      </c>
      <c r="O135" s="13" t="s">
        <v>816</v>
      </c>
      <c r="P135" s="13" t="s">
        <v>61</v>
      </c>
      <c r="Q135" s="16" t="s">
        <v>69</v>
      </c>
      <c r="R135" s="16" t="s">
        <v>817</v>
      </c>
    </row>
    <row r="136" spans="1:18" ht="102" customHeight="1" x14ac:dyDescent="0.35">
      <c r="A136" t="str">
        <f t="shared" si="2"/>
        <v>ITServer &amp; StorageImplement virtualization to minimize physical servers and reduce the number of databases and middleware in operation.</v>
      </c>
      <c r="B136" s="13">
        <v>128</v>
      </c>
      <c r="C136" s="14" t="s">
        <v>265</v>
      </c>
      <c r="D136" s="14" t="s">
        <v>783</v>
      </c>
      <c r="E136" s="14"/>
      <c r="F136" s="14"/>
      <c r="G136" s="14" t="s">
        <v>818</v>
      </c>
      <c r="H136" s="14" t="s">
        <v>436</v>
      </c>
      <c r="I136" s="14" t="s">
        <v>437</v>
      </c>
      <c r="J136" s="14" t="s">
        <v>438</v>
      </c>
      <c r="K136" s="14" t="s">
        <v>439</v>
      </c>
      <c r="L136" s="15">
        <v>2.5000000000000001E-2</v>
      </c>
      <c r="M136" s="15">
        <v>0.05</v>
      </c>
      <c r="N136" s="15" t="str">
        <f t="shared" si="3"/>
        <v>2.5%-5.0%</v>
      </c>
      <c r="O136" s="13" t="s">
        <v>819</v>
      </c>
      <c r="P136" s="13" t="s">
        <v>61</v>
      </c>
      <c r="Q136" s="16" t="s">
        <v>62</v>
      </c>
      <c r="R136" s="16" t="s">
        <v>820</v>
      </c>
    </row>
    <row r="137" spans="1:18" ht="102" customHeight="1" x14ac:dyDescent="0.35">
      <c r="A137" t="str">
        <f t="shared" si="2"/>
        <v>MarketingTraditional MediaImplement a P4P scheme that rewards employees for exceeding delivery standards.</v>
      </c>
      <c r="B137" s="13">
        <v>129</v>
      </c>
      <c r="C137" s="14" t="s">
        <v>322</v>
      </c>
      <c r="D137" s="14" t="s">
        <v>331</v>
      </c>
      <c r="E137" s="14"/>
      <c r="F137" s="14"/>
      <c r="G137" s="14" t="s">
        <v>821</v>
      </c>
      <c r="H137" s="14" t="s">
        <v>336</v>
      </c>
      <c r="I137" s="14" t="s">
        <v>789</v>
      </c>
      <c r="J137" s="14" t="s">
        <v>822</v>
      </c>
      <c r="K137" s="14" t="s">
        <v>468</v>
      </c>
      <c r="L137" s="15">
        <v>5.0000000000000001E-3</v>
      </c>
      <c r="M137" s="15">
        <v>0.01</v>
      </c>
      <c r="N137" s="15" t="str">
        <f t="shared" si="3"/>
        <v>0.5%-1.0%</v>
      </c>
      <c r="O137" s="13" t="s">
        <v>823</v>
      </c>
      <c r="P137" s="13" t="s">
        <v>61</v>
      </c>
      <c r="Q137" s="16" t="s">
        <v>491</v>
      </c>
      <c r="R137" s="16" t="s">
        <v>824</v>
      </c>
    </row>
    <row r="138" spans="1:18" ht="102" customHeight="1" x14ac:dyDescent="0.35">
      <c r="A138" t="str">
        <f t="shared" ref="A138:A201" si="4">_xlfn.CONCAT(C138,D138,O138)</f>
        <v>MarketingTraditional MediaImplement an effective pay-for-performance (P4P) scheme that rewards employees for good performance.
Introduce a P4P scheme that effectively rewards good performance.</v>
      </c>
      <c r="B138" s="13">
        <v>130</v>
      </c>
      <c r="C138" s="14" t="s">
        <v>322</v>
      </c>
      <c r="D138" s="14" t="s">
        <v>331</v>
      </c>
      <c r="E138" s="14"/>
      <c r="F138" s="14"/>
      <c r="G138" s="14" t="s">
        <v>821</v>
      </c>
      <c r="H138" s="14" t="s">
        <v>336</v>
      </c>
      <c r="I138" s="14" t="s">
        <v>789</v>
      </c>
      <c r="J138" s="14" t="s">
        <v>822</v>
      </c>
      <c r="K138" s="14" t="s">
        <v>468</v>
      </c>
      <c r="L138" s="15">
        <v>1.4999999999999999E-2</v>
      </c>
      <c r="M138" s="15">
        <v>0.03</v>
      </c>
      <c r="N138" s="15" t="str">
        <f t="shared" ref="N138:N201" si="5">_xlfn.CONCAT(TEXT(L138,"0.0%"),"-",TEXT(M138,"0.0%"))</f>
        <v>1.5%-3.0%</v>
      </c>
      <c r="O138" s="13" t="s">
        <v>825</v>
      </c>
      <c r="P138" s="13" t="e">
        <v>#N/A</v>
      </c>
      <c r="Q138" s="16" t="e">
        <v>#N/A</v>
      </c>
      <c r="R138" s="16" t="e">
        <v>#N/A</v>
      </c>
    </row>
    <row r="139" spans="1:18" ht="102" customHeight="1" x14ac:dyDescent="0.35">
      <c r="A139" t="str">
        <f t="shared" si="4"/>
        <v>ITSoftware development and maintenanceLeverage SaaS/IaaS based solutions to the fullest, especially for standard functionalities that can be catered-to by third party SaaS/Iaas providers. This helps reduce costs associated with software maintenance, upgrades etc.</v>
      </c>
      <c r="B139" s="13">
        <v>131</v>
      </c>
      <c r="C139" s="14" t="s">
        <v>265</v>
      </c>
      <c r="D139" s="14" t="s">
        <v>266</v>
      </c>
      <c r="E139" s="14"/>
      <c r="F139" s="14"/>
      <c r="G139" s="14" t="s">
        <v>826</v>
      </c>
      <c r="H139" s="14" t="s">
        <v>436</v>
      </c>
      <c r="I139" s="14" t="s">
        <v>437</v>
      </c>
      <c r="J139" s="14" t="s">
        <v>438</v>
      </c>
      <c r="K139" s="14" t="s">
        <v>439</v>
      </c>
      <c r="L139" s="15">
        <v>1.4999999999999999E-2</v>
      </c>
      <c r="M139" s="15">
        <v>0.03</v>
      </c>
      <c r="N139" s="15" t="str">
        <f t="shared" si="5"/>
        <v>1.5%-3.0%</v>
      </c>
      <c r="O139" s="13" t="s">
        <v>827</v>
      </c>
      <c r="P139" s="13" t="s">
        <v>61</v>
      </c>
      <c r="Q139" s="16" t="s">
        <v>62</v>
      </c>
      <c r="R139" s="16" t="s">
        <v>828</v>
      </c>
    </row>
    <row r="140" spans="1:18" ht="102" customHeight="1" x14ac:dyDescent="0.35">
      <c r="A140" t="str">
        <f t="shared" si="4"/>
        <v>FleetWay of purchasingAs a standard use Game-theory based methods e.g. auctions or supplier-days. Ensure that the teams are regularly trained in these methods.</v>
      </c>
      <c r="B140" s="13">
        <v>132</v>
      </c>
      <c r="C140" s="14" t="s">
        <v>53</v>
      </c>
      <c r="D140" s="14" t="s">
        <v>96</v>
      </c>
      <c r="E140" s="14"/>
      <c r="F140" s="14"/>
      <c r="G140" s="14" t="s">
        <v>829</v>
      </c>
      <c r="H140" s="14" t="s">
        <v>830</v>
      </c>
      <c r="I140" s="14" t="s">
        <v>831</v>
      </c>
      <c r="J140" s="14" t="s">
        <v>832</v>
      </c>
      <c r="K140" s="14" t="s">
        <v>833</v>
      </c>
      <c r="L140" s="15">
        <v>2.5000000000000001E-3</v>
      </c>
      <c r="M140" s="15">
        <v>5.0000000000000001E-3</v>
      </c>
      <c r="N140" s="15" t="str">
        <f t="shared" si="5"/>
        <v>0.3%-0.5%</v>
      </c>
      <c r="O140" s="13" t="s">
        <v>834</v>
      </c>
      <c r="P140" s="13" t="s">
        <v>30</v>
      </c>
      <c r="Q140" s="16" t="s">
        <v>165</v>
      </c>
      <c r="R140" s="16" t="s">
        <v>835</v>
      </c>
    </row>
    <row r="141" spans="1:18" ht="102" customHeight="1" x14ac:dyDescent="0.35">
      <c r="A141" t="str">
        <f t="shared" si="4"/>
        <v>MarketingTraditional MediaEnhance WOW by leveraging 'first-to-book media' efficiencies for optimal results.</v>
      </c>
      <c r="B141" s="13">
        <v>133</v>
      </c>
      <c r="C141" s="14" t="s">
        <v>322</v>
      </c>
      <c r="D141" s="14" t="s">
        <v>331</v>
      </c>
      <c r="E141" s="14"/>
      <c r="F141" s="14"/>
      <c r="G141" s="14" t="s">
        <v>836</v>
      </c>
      <c r="H141" s="14" t="s">
        <v>325</v>
      </c>
      <c r="I141" s="14" t="s">
        <v>326</v>
      </c>
      <c r="J141" s="14" t="s">
        <v>837</v>
      </c>
      <c r="K141" s="14" t="s">
        <v>838</v>
      </c>
      <c r="L141" s="15">
        <v>0.01</v>
      </c>
      <c r="M141" s="15">
        <v>0.02</v>
      </c>
      <c r="N141" s="15" t="str">
        <f t="shared" si="5"/>
        <v>1.0%-2.0%</v>
      </c>
      <c r="O141" s="13" t="s">
        <v>839</v>
      </c>
      <c r="P141" s="13" t="s">
        <v>83</v>
      </c>
      <c r="Q141" s="16" t="s">
        <v>150</v>
      </c>
      <c r="R141" s="16" t="s">
        <v>840</v>
      </c>
    </row>
    <row r="142" spans="1:18" ht="102" customHeight="1" x14ac:dyDescent="0.35">
      <c r="A142" t="str">
        <f t="shared" si="4"/>
        <v>MarketingTraditional MediaGet AVB transparency by vendor</v>
      </c>
      <c r="B142" s="13">
        <v>134</v>
      </c>
      <c r="C142" s="14" t="s">
        <v>322</v>
      </c>
      <c r="D142" s="14" t="s">
        <v>331</v>
      </c>
      <c r="E142" s="14"/>
      <c r="F142" s="14"/>
      <c r="G142" s="14" t="s">
        <v>841</v>
      </c>
      <c r="H142" s="14" t="s">
        <v>842</v>
      </c>
      <c r="I142" s="14" t="s">
        <v>843</v>
      </c>
      <c r="J142" s="14" t="s">
        <v>844</v>
      </c>
      <c r="K142" s="14" t="s">
        <v>845</v>
      </c>
      <c r="L142" s="15">
        <v>0.01</v>
      </c>
      <c r="M142" s="15">
        <v>0.02</v>
      </c>
      <c r="N142" s="15" t="str">
        <f t="shared" si="5"/>
        <v>1.0%-2.0%</v>
      </c>
      <c r="O142" s="13" t="s">
        <v>846</v>
      </c>
      <c r="P142" s="13" t="s">
        <v>83</v>
      </c>
      <c r="Q142" s="16" t="s">
        <v>84</v>
      </c>
      <c r="R142" s="16" t="s">
        <v>847</v>
      </c>
    </row>
    <row r="143" spans="1:18" ht="102" customHeight="1" x14ac:dyDescent="0.35">
      <c r="A143" t="str">
        <f t="shared" si="4"/>
        <v>MarketingTraditional MediaObtain AVB transparency specific to each vendor.</v>
      </c>
      <c r="B143" s="13">
        <v>135</v>
      </c>
      <c r="C143" s="14" t="s">
        <v>322</v>
      </c>
      <c r="D143" s="14" t="s">
        <v>331</v>
      </c>
      <c r="E143" s="14"/>
      <c r="F143" s="14"/>
      <c r="G143" s="14" t="s">
        <v>841</v>
      </c>
      <c r="H143" s="14" t="s">
        <v>842</v>
      </c>
      <c r="I143" s="14" t="s">
        <v>843</v>
      </c>
      <c r="J143" s="14" t="s">
        <v>844</v>
      </c>
      <c r="K143" s="14" t="s">
        <v>845</v>
      </c>
      <c r="L143" s="15">
        <v>1.4999999999999999E-2</v>
      </c>
      <c r="M143" s="15">
        <v>0.03</v>
      </c>
      <c r="N143" s="15" t="str">
        <f t="shared" si="5"/>
        <v>1.5%-3.0%</v>
      </c>
      <c r="O143" s="13" t="s">
        <v>848</v>
      </c>
      <c r="P143" s="13" t="s">
        <v>83</v>
      </c>
      <c r="Q143" s="16" t="s">
        <v>84</v>
      </c>
      <c r="R143" s="16" t="s">
        <v>847</v>
      </c>
    </row>
    <row r="144" spans="1:18" ht="102" customHeight="1" x14ac:dyDescent="0.35">
      <c r="A144" t="str">
        <f t="shared" si="4"/>
        <v>MarketingCreative AgenciesOutsource non-strategic services like DTP, BTL adaptation, and translation to more cost-effective agencies.</v>
      </c>
      <c r="B144" s="13">
        <v>136</v>
      </c>
      <c r="C144" s="14" t="s">
        <v>322</v>
      </c>
      <c r="D144" s="14" t="s">
        <v>849</v>
      </c>
      <c r="E144" s="14"/>
      <c r="F144" s="14"/>
      <c r="G144" s="14" t="s">
        <v>850</v>
      </c>
      <c r="H144" s="14" t="s">
        <v>810</v>
      </c>
      <c r="I144" s="14" t="s">
        <v>811</v>
      </c>
      <c r="J144" s="14" t="s">
        <v>812</v>
      </c>
      <c r="K144" s="14" t="s">
        <v>436</v>
      </c>
      <c r="L144" s="15">
        <v>1.4999999999999999E-2</v>
      </c>
      <c r="M144" s="15">
        <v>0.03</v>
      </c>
      <c r="N144" s="15" t="str">
        <f t="shared" si="5"/>
        <v>1.5%-3.0%</v>
      </c>
      <c r="O144" s="13" t="s">
        <v>851</v>
      </c>
      <c r="P144" s="13" t="s">
        <v>50</v>
      </c>
      <c r="Q144" s="16" t="s">
        <v>852</v>
      </c>
      <c r="R144" s="16" t="s">
        <v>853</v>
      </c>
    </row>
    <row r="145" spans="1:18" ht="102" customHeight="1" x14ac:dyDescent="0.35">
      <c r="A145" t="str">
        <f t="shared" si="4"/>
        <v>MarketingCreative AgenciesThe selected agency oversees in-source activities, including project management, resource allocation, and performance evaluation.</v>
      </c>
      <c r="B145" s="13">
        <v>137</v>
      </c>
      <c r="C145" s="14" t="s">
        <v>322</v>
      </c>
      <c r="D145" s="14" t="s">
        <v>849</v>
      </c>
      <c r="E145" s="14"/>
      <c r="F145" s="14"/>
      <c r="G145" s="14" t="s">
        <v>854</v>
      </c>
      <c r="H145" s="14" t="s">
        <v>855</v>
      </c>
      <c r="I145" s="14" t="s">
        <v>856</v>
      </c>
      <c r="J145" s="14" t="s">
        <v>857</v>
      </c>
      <c r="K145" s="14" t="s">
        <v>336</v>
      </c>
      <c r="L145" s="15">
        <v>0.01</v>
      </c>
      <c r="M145" s="15">
        <v>0.02</v>
      </c>
      <c r="N145" s="15" t="str">
        <f t="shared" si="5"/>
        <v>1.0%-2.0%</v>
      </c>
      <c r="O145" s="13" t="s">
        <v>858</v>
      </c>
      <c r="P145" s="13" t="s">
        <v>50</v>
      </c>
      <c r="Q145" s="16" t="s">
        <v>51</v>
      </c>
      <c r="R145" s="16" t="s">
        <v>859</v>
      </c>
    </row>
    <row r="146" spans="1:18" ht="102" customHeight="1" x14ac:dyDescent="0.35">
      <c r="A146" t="str">
        <f t="shared" si="4"/>
        <v>MarketingDigital AgenciesThe Lever Description outlines activities managed by the selected agency for in-sourcing</v>
      </c>
      <c r="B146" s="13">
        <v>138</v>
      </c>
      <c r="C146" s="14" t="s">
        <v>322</v>
      </c>
      <c r="D146" s="14" t="s">
        <v>808</v>
      </c>
      <c r="E146" s="14"/>
      <c r="F146" s="14"/>
      <c r="G146" s="14" t="s">
        <v>860</v>
      </c>
      <c r="H146" s="14" t="s">
        <v>855</v>
      </c>
      <c r="I146" s="14" t="s">
        <v>856</v>
      </c>
      <c r="J146" s="14" t="s">
        <v>857</v>
      </c>
      <c r="K146" s="14" t="s">
        <v>336</v>
      </c>
      <c r="L146" s="15">
        <v>0.01</v>
      </c>
      <c r="M146" s="15">
        <v>0.02</v>
      </c>
      <c r="N146" s="15" t="str">
        <f t="shared" si="5"/>
        <v>1.0%-2.0%</v>
      </c>
      <c r="O146" s="13" t="s">
        <v>861</v>
      </c>
      <c r="P146" s="13" t="s">
        <v>50</v>
      </c>
      <c r="Q146" s="16" t="s">
        <v>51</v>
      </c>
      <c r="R146" s="16" t="s">
        <v>859</v>
      </c>
    </row>
    <row r="147" spans="1:18" ht="102" customHeight="1" x14ac:dyDescent="0.35">
      <c r="A147" t="str">
        <f t="shared" si="4"/>
        <v>MarketingOnline MediaStreamline digital banner expenditures and unify media agency efforts.</v>
      </c>
      <c r="B147" s="13">
        <v>139</v>
      </c>
      <c r="C147" s="14" t="s">
        <v>322</v>
      </c>
      <c r="D147" s="14" t="s">
        <v>862</v>
      </c>
      <c r="E147" s="14"/>
      <c r="F147" s="14"/>
      <c r="G147" s="14" t="s">
        <v>863</v>
      </c>
      <c r="H147" s="14" t="s">
        <v>577</v>
      </c>
      <c r="I147" s="14" t="s">
        <v>578</v>
      </c>
      <c r="J147" s="14" t="s">
        <v>438</v>
      </c>
      <c r="K147" s="14" t="s">
        <v>27</v>
      </c>
      <c r="L147" s="15">
        <v>0.04</v>
      </c>
      <c r="M147" s="15">
        <v>0.08</v>
      </c>
      <c r="N147" s="15" t="str">
        <f t="shared" si="5"/>
        <v>4.0%-8.0%</v>
      </c>
      <c r="O147" s="13" t="s">
        <v>864</v>
      </c>
      <c r="P147" s="13" t="s">
        <v>30</v>
      </c>
      <c r="Q147" s="16" t="s">
        <v>202</v>
      </c>
      <c r="R147" s="16" t="s">
        <v>865</v>
      </c>
    </row>
    <row r="148" spans="1:18" ht="102" customHeight="1" x14ac:dyDescent="0.35">
      <c r="A148" t="str">
        <f t="shared" si="4"/>
        <v>MarketingTraditional MediaStreamline media expenditures and agency partnerships.</v>
      </c>
      <c r="B148" s="13">
        <v>140</v>
      </c>
      <c r="C148" s="14" t="s">
        <v>322</v>
      </c>
      <c r="D148" s="14" t="s">
        <v>331</v>
      </c>
      <c r="E148" s="14"/>
      <c r="F148" s="14"/>
      <c r="G148" s="14" t="s">
        <v>866</v>
      </c>
      <c r="H148" s="14" t="s">
        <v>577</v>
      </c>
      <c r="I148" s="14" t="s">
        <v>578</v>
      </c>
      <c r="J148" s="14" t="s">
        <v>438</v>
      </c>
      <c r="K148" s="14" t="s">
        <v>27</v>
      </c>
      <c r="L148" s="15">
        <v>0.01</v>
      </c>
      <c r="M148" s="15">
        <v>0.02</v>
      </c>
      <c r="N148" s="15" t="str">
        <f t="shared" si="5"/>
        <v>1.0%-2.0%</v>
      </c>
      <c r="O148" s="13" t="s">
        <v>867</v>
      </c>
      <c r="P148" s="13" t="s">
        <v>30</v>
      </c>
      <c r="Q148" s="16" t="s">
        <v>202</v>
      </c>
      <c r="R148" s="16" t="s">
        <v>868</v>
      </c>
    </row>
    <row r="149" spans="1:18" ht="102" customHeight="1" x14ac:dyDescent="0.35">
      <c r="A149" t="str">
        <f t="shared" si="4"/>
        <v>MarketingTraditional MediaEnsure clear visibility and accountability throughout the digital value chain.</v>
      </c>
      <c r="B149" s="13">
        <v>141</v>
      </c>
      <c r="C149" s="14" t="s">
        <v>322</v>
      </c>
      <c r="D149" s="14" t="s">
        <v>331</v>
      </c>
      <c r="E149" s="14"/>
      <c r="F149" s="14"/>
      <c r="G149" s="14" t="s">
        <v>866</v>
      </c>
      <c r="H149" s="14" t="s">
        <v>577</v>
      </c>
      <c r="I149" s="14" t="s">
        <v>578</v>
      </c>
      <c r="J149" s="14" t="s">
        <v>438</v>
      </c>
      <c r="K149" s="14" t="s">
        <v>27</v>
      </c>
      <c r="L149" s="15">
        <v>0.04</v>
      </c>
      <c r="M149" s="15">
        <v>0.08</v>
      </c>
      <c r="N149" s="15" t="str">
        <f t="shared" si="5"/>
        <v>4.0%-8.0%</v>
      </c>
      <c r="O149" s="13" t="s">
        <v>869</v>
      </c>
      <c r="P149" s="13" t="s">
        <v>83</v>
      </c>
      <c r="Q149" s="16" t="s">
        <v>150</v>
      </c>
      <c r="R149" s="16" t="s">
        <v>870</v>
      </c>
    </row>
    <row r="150" spans="1:18" ht="102" customHeight="1" x14ac:dyDescent="0.35">
      <c r="A150" t="str">
        <f t="shared" si="4"/>
        <v>MarketingCreative AgenciesMerge multiple agencies into one streamlined, efficient organization.</v>
      </c>
      <c r="B150" s="13">
        <v>142</v>
      </c>
      <c r="C150" s="14" t="s">
        <v>322</v>
      </c>
      <c r="D150" s="14" t="s">
        <v>849</v>
      </c>
      <c r="E150" s="14"/>
      <c r="F150" s="14"/>
      <c r="G150" s="14" t="s">
        <v>871</v>
      </c>
      <c r="H150" s="14" t="s">
        <v>577</v>
      </c>
      <c r="I150" s="14" t="s">
        <v>578</v>
      </c>
      <c r="J150" s="14" t="s">
        <v>438</v>
      </c>
      <c r="K150" s="14" t="s">
        <v>27</v>
      </c>
      <c r="L150" s="15">
        <v>0.01</v>
      </c>
      <c r="M150" s="15">
        <v>0.02</v>
      </c>
      <c r="N150" s="15" t="str">
        <f t="shared" si="5"/>
        <v>1.0%-2.0%</v>
      </c>
      <c r="O150" s="13" t="s">
        <v>872</v>
      </c>
      <c r="P150" s="13" t="s">
        <v>30</v>
      </c>
      <c r="Q150" s="16" t="s">
        <v>31</v>
      </c>
      <c r="R150" s="16" t="s">
        <v>873</v>
      </c>
    </row>
    <row r="151" spans="1:18" ht="102" customHeight="1" x14ac:dyDescent="0.35">
      <c r="A151" t="str">
        <f t="shared" si="4"/>
        <v>MarketingDigital AgenciesMerge multiple agencies into a single entity to streamline operations and improve efficiency.</v>
      </c>
      <c r="B151" s="13">
        <v>143</v>
      </c>
      <c r="C151" s="14" t="s">
        <v>322</v>
      </c>
      <c r="D151" s="14" t="s">
        <v>808</v>
      </c>
      <c r="E151" s="14"/>
      <c r="F151" s="14"/>
      <c r="G151" s="14" t="s">
        <v>871</v>
      </c>
      <c r="H151" s="14" t="s">
        <v>577</v>
      </c>
      <c r="I151" s="14" t="s">
        <v>578</v>
      </c>
      <c r="J151" s="14" t="s">
        <v>438</v>
      </c>
      <c r="K151" s="14" t="s">
        <v>27</v>
      </c>
      <c r="L151" s="15">
        <v>5.0000000000000001E-3</v>
      </c>
      <c r="M151" s="15">
        <v>0.01</v>
      </c>
      <c r="N151" s="15" t="str">
        <f t="shared" si="5"/>
        <v>0.5%-1.0%</v>
      </c>
      <c r="O151" s="13" t="s">
        <v>874</v>
      </c>
      <c r="P151" s="13" t="s">
        <v>30</v>
      </c>
      <c r="Q151" s="16" t="s">
        <v>31</v>
      </c>
      <c r="R151" s="16" t="s">
        <v>873</v>
      </c>
    </row>
    <row r="152" spans="1:18" ht="102" customHeight="1" x14ac:dyDescent="0.35">
      <c r="A152" t="str">
        <f t="shared" si="4"/>
        <v>MarketingPOS MaterialOptimize (harmonize, simplify etc) POS material</v>
      </c>
      <c r="B152" s="13">
        <v>144</v>
      </c>
      <c r="C152" s="14" t="s">
        <v>322</v>
      </c>
      <c r="D152" s="14" t="s">
        <v>323</v>
      </c>
      <c r="E152" s="14"/>
      <c r="F152" s="14"/>
      <c r="G152" s="14" t="s">
        <v>875</v>
      </c>
      <c r="H152" s="14" t="s">
        <v>876</v>
      </c>
      <c r="I152" s="14" t="s">
        <v>620</v>
      </c>
      <c r="J152" s="14" t="s">
        <v>621</v>
      </c>
      <c r="K152" s="14" t="s">
        <v>622</v>
      </c>
      <c r="L152" s="15">
        <v>0.01</v>
      </c>
      <c r="M152" s="15">
        <v>0.02</v>
      </c>
      <c r="N152" s="15" t="str">
        <f t="shared" si="5"/>
        <v>1.0%-2.0%</v>
      </c>
      <c r="O152" s="13" t="s">
        <v>877</v>
      </c>
      <c r="P152" s="13" t="s">
        <v>61</v>
      </c>
      <c r="Q152" s="16" t="s">
        <v>381</v>
      </c>
      <c r="R152" s="16" t="s">
        <v>878</v>
      </c>
    </row>
    <row r="153" spans="1:18" ht="102" customHeight="1" x14ac:dyDescent="0.35">
      <c r="A153" t="str">
        <f t="shared" si="4"/>
        <v>MarketingPOS MaterialConsolidate POS production inlcuding bringing an integrator</v>
      </c>
      <c r="B153" s="13">
        <v>145</v>
      </c>
      <c r="C153" s="14" t="s">
        <v>322</v>
      </c>
      <c r="D153" s="14" t="s">
        <v>323</v>
      </c>
      <c r="E153" s="14"/>
      <c r="F153" s="14"/>
      <c r="G153" s="14" t="s">
        <v>879</v>
      </c>
      <c r="H153" s="14" t="s">
        <v>880</v>
      </c>
      <c r="I153" s="14" t="s">
        <v>620</v>
      </c>
      <c r="J153" s="14" t="s">
        <v>621</v>
      </c>
      <c r="K153" s="14" t="s">
        <v>622</v>
      </c>
      <c r="L153" s="15">
        <v>0.01</v>
      </c>
      <c r="M153" s="15">
        <v>0.02</v>
      </c>
      <c r="N153" s="15" t="str">
        <f t="shared" si="5"/>
        <v>1.0%-2.0%</v>
      </c>
      <c r="O153" s="13" t="s">
        <v>881</v>
      </c>
      <c r="P153" s="13" t="s">
        <v>30</v>
      </c>
      <c r="Q153" s="16" t="s">
        <v>31</v>
      </c>
      <c r="R153" s="16" t="s">
        <v>882</v>
      </c>
    </row>
    <row r="154" spans="1:18" ht="102" customHeight="1" x14ac:dyDescent="0.35">
      <c r="A154" t="str">
        <f t="shared" si="4"/>
        <v>MarketingAd ProductionPool productions is a versatile and efficient system designed to streamline and optimize production processes, ensuring maximum productivity and minimal waste.</v>
      </c>
      <c r="B154" s="13">
        <v>146</v>
      </c>
      <c r="C154" s="14" t="s">
        <v>322</v>
      </c>
      <c r="D154" s="14" t="s">
        <v>360</v>
      </c>
      <c r="E154" s="14"/>
      <c r="F154" s="14"/>
      <c r="G154" s="14" t="s">
        <v>883</v>
      </c>
      <c r="H154" s="14" t="s">
        <v>325</v>
      </c>
      <c r="I154" s="14" t="s">
        <v>620</v>
      </c>
      <c r="J154" s="14" t="s">
        <v>621</v>
      </c>
      <c r="K154" s="14" t="s">
        <v>622</v>
      </c>
      <c r="L154" s="15">
        <v>0.01</v>
      </c>
      <c r="M154" s="15">
        <v>0.02</v>
      </c>
      <c r="N154" s="15" t="str">
        <f t="shared" si="5"/>
        <v>1.0%-2.0%</v>
      </c>
      <c r="O154" s="13" t="s">
        <v>884</v>
      </c>
      <c r="P154" s="13" t="s">
        <v>83</v>
      </c>
      <c r="Q154" s="16" t="s">
        <v>150</v>
      </c>
      <c r="R154" s="16" t="s">
        <v>885</v>
      </c>
    </row>
    <row r="155" spans="1:18" ht="102" customHeight="1" x14ac:dyDescent="0.35">
      <c r="A155" t="str">
        <f t="shared" si="4"/>
        <v>MarketingEventsOrganize event providers and categorize suppliers by type into rosters.</v>
      </c>
      <c r="B155" s="13">
        <v>147</v>
      </c>
      <c r="C155" s="14" t="s">
        <v>322</v>
      </c>
      <c r="D155" s="14" t="s">
        <v>404</v>
      </c>
      <c r="E155" s="14"/>
      <c r="F155" s="14"/>
      <c r="G155" s="14" t="s">
        <v>886</v>
      </c>
      <c r="H155" s="14" t="s">
        <v>887</v>
      </c>
      <c r="I155" s="14" t="s">
        <v>837</v>
      </c>
      <c r="J155" s="14" t="s">
        <v>888</v>
      </c>
      <c r="K155" s="14" t="s">
        <v>889</v>
      </c>
      <c r="L155" s="15">
        <v>5.0000000000000001E-3</v>
      </c>
      <c r="M155" s="15">
        <v>0.01</v>
      </c>
      <c r="N155" s="15" t="str">
        <f t="shared" si="5"/>
        <v>0.5%-1.0%</v>
      </c>
      <c r="O155" s="13" t="s">
        <v>890</v>
      </c>
      <c r="P155" s="13" t="s">
        <v>30</v>
      </c>
      <c r="Q155" s="16" t="s">
        <v>31</v>
      </c>
      <c r="R155" s="16" t="s">
        <v>891</v>
      </c>
    </row>
    <row r="156" spans="1:18" ht="102" customHeight="1" x14ac:dyDescent="0.35">
      <c r="A156" t="str">
        <f t="shared" si="4"/>
        <v>MarketingCreative AgenciesImplement an output-based fee structure supported by a should-cost model.</v>
      </c>
      <c r="B156" s="13">
        <v>148</v>
      </c>
      <c r="C156" s="14" t="s">
        <v>322</v>
      </c>
      <c r="D156" s="14" t="s">
        <v>849</v>
      </c>
      <c r="E156" s="14"/>
      <c r="F156" s="14"/>
      <c r="G156" s="14" t="s">
        <v>892</v>
      </c>
      <c r="H156" s="14" t="s">
        <v>799</v>
      </c>
      <c r="I156" s="14" t="s">
        <v>888</v>
      </c>
      <c r="J156" s="14" t="s">
        <v>893</v>
      </c>
      <c r="K156" s="14" t="s">
        <v>894</v>
      </c>
      <c r="L156" s="15">
        <v>0.01</v>
      </c>
      <c r="M156" s="15">
        <v>0.02</v>
      </c>
      <c r="N156" s="15" t="str">
        <f t="shared" si="5"/>
        <v>1.0%-2.0%</v>
      </c>
      <c r="O156" s="13" t="s">
        <v>895</v>
      </c>
      <c r="P156" s="13" t="s">
        <v>83</v>
      </c>
      <c r="Q156" s="16" t="s">
        <v>84</v>
      </c>
      <c r="R156" s="16" t="s">
        <v>896</v>
      </c>
    </row>
    <row r="157" spans="1:18" ht="102" customHeight="1" x14ac:dyDescent="0.35">
      <c r="A157" t="str">
        <f t="shared" si="4"/>
        <v>MarketingDigital AgenciesImplement an output-based fee structure supported by a should-cost model</v>
      </c>
      <c r="B157" s="13">
        <v>149</v>
      </c>
      <c r="C157" s="14" t="s">
        <v>322</v>
      </c>
      <c r="D157" s="14" t="s">
        <v>808</v>
      </c>
      <c r="E157" s="14"/>
      <c r="F157" s="14"/>
      <c r="G157" s="14" t="s">
        <v>892</v>
      </c>
      <c r="H157" s="14" t="s">
        <v>799</v>
      </c>
      <c r="I157" s="14" t="s">
        <v>888</v>
      </c>
      <c r="J157" s="14" t="s">
        <v>893</v>
      </c>
      <c r="K157" s="14" t="s">
        <v>897</v>
      </c>
      <c r="L157" s="15">
        <v>0.01</v>
      </c>
      <c r="M157" s="15">
        <v>0.02</v>
      </c>
      <c r="N157" s="15" t="str">
        <f t="shared" si="5"/>
        <v>1.0%-2.0%</v>
      </c>
      <c r="O157" s="13" t="s">
        <v>898</v>
      </c>
      <c r="P157" s="13" t="s">
        <v>61</v>
      </c>
      <c r="Q157" s="16" t="s">
        <v>768</v>
      </c>
      <c r="R157" s="16" t="s">
        <v>899</v>
      </c>
    </row>
    <row r="158" spans="1:18" ht="102" customHeight="1" x14ac:dyDescent="0.35">
      <c r="A158" t="str">
        <f t="shared" si="4"/>
        <v>TravelAirMonitoring advance booking compliance ensures cost savings and efficient travel planning.</v>
      </c>
      <c r="B158" s="13">
        <v>150</v>
      </c>
      <c r="C158" s="14" t="s">
        <v>33</v>
      </c>
      <c r="D158" s="14" t="s">
        <v>34</v>
      </c>
      <c r="E158" s="14"/>
      <c r="F158" s="14"/>
      <c r="G158" s="14" t="s">
        <v>900</v>
      </c>
      <c r="H158" s="14" t="s">
        <v>901</v>
      </c>
      <c r="I158" s="14" t="s">
        <v>99</v>
      </c>
      <c r="J158" s="14" t="s">
        <v>100</v>
      </c>
      <c r="K158" s="14" t="s">
        <v>902</v>
      </c>
      <c r="L158" s="15">
        <v>5.0000000000000001E-3</v>
      </c>
      <c r="M158" s="15">
        <v>0.01</v>
      </c>
      <c r="N158" s="15" t="str">
        <f t="shared" si="5"/>
        <v>0.5%-1.0%</v>
      </c>
      <c r="O158" s="13" t="s">
        <v>903</v>
      </c>
      <c r="P158" s="13" t="s">
        <v>83</v>
      </c>
      <c r="Q158" s="16" t="s">
        <v>84</v>
      </c>
      <c r="R158" s="16" t="s">
        <v>904</v>
      </c>
    </row>
    <row r="159" spans="1:18" ht="102" customHeight="1" x14ac:dyDescent="0.35">
      <c r="A159" t="str">
        <f t="shared" si="4"/>
        <v>TravelHotelEnsuring compliance with hotel booking policies optimizes travel spend and adherence to negotiated rates.</v>
      </c>
      <c r="B159" s="13">
        <v>151</v>
      </c>
      <c r="C159" s="14" t="s">
        <v>33</v>
      </c>
      <c r="D159" s="14" t="s">
        <v>222</v>
      </c>
      <c r="E159" s="14"/>
      <c r="F159" s="14"/>
      <c r="G159" s="14" t="s">
        <v>905</v>
      </c>
      <c r="H159" s="14" t="s">
        <v>901</v>
      </c>
      <c r="I159" s="14" t="s">
        <v>99</v>
      </c>
      <c r="J159" s="14" t="s">
        <v>100</v>
      </c>
      <c r="K159" s="14" t="s">
        <v>902</v>
      </c>
      <c r="L159" s="15">
        <v>5.0000000000000001E-3</v>
      </c>
      <c r="M159" s="15">
        <v>0.01</v>
      </c>
      <c r="N159" s="15" t="str">
        <f t="shared" si="5"/>
        <v>0.5%-1.0%</v>
      </c>
      <c r="O159" s="13" t="s">
        <v>906</v>
      </c>
      <c r="P159" s="13" t="s">
        <v>83</v>
      </c>
      <c r="Q159" s="16" t="s">
        <v>84</v>
      </c>
      <c r="R159" s="16" t="s">
        <v>907</v>
      </c>
    </row>
    <row r="160" spans="1:18" ht="102" customHeight="1" x14ac:dyDescent="0.35">
      <c r="A160" t="str">
        <f t="shared" si="4"/>
        <v>TravelAirAdvance booking guidelines secure lower fares and reduce last-minute booking costs.</v>
      </c>
      <c r="B160" s="13">
        <v>152</v>
      </c>
      <c r="C160" s="14" t="s">
        <v>33</v>
      </c>
      <c r="D160" s="14" t="s">
        <v>34</v>
      </c>
      <c r="E160" s="14"/>
      <c r="F160" s="14"/>
      <c r="G160" s="14" t="s">
        <v>908</v>
      </c>
      <c r="H160" s="14" t="s">
        <v>909</v>
      </c>
      <c r="I160" s="14" t="s">
        <v>910</v>
      </c>
      <c r="J160" s="14" t="s">
        <v>911</v>
      </c>
      <c r="K160" s="14" t="s">
        <v>912</v>
      </c>
      <c r="L160" s="15">
        <v>5.0000000000000001E-3</v>
      </c>
      <c r="M160" s="15">
        <v>0.01</v>
      </c>
      <c r="N160" s="15" t="str">
        <f t="shared" si="5"/>
        <v>0.5%-1.0%</v>
      </c>
      <c r="O160" s="13" t="s">
        <v>913</v>
      </c>
      <c r="P160" s="13" t="s">
        <v>83</v>
      </c>
      <c r="Q160" s="16" t="s">
        <v>84</v>
      </c>
      <c r="R160" s="16" t="s">
        <v>914</v>
      </c>
    </row>
    <row r="161" spans="1:18" ht="102" customHeight="1" x14ac:dyDescent="0.35">
      <c r="A161" t="str">
        <f t="shared" si="4"/>
        <v>Office SuppliesNAAllow employees to oder from an eCatalog, to ensure a simple and cost efficient process is used</v>
      </c>
      <c r="B161" s="13">
        <v>153</v>
      </c>
      <c r="C161" s="14" t="s">
        <v>22</v>
      </c>
      <c r="D161" s="14" t="s">
        <v>23</v>
      </c>
      <c r="E161" s="14"/>
      <c r="F161" s="14"/>
      <c r="G161" s="14" t="s">
        <v>915</v>
      </c>
      <c r="H161" s="14" t="s">
        <v>916</v>
      </c>
      <c r="I161" s="14" t="s">
        <v>917</v>
      </c>
      <c r="J161" s="14" t="s">
        <v>918</v>
      </c>
      <c r="K161" s="14" t="s">
        <v>919</v>
      </c>
      <c r="L161" s="15">
        <v>0.01</v>
      </c>
      <c r="M161" s="15">
        <v>0.02</v>
      </c>
      <c r="N161" s="15" t="str">
        <f t="shared" si="5"/>
        <v>1.0%-2.0%</v>
      </c>
      <c r="O161" s="13" t="s">
        <v>920</v>
      </c>
      <c r="P161" s="13" t="s">
        <v>83</v>
      </c>
      <c r="Q161" s="16" t="s">
        <v>150</v>
      </c>
      <c r="R161" s="16" t="s">
        <v>921</v>
      </c>
    </row>
    <row r="162" spans="1:18" ht="102" customHeight="1" x14ac:dyDescent="0.35">
      <c r="A162" t="str">
        <f t="shared" si="4"/>
        <v>Temp LabourNAIn a VMS tool, profiles are made available for suppliers to quote on, with Prio 1 suppliers receiving profiles earlier and bidding sooner in exchange for an improved multiplier.</v>
      </c>
      <c r="B162" s="13">
        <v>154</v>
      </c>
      <c r="C162" s="14" t="s">
        <v>189</v>
      </c>
      <c r="D162" s="14" t="s">
        <v>23</v>
      </c>
      <c r="E162" s="14"/>
      <c r="F162" s="14"/>
      <c r="G162" s="14" t="s">
        <v>922</v>
      </c>
      <c r="H162" s="14" t="s">
        <v>923</v>
      </c>
      <c r="I162" s="14" t="s">
        <v>924</v>
      </c>
      <c r="J162" s="14" t="s">
        <v>925</v>
      </c>
      <c r="K162" s="14" t="s">
        <v>926</v>
      </c>
      <c r="L162" s="15">
        <v>5.0000000000000001E-3</v>
      </c>
      <c r="M162" s="15">
        <v>0.01</v>
      </c>
      <c r="N162" s="15" t="str">
        <f t="shared" si="5"/>
        <v>0.5%-1.0%</v>
      </c>
      <c r="O162" s="13" t="s">
        <v>927</v>
      </c>
      <c r="P162" s="13" t="s">
        <v>30</v>
      </c>
      <c r="Q162" s="16" t="s">
        <v>165</v>
      </c>
      <c r="R162" s="16" t="s">
        <v>928</v>
      </c>
    </row>
    <row r="163" spans="1:18" ht="102" customHeight="1" x14ac:dyDescent="0.35">
      <c r="A163" t="str">
        <f t="shared" si="4"/>
        <v>MarketingTraditional MediaEnsure cost guarantees with a transparent compensation mechanism.</v>
      </c>
      <c r="B163" s="13">
        <v>155</v>
      </c>
      <c r="C163" s="14" t="s">
        <v>322</v>
      </c>
      <c r="D163" s="14" t="s">
        <v>331</v>
      </c>
      <c r="E163" s="14"/>
      <c r="F163" s="14"/>
      <c r="G163" s="14" t="s">
        <v>929</v>
      </c>
      <c r="H163" s="14" t="s">
        <v>930</v>
      </c>
      <c r="I163" s="14" t="s">
        <v>931</v>
      </c>
      <c r="J163" s="14" t="s">
        <v>932</v>
      </c>
      <c r="K163" s="14" t="s">
        <v>933</v>
      </c>
      <c r="L163" s="15">
        <v>0.01</v>
      </c>
      <c r="M163" s="15">
        <v>0.02</v>
      </c>
      <c r="N163" s="15" t="str">
        <f t="shared" si="5"/>
        <v>1.0%-2.0%</v>
      </c>
      <c r="O163" s="13" t="s">
        <v>934</v>
      </c>
      <c r="P163" s="13" t="s">
        <v>83</v>
      </c>
      <c r="Q163" s="16" t="s">
        <v>84</v>
      </c>
      <c r="R163" s="16" t="s">
        <v>935</v>
      </c>
    </row>
    <row r="164" spans="1:18" ht="102" customHeight="1" x14ac:dyDescent="0.35">
      <c r="A164" t="str">
        <f t="shared" si="4"/>
        <v>MarketingTraditional MediaEstablish media rate commitments with detailed breakdowns of all price components, avoiding averages, at the most granular level.</v>
      </c>
      <c r="B164" s="13">
        <v>156</v>
      </c>
      <c r="C164" s="14" t="s">
        <v>322</v>
      </c>
      <c r="D164" s="14" t="s">
        <v>331</v>
      </c>
      <c r="E164" s="14"/>
      <c r="F164" s="14"/>
      <c r="G164" s="14" t="s">
        <v>936</v>
      </c>
      <c r="H164" s="14" t="s">
        <v>937</v>
      </c>
      <c r="I164" s="14" t="s">
        <v>938</v>
      </c>
      <c r="J164" s="14" t="s">
        <v>939</v>
      </c>
      <c r="K164" s="14" t="s">
        <v>940</v>
      </c>
      <c r="L164" s="15">
        <v>0.01</v>
      </c>
      <c r="M164" s="15">
        <v>0.02</v>
      </c>
      <c r="N164" s="15" t="str">
        <f t="shared" si="5"/>
        <v>1.0%-2.0%</v>
      </c>
      <c r="O164" s="13" t="s">
        <v>941</v>
      </c>
      <c r="P164" s="13" t="s">
        <v>83</v>
      </c>
      <c r="Q164" s="16" t="s">
        <v>84</v>
      </c>
      <c r="R164" s="16" t="s">
        <v>942</v>
      </c>
    </row>
    <row r="165" spans="1:18" ht="102" customHeight="1" x14ac:dyDescent="0.35">
      <c r="A165" t="str">
        <f t="shared" si="4"/>
        <v>MarketingTraditional MediaSet detailed CPM rate commitments at a highly granular level.</v>
      </c>
      <c r="B165" s="13">
        <v>157</v>
      </c>
      <c r="C165" s="14" t="s">
        <v>322</v>
      </c>
      <c r="D165" s="14" t="s">
        <v>331</v>
      </c>
      <c r="E165" s="14"/>
      <c r="F165" s="14"/>
      <c r="G165" s="14" t="s">
        <v>936</v>
      </c>
      <c r="H165" s="14" t="s">
        <v>937</v>
      </c>
      <c r="I165" s="14" t="s">
        <v>938</v>
      </c>
      <c r="J165" s="14" t="s">
        <v>939</v>
      </c>
      <c r="K165" s="14" t="s">
        <v>940</v>
      </c>
      <c r="L165" s="15">
        <v>0.04</v>
      </c>
      <c r="M165" s="15">
        <v>0.08</v>
      </c>
      <c r="N165" s="15" t="str">
        <f t="shared" si="5"/>
        <v>4.0%-8.0%</v>
      </c>
      <c r="O165" s="13" t="s">
        <v>943</v>
      </c>
      <c r="P165" s="13" t="s">
        <v>83</v>
      </c>
      <c r="Q165" s="16" t="s">
        <v>84</v>
      </c>
      <c r="R165" s="16" t="s">
        <v>944</v>
      </c>
    </row>
    <row r="166" spans="1:18" ht="102" customHeight="1" x14ac:dyDescent="0.35">
      <c r="A166" t="str">
        <f t="shared" si="4"/>
        <v xml:space="preserve">MarketingEventsShare booths with other players. 
</v>
      </c>
      <c r="B166" s="13">
        <v>158</v>
      </c>
      <c r="C166" s="14" t="s">
        <v>322</v>
      </c>
      <c r="D166" s="14" t="s">
        <v>404</v>
      </c>
      <c r="E166" s="14"/>
      <c r="F166" s="14"/>
      <c r="G166" s="14" t="s">
        <v>945</v>
      </c>
      <c r="H166" s="14" t="s">
        <v>946</v>
      </c>
      <c r="I166" s="14" t="s">
        <v>947</v>
      </c>
      <c r="J166" s="14" t="s">
        <v>948</v>
      </c>
      <c r="K166" s="14" t="s">
        <v>949</v>
      </c>
      <c r="L166" s="15">
        <v>0.01</v>
      </c>
      <c r="M166" s="15">
        <v>0.02</v>
      </c>
      <c r="N166" s="15" t="str">
        <f t="shared" si="5"/>
        <v>1.0%-2.0%</v>
      </c>
      <c r="O166" s="13" t="s">
        <v>950</v>
      </c>
      <c r="P166" s="13" t="s">
        <v>61</v>
      </c>
      <c r="Q166" s="16" t="s">
        <v>768</v>
      </c>
      <c r="R166" s="16" t="s">
        <v>951</v>
      </c>
    </row>
    <row r="167" spans="1:18" ht="102" customHeight="1" x14ac:dyDescent="0.35">
      <c r="A167" t="str">
        <f t="shared" si="4"/>
        <v>MarketingAd ProductionImplement a user-friendly DAM system to minimize duplication.</v>
      </c>
      <c r="B167" s="13">
        <v>159</v>
      </c>
      <c r="C167" s="14" t="s">
        <v>322</v>
      </c>
      <c r="D167" s="14" t="s">
        <v>360</v>
      </c>
      <c r="E167" s="14"/>
      <c r="F167" s="14"/>
      <c r="G167" s="14" t="s">
        <v>952</v>
      </c>
      <c r="H167" s="14" t="s">
        <v>325</v>
      </c>
      <c r="I167" s="14" t="s">
        <v>620</v>
      </c>
      <c r="J167" s="14" t="s">
        <v>621</v>
      </c>
      <c r="K167" s="14" t="s">
        <v>622</v>
      </c>
      <c r="L167" s="15">
        <v>0.01</v>
      </c>
      <c r="M167" s="15">
        <v>0.02</v>
      </c>
      <c r="N167" s="15" t="str">
        <f t="shared" si="5"/>
        <v>1.0%-2.0%</v>
      </c>
      <c r="O167" s="13" t="s">
        <v>953</v>
      </c>
      <c r="P167" s="13" t="s">
        <v>61</v>
      </c>
      <c r="Q167" s="16" t="s">
        <v>62</v>
      </c>
      <c r="R167" s="16" t="s">
        <v>954</v>
      </c>
    </row>
    <row r="168" spans="1:18" ht="102" customHeight="1" x14ac:dyDescent="0.35">
      <c r="A168" t="str">
        <f t="shared" si="4"/>
        <v>MarketingCreative AgenciesEnhance WOW with agency through improved processes, briefs, tools, capabilities, and P4P schemes.</v>
      </c>
      <c r="B168" s="13">
        <v>160</v>
      </c>
      <c r="C168" s="14" t="s">
        <v>322</v>
      </c>
      <c r="D168" s="14" t="s">
        <v>849</v>
      </c>
      <c r="E168" s="14"/>
      <c r="F168" s="14"/>
      <c r="G168" s="14" t="s">
        <v>955</v>
      </c>
      <c r="H168" s="14" t="s">
        <v>956</v>
      </c>
      <c r="I168" s="14" t="s">
        <v>326</v>
      </c>
      <c r="J168" s="14" t="s">
        <v>888</v>
      </c>
      <c r="K168" s="14" t="s">
        <v>957</v>
      </c>
      <c r="L168" s="15">
        <v>0.01</v>
      </c>
      <c r="M168" s="15">
        <v>0.02</v>
      </c>
      <c r="N168" s="15" t="str">
        <f t="shared" si="5"/>
        <v>1.0%-2.0%</v>
      </c>
      <c r="O168" s="13" t="s">
        <v>958</v>
      </c>
      <c r="P168" s="13" t="s">
        <v>50</v>
      </c>
      <c r="Q168" s="16" t="s">
        <v>51</v>
      </c>
      <c r="R168" s="16" t="s">
        <v>959</v>
      </c>
    </row>
    <row r="169" spans="1:18" ht="102" customHeight="1" x14ac:dyDescent="0.35">
      <c r="A169" t="str">
        <f t="shared" si="4"/>
        <v>MarketingAd ProductionFurther separate and expand the list of production providers, including post-production houses and directors.</v>
      </c>
      <c r="B169" s="13">
        <v>161</v>
      </c>
      <c r="C169" s="14" t="s">
        <v>322</v>
      </c>
      <c r="D169" s="14" t="s">
        <v>360</v>
      </c>
      <c r="E169" s="14"/>
      <c r="F169" s="14"/>
      <c r="G169" s="14" t="s">
        <v>960</v>
      </c>
      <c r="H169" s="14" t="s">
        <v>325</v>
      </c>
      <c r="I169" s="14" t="s">
        <v>620</v>
      </c>
      <c r="J169" s="14" t="s">
        <v>621</v>
      </c>
      <c r="K169" s="14" t="s">
        <v>622</v>
      </c>
      <c r="L169" s="15">
        <v>0.01</v>
      </c>
      <c r="M169" s="15">
        <v>0.02</v>
      </c>
      <c r="N169" s="15" t="str">
        <f t="shared" si="5"/>
        <v>1.0%-2.0%</v>
      </c>
      <c r="O169" s="13" t="s">
        <v>961</v>
      </c>
      <c r="P169" s="13" t="s">
        <v>30</v>
      </c>
      <c r="Q169" s="16" t="s">
        <v>31</v>
      </c>
      <c r="R169" s="16" t="s">
        <v>962</v>
      </c>
    </row>
    <row r="170" spans="1:18" ht="102" customHeight="1" x14ac:dyDescent="0.35">
      <c r="A170" t="str">
        <f t="shared" si="4"/>
        <v>ITSoftware development and maintenanceIn-source labor with permanent contracts for consistent and reliable workforce integration.</v>
      </c>
      <c r="B170" s="13">
        <v>162</v>
      </c>
      <c r="C170" s="14" t="s">
        <v>265</v>
      </c>
      <c r="D170" s="14" t="s">
        <v>266</v>
      </c>
      <c r="E170" s="14"/>
      <c r="F170" s="14"/>
      <c r="G170" s="14" t="s">
        <v>963</v>
      </c>
      <c r="H170" s="14" t="s">
        <v>964</v>
      </c>
      <c r="I170" s="14" t="s">
        <v>212</v>
      </c>
      <c r="J170" s="14" t="s">
        <v>965</v>
      </c>
      <c r="K170" s="14" t="s">
        <v>966</v>
      </c>
      <c r="L170" s="15">
        <v>0.01</v>
      </c>
      <c r="M170" s="15">
        <v>0.02</v>
      </c>
      <c r="N170" s="15" t="str">
        <f t="shared" si="5"/>
        <v>1.0%-2.0%</v>
      </c>
      <c r="O170" s="13" t="s">
        <v>967</v>
      </c>
      <c r="P170" s="13" t="s">
        <v>61</v>
      </c>
      <c r="Q170" s="16" t="s">
        <v>491</v>
      </c>
      <c r="R170" s="16" t="s">
        <v>968</v>
      </c>
    </row>
    <row r="171" spans="1:18" ht="102" customHeight="1" x14ac:dyDescent="0.35">
      <c r="A171" t="str">
        <f t="shared" si="4"/>
        <v>Real estateNACentralizing decision-making and improving information flow allows for a dynamic planning process to address excess space. This helps avoid disruption costs and enables more efficient space utilization, leading to cost savings</v>
      </c>
      <c r="B171" s="13">
        <v>163</v>
      </c>
      <c r="C171" s="14" t="s">
        <v>611</v>
      </c>
      <c r="D171" s="14" t="s">
        <v>23</v>
      </c>
      <c r="E171" s="14"/>
      <c r="F171" s="14"/>
      <c r="G171" s="14" t="s">
        <v>969</v>
      </c>
      <c r="H171" s="14" t="s">
        <v>970</v>
      </c>
      <c r="I171" s="14" t="s">
        <v>971</v>
      </c>
      <c r="J171" s="14" t="s">
        <v>971</v>
      </c>
      <c r="K171" s="14" t="s">
        <v>972</v>
      </c>
      <c r="L171" s="15">
        <v>1.4999999999999999E-2</v>
      </c>
      <c r="M171" s="15">
        <v>0.03</v>
      </c>
      <c r="N171" s="15" t="str">
        <f t="shared" si="5"/>
        <v>1.5%-3.0%</v>
      </c>
      <c r="O171" s="13" t="s">
        <v>973</v>
      </c>
      <c r="P171" s="13" t="s">
        <v>83</v>
      </c>
      <c r="Q171" s="16" t="s">
        <v>150</v>
      </c>
      <c r="R171" s="16" t="s">
        <v>974</v>
      </c>
    </row>
    <row r="172" spans="1:18" ht="102" customHeight="1" x14ac:dyDescent="0.35">
      <c r="A172" t="str">
        <f t="shared" si="4"/>
        <v>Facility ManagementNAOutsourcing FM activities is a growing trend to reduce FM spending, decreasing in-house work proportion.</v>
      </c>
      <c r="B172" s="13">
        <v>164</v>
      </c>
      <c r="C172" s="14" t="s">
        <v>434</v>
      </c>
      <c r="D172" s="14" t="s">
        <v>23</v>
      </c>
      <c r="E172" s="14"/>
      <c r="F172" s="14"/>
      <c r="G172" s="14" t="s">
        <v>975</v>
      </c>
      <c r="H172" s="14" t="s">
        <v>333</v>
      </c>
      <c r="I172" s="14" t="s">
        <v>468</v>
      </c>
      <c r="J172" s="14" t="s">
        <v>721</v>
      </c>
      <c r="K172" s="14" t="s">
        <v>587</v>
      </c>
      <c r="L172" s="15">
        <v>0.01</v>
      </c>
      <c r="M172" s="15">
        <v>0.02</v>
      </c>
      <c r="N172" s="15" t="str">
        <f t="shared" si="5"/>
        <v>1.0%-2.0%</v>
      </c>
      <c r="O172" s="13" t="s">
        <v>976</v>
      </c>
      <c r="P172" s="13" t="s">
        <v>50</v>
      </c>
      <c r="Q172" s="16" t="s">
        <v>852</v>
      </c>
      <c r="R172" s="16" t="s">
        <v>977</v>
      </c>
    </row>
    <row r="173" spans="1:18" ht="102" customHeight="1" x14ac:dyDescent="0.35">
      <c r="A173" t="str">
        <f t="shared" si="4"/>
        <v>Facility ManagementNAThe share of the largest supplier shows consolidation and bundling potential. Aim to work with one or a few large providers covering all required categories and services.</v>
      </c>
      <c r="B173" s="13">
        <v>165</v>
      </c>
      <c r="C173" s="14" t="s">
        <v>434</v>
      </c>
      <c r="D173" s="14" t="s">
        <v>23</v>
      </c>
      <c r="E173" s="14"/>
      <c r="F173" s="14"/>
      <c r="G173" s="14" t="s">
        <v>978</v>
      </c>
      <c r="H173" s="14" t="s">
        <v>436</v>
      </c>
      <c r="I173" s="14" t="s">
        <v>437</v>
      </c>
      <c r="J173" s="14" t="s">
        <v>438</v>
      </c>
      <c r="K173" s="14" t="s">
        <v>439</v>
      </c>
      <c r="L173" s="15">
        <v>0.01</v>
      </c>
      <c r="M173" s="15">
        <v>0.02</v>
      </c>
      <c r="N173" s="15" t="str">
        <f t="shared" si="5"/>
        <v>1.0%-2.0%</v>
      </c>
      <c r="O173" s="13" t="s">
        <v>979</v>
      </c>
      <c r="P173" s="13" t="s">
        <v>30</v>
      </c>
      <c r="Q173" s="16" t="s">
        <v>31</v>
      </c>
      <c r="R173" s="16" t="s">
        <v>980</v>
      </c>
    </row>
    <row r="174" spans="1:18" ht="102" customHeight="1" x14ac:dyDescent="0.35">
      <c r="A174" t="str">
        <f t="shared" si="4"/>
        <v>ITEnd user/ Workplace HardwareExtend desktop hardware lifespan to reduce replacement costs; phase out high-maintenance / outdated devices.</v>
      </c>
      <c r="B174" s="13">
        <v>166</v>
      </c>
      <c r="C174" s="14" t="s">
        <v>265</v>
      </c>
      <c r="D174" s="14" t="s">
        <v>513</v>
      </c>
      <c r="E174" s="14"/>
      <c r="F174" s="14"/>
      <c r="G174" s="14" t="s">
        <v>981</v>
      </c>
      <c r="H174" s="14" t="s">
        <v>982</v>
      </c>
      <c r="I174" s="14" t="s">
        <v>212</v>
      </c>
      <c r="J174" s="14" t="s">
        <v>983</v>
      </c>
      <c r="K174" s="14" t="s">
        <v>984</v>
      </c>
      <c r="L174" s="15">
        <v>0.01</v>
      </c>
      <c r="M174" s="15">
        <v>0.02</v>
      </c>
      <c r="N174" s="15" t="str">
        <f t="shared" si="5"/>
        <v>1.0%-2.0%</v>
      </c>
      <c r="O174" s="13" t="s">
        <v>985</v>
      </c>
      <c r="P174" s="13" t="s">
        <v>61</v>
      </c>
      <c r="Q174" s="16" t="s">
        <v>320</v>
      </c>
      <c r="R174" s="16" t="s">
        <v>986</v>
      </c>
    </row>
    <row r="175" spans="1:18" ht="102" customHeight="1" x14ac:dyDescent="0.35">
      <c r="A175" t="str">
        <f t="shared" si="4"/>
        <v>TravelHotelSet hotel rate caps per city based on booking experience, accounting for peak demand times.</v>
      </c>
      <c r="B175" s="13">
        <v>167</v>
      </c>
      <c r="C175" s="14" t="s">
        <v>33</v>
      </c>
      <c r="D175" s="14" t="s">
        <v>222</v>
      </c>
      <c r="E175" s="14"/>
      <c r="F175" s="14"/>
      <c r="G175" s="14" t="s">
        <v>987</v>
      </c>
      <c r="H175" s="14" t="s">
        <v>45</v>
      </c>
      <c r="I175" s="14" t="s">
        <v>988</v>
      </c>
      <c r="J175" s="14" t="s">
        <v>989</v>
      </c>
      <c r="K175" s="14" t="s">
        <v>990</v>
      </c>
      <c r="L175" s="15">
        <v>0.02</v>
      </c>
      <c r="M175" s="15">
        <v>0.04</v>
      </c>
      <c r="N175" s="15" t="str">
        <f t="shared" si="5"/>
        <v>2.0%-4.0%</v>
      </c>
      <c r="O175" s="13" t="s">
        <v>991</v>
      </c>
      <c r="P175" s="13" t="s">
        <v>83</v>
      </c>
      <c r="Q175" s="16" t="s">
        <v>84</v>
      </c>
      <c r="R175" s="16" t="s">
        <v>992</v>
      </c>
    </row>
    <row r="176" spans="1:18" ht="102" customHeight="1" x14ac:dyDescent="0.35">
      <c r="A176" t="str">
        <f t="shared" si="4"/>
        <v>FleetWay of purchasingWithin a tender pre-define 1-2 commercially most attractive leasing car companies. They provide vehicles to customers for a set period and monthly fee, offering an alternative to buying a car outright.</v>
      </c>
      <c r="B176" s="13">
        <v>168</v>
      </c>
      <c r="C176" s="14" t="s">
        <v>53</v>
      </c>
      <c r="D176" s="14" t="s">
        <v>96</v>
      </c>
      <c r="E176" s="14"/>
      <c r="F176" s="14"/>
      <c r="G176" s="14" t="s">
        <v>993</v>
      </c>
      <c r="H176" s="14" t="s">
        <v>98</v>
      </c>
      <c r="I176" s="14" t="s">
        <v>99</v>
      </c>
      <c r="J176" s="14" t="s">
        <v>100</v>
      </c>
      <c r="K176" s="14" t="s">
        <v>28</v>
      </c>
      <c r="L176" s="15">
        <v>0.01</v>
      </c>
      <c r="M176" s="15">
        <v>0.02</v>
      </c>
      <c r="N176" s="15" t="str">
        <f t="shared" si="5"/>
        <v>1.0%-2.0%</v>
      </c>
      <c r="O176" s="13" t="s">
        <v>994</v>
      </c>
      <c r="P176" s="13" t="s">
        <v>30</v>
      </c>
      <c r="Q176" s="16" t="s">
        <v>165</v>
      </c>
      <c r="R176" s="16" t="s">
        <v>995</v>
      </c>
    </row>
    <row r="177" spans="1:18" ht="102" customHeight="1" x14ac:dyDescent="0.35">
      <c r="A177" t="str">
        <f t="shared" si="4"/>
        <v>ITDatacenter &amp; NetworkShift from flat fee/unit cost to consumption-based pricing to enhance negotiation leverage; review and refine SLAs for voice/data networks.</v>
      </c>
      <c r="B177" s="13">
        <v>169</v>
      </c>
      <c r="C177" s="14" t="s">
        <v>265</v>
      </c>
      <c r="D177" s="14" t="s">
        <v>996</v>
      </c>
      <c r="E177" s="14"/>
      <c r="F177" s="14"/>
      <c r="G177" s="14" t="s">
        <v>997</v>
      </c>
      <c r="H177" s="14" t="s">
        <v>998</v>
      </c>
      <c r="I177" s="14" t="s">
        <v>212</v>
      </c>
      <c r="J177" s="14" t="s">
        <v>212</v>
      </c>
      <c r="K177" s="14" t="s">
        <v>999</v>
      </c>
      <c r="L177" s="15">
        <v>5.0000000000000001E-3</v>
      </c>
      <c r="M177" s="15">
        <v>0.01</v>
      </c>
      <c r="N177" s="15" t="str">
        <f t="shared" si="5"/>
        <v>0.5%-1.0%</v>
      </c>
      <c r="O177" s="13" t="s">
        <v>1000</v>
      </c>
      <c r="P177" s="13" t="s">
        <v>30</v>
      </c>
      <c r="Q177" s="16" t="s">
        <v>127</v>
      </c>
      <c r="R177" s="16" t="s">
        <v>1001</v>
      </c>
    </row>
    <row r="178" spans="1:18" ht="102" customHeight="1" x14ac:dyDescent="0.35">
      <c r="A178" t="str">
        <f t="shared" si="4"/>
        <v>ITIT helpdeskUtilize off-shoring for commodity tasks to capitalize on lower costs in typical shoring countries.</v>
      </c>
      <c r="B178" s="13">
        <v>170</v>
      </c>
      <c r="C178" s="14" t="s">
        <v>265</v>
      </c>
      <c r="D178" s="14" t="s">
        <v>276</v>
      </c>
      <c r="E178" s="14"/>
      <c r="F178" s="14"/>
      <c r="G178" s="14" t="s">
        <v>1002</v>
      </c>
      <c r="H178" s="14" t="s">
        <v>436</v>
      </c>
      <c r="I178" s="14" t="s">
        <v>437</v>
      </c>
      <c r="J178" s="14" t="s">
        <v>438</v>
      </c>
      <c r="K178" s="14" t="s">
        <v>439</v>
      </c>
      <c r="L178" s="15">
        <v>3.5000000000000003E-2</v>
      </c>
      <c r="M178" s="15">
        <v>7.0000000000000007E-2</v>
      </c>
      <c r="N178" s="15" t="str">
        <f t="shared" si="5"/>
        <v>3.5%-7.0%</v>
      </c>
      <c r="O178" s="13" t="s">
        <v>1003</v>
      </c>
      <c r="P178" s="13" t="s">
        <v>50</v>
      </c>
      <c r="Q178" s="16" t="s">
        <v>852</v>
      </c>
      <c r="R178" s="16" t="s">
        <v>1004</v>
      </c>
    </row>
    <row r="179" spans="1:18" ht="102" customHeight="1" x14ac:dyDescent="0.35">
      <c r="A179" t="str">
        <f t="shared" si="4"/>
        <v>ITDatacenter &amp; NetworkIntegrate/consolidate data centers to leverage economies of scale.</v>
      </c>
      <c r="B179" s="13">
        <v>171</v>
      </c>
      <c r="C179" s="14" t="s">
        <v>265</v>
      </c>
      <c r="D179" s="14" t="s">
        <v>996</v>
      </c>
      <c r="E179" s="14"/>
      <c r="F179" s="14"/>
      <c r="G179" s="14" t="s">
        <v>1005</v>
      </c>
      <c r="H179" s="14" t="s">
        <v>436</v>
      </c>
      <c r="I179" s="14" t="s">
        <v>437</v>
      </c>
      <c r="J179" s="14" t="s">
        <v>438</v>
      </c>
      <c r="K179" s="14" t="s">
        <v>439</v>
      </c>
      <c r="L179" s="15">
        <v>0.04</v>
      </c>
      <c r="M179" s="15">
        <v>0.08</v>
      </c>
      <c r="N179" s="15" t="str">
        <f t="shared" si="5"/>
        <v>4.0%-8.0%</v>
      </c>
      <c r="O179" s="13" t="s">
        <v>1006</v>
      </c>
      <c r="P179" s="13" t="s">
        <v>61</v>
      </c>
      <c r="Q179" s="16" t="s">
        <v>62</v>
      </c>
      <c r="R179" s="16" t="s">
        <v>1007</v>
      </c>
    </row>
    <row r="180" spans="1:18" ht="102" customHeight="1" x14ac:dyDescent="0.35">
      <c r="A180" t="str">
        <f t="shared" si="4"/>
        <v>ConsultingNAAs a standard use Game-theory based methods e.g. auctions or supplier-days. Ensure that the teams are regularly trained in these methods.</v>
      </c>
      <c r="B180" s="13">
        <v>172</v>
      </c>
      <c r="C180" s="14" t="s">
        <v>144</v>
      </c>
      <c r="D180" s="14" t="s">
        <v>23</v>
      </c>
      <c r="E180" s="14"/>
      <c r="F180" s="14"/>
      <c r="G180" s="14" t="s">
        <v>1008</v>
      </c>
      <c r="H180" s="14" t="s">
        <v>1009</v>
      </c>
      <c r="I180" s="14" t="s">
        <v>1010</v>
      </c>
      <c r="J180" s="14" t="s">
        <v>1011</v>
      </c>
      <c r="K180" s="14" t="s">
        <v>1012</v>
      </c>
      <c r="L180" s="15">
        <v>5.0000000000000001E-3</v>
      </c>
      <c r="M180" s="15">
        <v>0.01</v>
      </c>
      <c r="N180" s="15" t="str">
        <f t="shared" si="5"/>
        <v>0.5%-1.0%</v>
      </c>
      <c r="O180" s="13" t="s">
        <v>834</v>
      </c>
      <c r="P180" s="13" t="s">
        <v>30</v>
      </c>
      <c r="Q180" s="16" t="s">
        <v>165</v>
      </c>
      <c r="R180" s="16" t="s">
        <v>835</v>
      </c>
    </row>
    <row r="181" spans="1:18" ht="102" customHeight="1" x14ac:dyDescent="0.35">
      <c r="A181" t="str">
        <f t="shared" si="4"/>
        <v>MarketingEventsSourcing event materials from low-cost countries reduces overall expenses.</v>
      </c>
      <c r="B181" s="13">
        <v>173</v>
      </c>
      <c r="C181" s="14" t="s">
        <v>322</v>
      </c>
      <c r="D181" s="14" t="s">
        <v>404</v>
      </c>
      <c r="E181" s="14"/>
      <c r="F181" s="14"/>
      <c r="G181" s="14" t="s">
        <v>1013</v>
      </c>
      <c r="H181" s="14" t="s">
        <v>325</v>
      </c>
      <c r="I181" s="14" t="s">
        <v>326</v>
      </c>
      <c r="J181" s="14" t="s">
        <v>837</v>
      </c>
      <c r="K181" s="14" t="s">
        <v>838</v>
      </c>
      <c r="L181" s="15">
        <v>0.01</v>
      </c>
      <c r="M181" s="15">
        <v>0.02</v>
      </c>
      <c r="N181" s="15" t="str">
        <f t="shared" si="5"/>
        <v>1.0%-2.0%</v>
      </c>
      <c r="O181" s="13" t="s">
        <v>1014</v>
      </c>
      <c r="P181" s="13" t="s">
        <v>30</v>
      </c>
      <c r="Q181" s="16" t="s">
        <v>624</v>
      </c>
      <c r="R181" s="16" t="s">
        <v>1015</v>
      </c>
    </row>
    <row r="182" spans="1:18" ht="102" customHeight="1" x14ac:dyDescent="0.35">
      <c r="A182" t="str">
        <f t="shared" si="4"/>
        <v>LegalNAIf there are manageable legal cases, they can be handled in-house instead of being outsourced.</v>
      </c>
      <c r="B182" s="13">
        <v>174</v>
      </c>
      <c r="C182" s="14" t="s">
        <v>77</v>
      </c>
      <c r="D182" s="14" t="s">
        <v>23</v>
      </c>
      <c r="E182" s="14"/>
      <c r="F182" s="14"/>
      <c r="G182" s="14" t="s">
        <v>1016</v>
      </c>
      <c r="H182" s="14" t="s">
        <v>1017</v>
      </c>
      <c r="I182" s="14" t="s">
        <v>1018</v>
      </c>
      <c r="J182" s="14" t="s">
        <v>1019</v>
      </c>
      <c r="K182" s="14" t="s">
        <v>1020</v>
      </c>
      <c r="L182" s="15">
        <v>0.01</v>
      </c>
      <c r="M182" s="15">
        <v>0.02</v>
      </c>
      <c r="N182" s="15" t="str">
        <f t="shared" si="5"/>
        <v>1.0%-2.0%</v>
      </c>
      <c r="O182" s="13" t="s">
        <v>1021</v>
      </c>
      <c r="P182" s="13" t="s">
        <v>61</v>
      </c>
      <c r="Q182" s="16" t="s">
        <v>69</v>
      </c>
      <c r="R182" s="16" t="s">
        <v>1022</v>
      </c>
    </row>
    <row r="183" spans="1:18" ht="102" customHeight="1" x14ac:dyDescent="0.35">
      <c r="A183" t="str">
        <f t="shared" si="4"/>
        <v>ITDatacenter &amp; NetworkStandardize network and datacenter infrastructure (e.g. switches, routes, firewalls) and/or outsource complete maintenance and support.</v>
      </c>
      <c r="B183" s="13">
        <v>175</v>
      </c>
      <c r="C183" s="14" t="s">
        <v>265</v>
      </c>
      <c r="D183" s="14" t="s">
        <v>996</v>
      </c>
      <c r="E183" s="14"/>
      <c r="F183" s="14"/>
      <c r="G183" s="14" t="s">
        <v>1023</v>
      </c>
      <c r="H183" s="14" t="s">
        <v>436</v>
      </c>
      <c r="I183" s="14" t="s">
        <v>437</v>
      </c>
      <c r="J183" s="14" t="s">
        <v>438</v>
      </c>
      <c r="K183" s="14" t="s">
        <v>439</v>
      </c>
      <c r="L183" s="15">
        <v>0.01</v>
      </c>
      <c r="M183" s="15">
        <v>0.02</v>
      </c>
      <c r="N183" s="15" t="str">
        <f t="shared" si="5"/>
        <v>1.0%-2.0%</v>
      </c>
      <c r="O183" s="13" t="s">
        <v>1024</v>
      </c>
      <c r="P183" s="13" t="s">
        <v>61</v>
      </c>
      <c r="Q183" s="16" t="s">
        <v>381</v>
      </c>
      <c r="R183" s="16" t="s">
        <v>1025</v>
      </c>
    </row>
    <row r="184" spans="1:18" ht="102" customHeight="1" x14ac:dyDescent="0.35">
      <c r="A184" t="str">
        <f t="shared" si="4"/>
        <v>PackagingNAStreamlining specifications, whether done internally or collaboratively with suppliers, cuts costs by minimizing material usage and simplifying processes. Additionally, harmonizing SKUs across plants consolidates volumes and drives economies of scale.</v>
      </c>
      <c r="B184" s="13">
        <v>176</v>
      </c>
      <c r="C184" s="14" t="s">
        <v>299</v>
      </c>
      <c r="D184" s="14" t="s">
        <v>23</v>
      </c>
      <c r="E184" s="14"/>
      <c r="F184" s="14"/>
      <c r="G184" s="14" t="s">
        <v>1026</v>
      </c>
      <c r="H184" s="14" t="s">
        <v>436</v>
      </c>
      <c r="I184" s="14" t="s">
        <v>437</v>
      </c>
      <c r="J184" s="14" t="s">
        <v>438</v>
      </c>
      <c r="K184" s="14" t="s">
        <v>439</v>
      </c>
      <c r="L184" s="15">
        <v>4.4999999999999998E-2</v>
      </c>
      <c r="M184" s="15">
        <v>0.09</v>
      </c>
      <c r="N184" s="15" t="str">
        <f t="shared" si="5"/>
        <v>4.5%-9.0%</v>
      </c>
      <c r="O184" s="13" t="s">
        <v>1027</v>
      </c>
      <c r="P184" s="13" t="s">
        <v>61</v>
      </c>
      <c r="Q184" s="16" t="s">
        <v>381</v>
      </c>
      <c r="R184" s="16" t="s">
        <v>1028</v>
      </c>
    </row>
    <row r="185" spans="1:18" ht="102" customHeight="1" x14ac:dyDescent="0.35">
      <c r="A185" t="str">
        <f t="shared" si="4"/>
        <v>ITEnd user/ Workplace HardwareExpand outsourcing and utilize shoring opportunities, such as for IMAC services.</v>
      </c>
      <c r="B185" s="13">
        <v>177</v>
      </c>
      <c r="C185" s="14" t="s">
        <v>265</v>
      </c>
      <c r="D185" s="14" t="s">
        <v>513</v>
      </c>
      <c r="E185" s="14"/>
      <c r="F185" s="14"/>
      <c r="G185" s="14" t="s">
        <v>1029</v>
      </c>
      <c r="H185" s="14" t="s">
        <v>436</v>
      </c>
      <c r="I185" s="14" t="s">
        <v>437</v>
      </c>
      <c r="J185" s="14" t="s">
        <v>438</v>
      </c>
      <c r="K185" s="14" t="s">
        <v>439</v>
      </c>
      <c r="L185" s="15">
        <v>2.5000000000000001E-2</v>
      </c>
      <c r="M185" s="15">
        <v>0.05</v>
      </c>
      <c r="N185" s="15" t="str">
        <f t="shared" si="5"/>
        <v>2.5%-5.0%</v>
      </c>
      <c r="O185" s="13" t="s">
        <v>1030</v>
      </c>
      <c r="P185" s="13" t="s">
        <v>50</v>
      </c>
      <c r="Q185" s="16" t="s">
        <v>852</v>
      </c>
      <c r="R185" s="16" t="s">
        <v>1031</v>
      </c>
    </row>
    <row r="186" spans="1:18" ht="102" customHeight="1" x14ac:dyDescent="0.35">
      <c r="A186" t="str">
        <f t="shared" si="4"/>
        <v>ITSoftware development and maintenanceOutsource maintenance and support for enterprise applications such as SAP, Oracle etc. and re-negotiate SLA levels.</v>
      </c>
      <c r="B186" s="13">
        <v>178</v>
      </c>
      <c r="C186" s="14" t="s">
        <v>265</v>
      </c>
      <c r="D186" s="14" t="s">
        <v>266</v>
      </c>
      <c r="E186" s="14"/>
      <c r="F186" s="14"/>
      <c r="G186" s="14" t="s">
        <v>1032</v>
      </c>
      <c r="H186" s="14" t="s">
        <v>436</v>
      </c>
      <c r="I186" s="14" t="s">
        <v>437</v>
      </c>
      <c r="J186" s="14" t="s">
        <v>438</v>
      </c>
      <c r="K186" s="14" t="s">
        <v>439</v>
      </c>
      <c r="L186" s="15">
        <v>0.01</v>
      </c>
      <c r="M186" s="15">
        <v>0.02</v>
      </c>
      <c r="N186" s="15" t="str">
        <f t="shared" si="5"/>
        <v>1.0%-2.0%</v>
      </c>
      <c r="O186" s="13" t="s">
        <v>1033</v>
      </c>
      <c r="P186" s="13" t="s">
        <v>50</v>
      </c>
      <c r="Q186" s="16" t="s">
        <v>852</v>
      </c>
      <c r="R186" s="16" t="s">
        <v>1034</v>
      </c>
    </row>
    <row r="187" spans="1:18" ht="102" customHeight="1" x14ac:dyDescent="0.35">
      <c r="A187" t="str">
        <f t="shared" si="4"/>
        <v>MRONAElectronic and system orders reduce effort for both your company and the supplier. Besides internal process cost savings, suppliers often grant additional discounts if a certain proportion of orders are processed electronically.</v>
      </c>
      <c r="B187" s="13">
        <v>179</v>
      </c>
      <c r="C187" s="14" t="s">
        <v>210</v>
      </c>
      <c r="D187" s="14" t="s">
        <v>23</v>
      </c>
      <c r="E187" s="14"/>
      <c r="F187" s="14"/>
      <c r="G187" s="14" t="s">
        <v>1035</v>
      </c>
      <c r="H187" s="14" t="s">
        <v>1036</v>
      </c>
      <c r="I187" s="14" t="s">
        <v>788</v>
      </c>
      <c r="J187" s="14" t="s">
        <v>1037</v>
      </c>
      <c r="K187" s="14" t="s">
        <v>573</v>
      </c>
      <c r="L187" s="15">
        <v>0.01</v>
      </c>
      <c r="M187" s="15">
        <v>0.02</v>
      </c>
      <c r="N187" s="15" t="str">
        <f t="shared" si="5"/>
        <v>1.0%-2.0%</v>
      </c>
      <c r="O187" s="13" t="s">
        <v>1038</v>
      </c>
      <c r="P187" s="13" t="s">
        <v>83</v>
      </c>
      <c r="Q187" s="16" t="s">
        <v>150</v>
      </c>
      <c r="R187" s="16" t="s">
        <v>1039</v>
      </c>
    </row>
    <row r="188" spans="1:18" ht="102" customHeight="1" x14ac:dyDescent="0.35">
      <c r="A188" t="str">
        <f t="shared" si="4"/>
        <v>PackagingNAExisting data on a sourcing group is analyzed in depth to identify any savings potential. For instance, this may include comparing the discount rates within a corporate group.</v>
      </c>
      <c r="B188" s="13">
        <v>180</v>
      </c>
      <c r="C188" s="14" t="s">
        <v>299</v>
      </c>
      <c r="D188" s="14" t="s">
        <v>23</v>
      </c>
      <c r="E188" s="14"/>
      <c r="F188" s="14"/>
      <c r="G188" s="14" t="s">
        <v>1040</v>
      </c>
      <c r="H188" s="14" t="s">
        <v>340</v>
      </c>
      <c r="I188" s="14" t="s">
        <v>341</v>
      </c>
      <c r="J188" s="14" t="s">
        <v>342</v>
      </c>
      <c r="K188" s="14" t="s">
        <v>343</v>
      </c>
      <c r="L188" s="15">
        <v>0.04</v>
      </c>
      <c r="M188" s="15">
        <v>0.08</v>
      </c>
      <c r="N188" s="15" t="str">
        <f t="shared" si="5"/>
        <v>4.0%-8.0%</v>
      </c>
      <c r="O188" s="13" t="s">
        <v>1041</v>
      </c>
      <c r="P188" s="13" t="s">
        <v>30</v>
      </c>
      <c r="Q188" s="16" t="s">
        <v>127</v>
      </c>
      <c r="R188" s="16" t="s">
        <v>1042</v>
      </c>
    </row>
    <row r="189" spans="1:18" ht="102" customHeight="1" x14ac:dyDescent="0.35">
      <c r="A189" t="str">
        <f t="shared" si="4"/>
        <v>Facility ManagementNAHigh bundling across categories helps streamline the supplier landscape, leverage efficiencies, and gain volume discounts and improved services.</v>
      </c>
      <c r="B189" s="13">
        <v>181</v>
      </c>
      <c r="C189" s="14" t="s">
        <v>434</v>
      </c>
      <c r="D189" s="14" t="s">
        <v>23</v>
      </c>
      <c r="E189" s="14"/>
      <c r="F189" s="14"/>
      <c r="G189" s="14" t="s">
        <v>1043</v>
      </c>
      <c r="H189" s="14" t="s">
        <v>406</v>
      </c>
      <c r="I189" s="14" t="s">
        <v>1044</v>
      </c>
      <c r="J189" s="14" t="s">
        <v>212</v>
      </c>
      <c r="K189" s="14" t="s">
        <v>1045</v>
      </c>
      <c r="L189" s="15">
        <v>0.01</v>
      </c>
      <c r="M189" s="15">
        <v>0.02</v>
      </c>
      <c r="N189" s="15" t="str">
        <f t="shared" si="5"/>
        <v>1.0%-2.0%</v>
      </c>
      <c r="O189" s="13" t="s">
        <v>1046</v>
      </c>
      <c r="P189" s="13" t="s">
        <v>30</v>
      </c>
      <c r="Q189" s="16" t="s">
        <v>202</v>
      </c>
      <c r="R189" s="16" t="s">
        <v>1047</v>
      </c>
    </row>
    <row r="190" spans="1:18" ht="102" customHeight="1" x14ac:dyDescent="0.35">
      <c r="A190" t="str">
        <f t="shared" si="4"/>
        <v>LogisticsRoad LogisticsDue to the market's fragmented nature, a comprehensive supplier list is crucial for the best rates, even though benefits diminish beyond the 100th carrier.</v>
      </c>
      <c r="B190" s="13">
        <v>182</v>
      </c>
      <c r="C190" s="14" t="s">
        <v>119</v>
      </c>
      <c r="D190" s="14" t="s">
        <v>295</v>
      </c>
      <c r="E190" s="14"/>
      <c r="F190" s="14"/>
      <c r="G190" s="14" t="s">
        <v>1048</v>
      </c>
      <c r="H190" s="14" t="s">
        <v>27</v>
      </c>
      <c r="I190" s="14" t="s">
        <v>438</v>
      </c>
      <c r="J190" s="14" t="s">
        <v>578</v>
      </c>
      <c r="K190" s="14" t="s">
        <v>577</v>
      </c>
      <c r="L190" s="15">
        <v>2.5000000000000001E-3</v>
      </c>
      <c r="M190" s="15">
        <v>5.0000000000000001E-3</v>
      </c>
      <c r="N190" s="15" t="str">
        <f t="shared" si="5"/>
        <v>0.3%-0.5%</v>
      </c>
      <c r="O190" s="13" t="s">
        <v>1049</v>
      </c>
      <c r="P190" s="13" t="s">
        <v>30</v>
      </c>
      <c r="Q190" s="16" t="s">
        <v>165</v>
      </c>
      <c r="R190" s="16" t="s">
        <v>1050</v>
      </c>
    </row>
    <row r="191" spans="1:18" ht="102" customHeight="1" x14ac:dyDescent="0.35">
      <c r="A191" t="str">
        <f t="shared" si="4"/>
        <v>LogisticsRoad LogisticsCEP volume is awarded in regional or country packages, enabling game-theoretical negotiations. An RFP gathers rates, followed by an auction, creating supplier uncertainty and potentially lower rates or major discounts.</v>
      </c>
      <c r="B191" s="13">
        <v>183</v>
      </c>
      <c r="C191" s="14" t="s">
        <v>119</v>
      </c>
      <c r="D191" s="14" t="s">
        <v>295</v>
      </c>
      <c r="E191" s="14"/>
      <c r="F191" s="14"/>
      <c r="G191" s="14" t="s">
        <v>1051</v>
      </c>
      <c r="H191" s="14" t="s">
        <v>336</v>
      </c>
      <c r="I191" s="14" t="s">
        <v>789</v>
      </c>
      <c r="J191" s="14" t="s">
        <v>466</v>
      </c>
      <c r="K191" s="14" t="s">
        <v>1020</v>
      </c>
      <c r="L191" s="15">
        <v>0.01</v>
      </c>
      <c r="M191" s="15">
        <v>0.02</v>
      </c>
      <c r="N191" s="15" t="str">
        <f t="shared" si="5"/>
        <v>1.0%-2.0%</v>
      </c>
      <c r="O191" s="13" t="s">
        <v>1052</v>
      </c>
      <c r="P191" s="13" t="s">
        <v>30</v>
      </c>
      <c r="Q191" s="16" t="s">
        <v>165</v>
      </c>
      <c r="R191" s="16" t="s">
        <v>1053</v>
      </c>
    </row>
    <row r="192" spans="1:18" ht="102" customHeight="1" x14ac:dyDescent="0.35">
      <c r="A192" t="str">
        <f t="shared" si="4"/>
        <v>LogisticsRoad LogisticsReallocate spend to new partners, consolidating suppliers for efficiency.</v>
      </c>
      <c r="B192" s="13">
        <v>184</v>
      </c>
      <c r="C192" s="14" t="s">
        <v>119</v>
      </c>
      <c r="D192" s="14" t="s">
        <v>295</v>
      </c>
      <c r="E192" s="14"/>
      <c r="F192" s="14"/>
      <c r="G192" s="14" t="s">
        <v>1054</v>
      </c>
      <c r="H192" s="14" t="s">
        <v>436</v>
      </c>
      <c r="I192" s="14" t="s">
        <v>466</v>
      </c>
      <c r="J192" s="14" t="s">
        <v>467</v>
      </c>
      <c r="K192" s="14" t="s">
        <v>468</v>
      </c>
      <c r="L192" s="15">
        <v>2.5000000000000001E-3</v>
      </c>
      <c r="M192" s="15">
        <v>5.0000000000000001E-3</v>
      </c>
      <c r="N192" s="15" t="str">
        <f t="shared" si="5"/>
        <v>0.3%-0.5%</v>
      </c>
      <c r="O192" s="13" t="s">
        <v>1055</v>
      </c>
      <c r="P192" s="13" t="s">
        <v>30</v>
      </c>
      <c r="Q192" s="16" t="s">
        <v>31</v>
      </c>
      <c r="R192" s="16" t="s">
        <v>1056</v>
      </c>
    </row>
    <row r="193" spans="1:18" ht="102" customHeight="1" x14ac:dyDescent="0.35">
      <c r="A193" t="str">
        <f t="shared" si="4"/>
        <v>LogisticsCEP LogisticsReallocate annual spend from incumbents to new partners for optimization.</v>
      </c>
      <c r="B193" s="13">
        <v>186</v>
      </c>
      <c r="C193" s="14" t="s">
        <v>119</v>
      </c>
      <c r="D193" s="14" t="s">
        <v>120</v>
      </c>
      <c r="E193" s="14"/>
      <c r="F193" s="14"/>
      <c r="G193" s="14" t="s">
        <v>1057</v>
      </c>
      <c r="H193" s="14" t="s">
        <v>468</v>
      </c>
      <c r="I193" s="14" t="s">
        <v>467</v>
      </c>
      <c r="J193" s="14" t="s">
        <v>466</v>
      </c>
      <c r="K193" s="14" t="s">
        <v>436</v>
      </c>
      <c r="L193" s="15">
        <v>5.0000000000000001E-3</v>
      </c>
      <c r="M193" s="15">
        <v>0.01</v>
      </c>
      <c r="N193" s="15" t="str">
        <f t="shared" si="5"/>
        <v>0.5%-1.0%</v>
      </c>
      <c r="O193" s="13" t="s">
        <v>1058</v>
      </c>
      <c r="P193" s="13" t="s">
        <v>30</v>
      </c>
      <c r="Q193" s="16" t="s">
        <v>31</v>
      </c>
      <c r="R193" s="16" t="s">
        <v>1059</v>
      </c>
    </row>
    <row r="194" spans="1:18" ht="102" customHeight="1" x14ac:dyDescent="0.35">
      <c r="A194" t="str">
        <f t="shared" si="4"/>
        <v>LogisticsRoad LogisticsStandard tenders focus on collecting and negotiating quotes, addressing supplier margins. Expressive bidding also considers systemic costs, allowing carriers to offer volume and bundle discounts, and alternative bids, leading to cost reductions and lower rates.</v>
      </c>
      <c r="B194" s="13">
        <v>187</v>
      </c>
      <c r="C194" s="14" t="s">
        <v>119</v>
      </c>
      <c r="D194" s="14" t="s">
        <v>295</v>
      </c>
      <c r="E194" s="14"/>
      <c r="F194" s="14"/>
      <c r="G194" s="14" t="s">
        <v>1060</v>
      </c>
      <c r="H194" s="14" t="s">
        <v>577</v>
      </c>
      <c r="I194" s="14" t="s">
        <v>578</v>
      </c>
      <c r="J194" s="14" t="s">
        <v>438</v>
      </c>
      <c r="K194" s="14" t="s">
        <v>27</v>
      </c>
      <c r="L194" s="15">
        <v>5.0000000000000001E-3</v>
      </c>
      <c r="M194" s="15">
        <v>0.01</v>
      </c>
      <c r="N194" s="15" t="str">
        <f t="shared" si="5"/>
        <v>0.5%-1.0%</v>
      </c>
      <c r="O194" s="13" t="s">
        <v>1061</v>
      </c>
      <c r="P194" s="13" t="s">
        <v>30</v>
      </c>
      <c r="Q194" s="16" t="s">
        <v>1062</v>
      </c>
      <c r="R194" s="16" t="s">
        <v>1063</v>
      </c>
    </row>
    <row r="195" spans="1:18" ht="102" customHeight="1" x14ac:dyDescent="0.35">
      <c r="A195" t="str">
        <f t="shared" si="4"/>
        <v>LogisticsLOG OceanMost firms use long-term suppliers who provide excellent but costly service. Shifting to new suppliers requires initial effort but signals flexibility, increasing competitive threat and supplier interest.</v>
      </c>
      <c r="B195" s="13">
        <v>188</v>
      </c>
      <c r="C195" s="14" t="s">
        <v>119</v>
      </c>
      <c r="D195" s="14" t="s">
        <v>287</v>
      </c>
      <c r="E195" s="14"/>
      <c r="F195" s="14"/>
      <c r="G195" s="14" t="s">
        <v>1060</v>
      </c>
      <c r="H195" s="14" t="s">
        <v>1064</v>
      </c>
      <c r="I195" s="14" t="s">
        <v>1065</v>
      </c>
      <c r="J195" s="14" t="s">
        <v>1066</v>
      </c>
      <c r="K195" s="14" t="s">
        <v>27</v>
      </c>
      <c r="L195" s="15">
        <v>5.0000000000000001E-3</v>
      </c>
      <c r="M195" s="15">
        <v>0.01</v>
      </c>
      <c r="N195" s="15" t="str">
        <f t="shared" si="5"/>
        <v>0.5%-1.0%</v>
      </c>
      <c r="O195" s="13" t="s">
        <v>1067</v>
      </c>
      <c r="P195" s="13" t="s">
        <v>30</v>
      </c>
      <c r="Q195" s="16" t="s">
        <v>31</v>
      </c>
      <c r="R195" s="16" t="s">
        <v>1068</v>
      </c>
    </row>
    <row r="196" spans="1:18" ht="102" customHeight="1" x14ac:dyDescent="0.35">
      <c r="A196" t="str">
        <f t="shared" si="4"/>
        <v>LogisticsCEP LogisticsOptimizes costs by managing transportation spend through strategic procurement.</v>
      </c>
      <c r="B196" s="13">
        <v>189</v>
      </c>
      <c r="C196" s="14" t="s">
        <v>119</v>
      </c>
      <c r="D196" s="14" t="s">
        <v>120</v>
      </c>
      <c r="E196" s="14"/>
      <c r="F196" s="14"/>
      <c r="G196" s="14" t="s">
        <v>1060</v>
      </c>
      <c r="H196" s="14" t="s">
        <v>577</v>
      </c>
      <c r="I196" s="14" t="s">
        <v>578</v>
      </c>
      <c r="J196" s="14" t="s">
        <v>438</v>
      </c>
      <c r="K196" s="14" t="s">
        <v>27</v>
      </c>
      <c r="L196" s="15">
        <v>5.0000000000000001E-3</v>
      </c>
      <c r="M196" s="15">
        <v>0.01</v>
      </c>
      <c r="N196" s="15" t="str">
        <f t="shared" si="5"/>
        <v>0.5%-1.0%</v>
      </c>
      <c r="O196" s="13" t="s">
        <v>1069</v>
      </c>
      <c r="P196" s="13" t="s">
        <v>83</v>
      </c>
      <c r="Q196" s="16" t="s">
        <v>1070</v>
      </c>
      <c r="R196" s="16" t="s">
        <v>1071</v>
      </c>
    </row>
    <row r="197" spans="1:18" ht="102" customHeight="1" x14ac:dyDescent="0.35">
      <c r="A197" t="str">
        <f t="shared" si="4"/>
        <v>PackagingNASupplier tiering can work bi-directional: either key suppliers are used to bundle upstream tier-2 suppliers thus relieving the company of managing a large number of suppliers; or tier-1 suppliers are bypassed.</v>
      </c>
      <c r="B197" s="13">
        <v>190</v>
      </c>
      <c r="C197" s="14" t="s">
        <v>299</v>
      </c>
      <c r="D197" s="14" t="s">
        <v>23</v>
      </c>
      <c r="E197" s="14"/>
      <c r="F197" s="14"/>
      <c r="G197" s="14" t="s">
        <v>1072</v>
      </c>
      <c r="H197" s="14" t="s">
        <v>436</v>
      </c>
      <c r="I197" s="14" t="s">
        <v>437</v>
      </c>
      <c r="J197" s="14" t="s">
        <v>438</v>
      </c>
      <c r="K197" s="14" t="s">
        <v>439</v>
      </c>
      <c r="L197" s="15">
        <v>3.5000000000000003E-2</v>
      </c>
      <c r="M197" s="15">
        <v>7.0000000000000007E-2</v>
      </c>
      <c r="N197" s="15" t="str">
        <f t="shared" si="5"/>
        <v>3.5%-7.0%</v>
      </c>
      <c r="O197" s="13" t="s">
        <v>1073</v>
      </c>
      <c r="P197" s="13" t="s">
        <v>50</v>
      </c>
      <c r="Q197" s="16" t="s">
        <v>134</v>
      </c>
      <c r="R197" s="16" t="s">
        <v>1074</v>
      </c>
    </row>
    <row r="198" spans="1:18" ht="102" customHeight="1" x14ac:dyDescent="0.35">
      <c r="A198" t="str">
        <f t="shared" si="4"/>
        <v>ITEnd user/ Workplace HardwareImplement workplace standards to define guardrails that limit hardware settings based on user-types. Avoid 'status symbol' devices/accounts and monitor device usage.</v>
      </c>
      <c r="B198" s="13">
        <v>191</v>
      </c>
      <c r="C198" s="14" t="s">
        <v>265</v>
      </c>
      <c r="D198" s="14" t="s">
        <v>513</v>
      </c>
      <c r="E198" s="14"/>
      <c r="F198" s="14"/>
      <c r="G198" s="14" t="s">
        <v>1075</v>
      </c>
      <c r="H198" s="14" t="s">
        <v>1076</v>
      </c>
      <c r="I198" s="14" t="s">
        <v>212</v>
      </c>
      <c r="J198" s="14" t="s">
        <v>212</v>
      </c>
      <c r="K198" s="14" t="s">
        <v>1077</v>
      </c>
      <c r="L198" s="15">
        <v>2.5000000000000001E-2</v>
      </c>
      <c r="M198" s="15">
        <v>0.05</v>
      </c>
      <c r="N198" s="15" t="str">
        <f t="shared" si="5"/>
        <v>2.5%-5.0%</v>
      </c>
      <c r="O198" s="13" t="s">
        <v>1078</v>
      </c>
      <c r="P198" s="13" t="s">
        <v>61</v>
      </c>
      <c r="Q198" s="16" t="s">
        <v>69</v>
      </c>
      <c r="R198" s="16" t="s">
        <v>1079</v>
      </c>
    </row>
    <row r="199" spans="1:18" ht="102" customHeight="1" x14ac:dyDescent="0.35">
      <c r="A199" t="str">
        <f t="shared" si="4"/>
        <v>ConsultingNAIdeally a certain % of the remuneration can be tied back to variable components (e.g. satisfaction, savings etc.)</v>
      </c>
      <c r="B199" s="13">
        <v>192</v>
      </c>
      <c r="C199" s="14" t="s">
        <v>144</v>
      </c>
      <c r="D199" s="14" t="s">
        <v>23</v>
      </c>
      <c r="E199" s="14"/>
      <c r="F199" s="14"/>
      <c r="G199" s="14" t="s">
        <v>1080</v>
      </c>
      <c r="H199" s="14" t="s">
        <v>1081</v>
      </c>
      <c r="I199" s="14" t="s">
        <v>1082</v>
      </c>
      <c r="J199" s="14" t="s">
        <v>1083</v>
      </c>
      <c r="K199" s="14" t="s">
        <v>1084</v>
      </c>
      <c r="L199" s="15">
        <v>5.0000000000000001E-3</v>
      </c>
      <c r="M199" s="15">
        <v>0.01</v>
      </c>
      <c r="N199" s="15" t="str">
        <f t="shared" si="5"/>
        <v>0.5%-1.0%</v>
      </c>
      <c r="O199" s="13" t="s">
        <v>1085</v>
      </c>
      <c r="P199" s="13" t="s">
        <v>83</v>
      </c>
      <c r="Q199" s="16" t="s">
        <v>84</v>
      </c>
      <c r="R199" s="16" t="s">
        <v>1086</v>
      </c>
    </row>
    <row r="200" spans="1:18" ht="102" customHeight="1" x14ac:dyDescent="0.35">
      <c r="A200" t="str">
        <f t="shared" si="4"/>
        <v>PackagingNAExisting data on a sourcing group is analyzed in depth to identify any savings potential. For instance, this may include comparing the discount rates within a corporate group.</v>
      </c>
      <c r="B200" s="13">
        <v>193</v>
      </c>
      <c r="C200" s="14" t="s">
        <v>299</v>
      </c>
      <c r="D200" s="14" t="s">
        <v>23</v>
      </c>
      <c r="E200" s="14"/>
      <c r="F200" s="14"/>
      <c r="G200" s="14" t="s">
        <v>1087</v>
      </c>
      <c r="H200" s="14" t="s">
        <v>1088</v>
      </c>
      <c r="I200" s="14" t="s">
        <v>1089</v>
      </c>
      <c r="J200" s="14" t="s">
        <v>586</v>
      </c>
      <c r="K200" s="14" t="s">
        <v>587</v>
      </c>
      <c r="L200" s="15">
        <v>0.04</v>
      </c>
      <c r="M200" s="15">
        <v>0.08</v>
      </c>
      <c r="N200" s="15" t="str">
        <f t="shared" si="5"/>
        <v>4.0%-8.0%</v>
      </c>
      <c r="O200" s="13" t="s">
        <v>1041</v>
      </c>
      <c r="P200" s="13" t="s">
        <v>30</v>
      </c>
      <c r="Q200" s="16" t="s">
        <v>127</v>
      </c>
      <c r="R200" s="16" t="s">
        <v>1042</v>
      </c>
    </row>
    <row r="201" spans="1:18" ht="102" customHeight="1" x14ac:dyDescent="0.35">
      <c r="A201" t="str">
        <f t="shared" si="4"/>
        <v>LogisticsLOG OceanCarriers may promise attractive rates but fail to meet expectations due to the manual efforts required for onboarding and implementation. Increasing these efforts can improve success rates and realize savings.</v>
      </c>
      <c r="B201" s="13">
        <v>194</v>
      </c>
      <c r="C201" s="14" t="s">
        <v>119</v>
      </c>
      <c r="D201" s="14" t="s">
        <v>287</v>
      </c>
      <c r="E201" s="14"/>
      <c r="F201" s="14"/>
      <c r="G201" s="14" t="s">
        <v>1090</v>
      </c>
      <c r="H201" s="14" t="s">
        <v>122</v>
      </c>
      <c r="I201" s="14" t="s">
        <v>732</v>
      </c>
      <c r="J201" s="14" t="s">
        <v>733</v>
      </c>
      <c r="K201" s="14" t="s">
        <v>756</v>
      </c>
      <c r="L201" s="15">
        <v>2.5000000000000001E-3</v>
      </c>
      <c r="M201" s="15">
        <v>5.0000000000000001E-3</v>
      </c>
      <c r="N201" s="15" t="str">
        <f t="shared" si="5"/>
        <v>0.3%-0.5%</v>
      </c>
      <c r="O201" s="13" t="s">
        <v>1091</v>
      </c>
      <c r="P201" s="13" t="s">
        <v>83</v>
      </c>
      <c r="Q201" s="16" t="s">
        <v>150</v>
      </c>
      <c r="R201" s="16" t="s">
        <v>1092</v>
      </c>
    </row>
    <row r="202" spans="1:18" ht="102" customHeight="1" x14ac:dyDescent="0.35">
      <c r="A202" t="str">
        <f t="shared" ref="A202:A235" si="6">_xlfn.CONCAT(C202,D202,O202)</f>
        <v>ITDatacenter &amp; NetworkSwitch to SD-WAN / right-spec WAN per location.</v>
      </c>
      <c r="B202" s="13">
        <v>195</v>
      </c>
      <c r="C202" s="14" t="s">
        <v>265</v>
      </c>
      <c r="D202" s="14" t="s">
        <v>996</v>
      </c>
      <c r="E202" s="14"/>
      <c r="F202" s="14"/>
      <c r="G202" s="14" t="s">
        <v>1093</v>
      </c>
      <c r="H202" s="14" t="s">
        <v>591</v>
      </c>
      <c r="I202" s="14" t="s">
        <v>771</v>
      </c>
      <c r="J202" s="14" t="s">
        <v>1094</v>
      </c>
      <c r="K202" s="14" t="s">
        <v>1095</v>
      </c>
      <c r="L202" s="15">
        <v>0.01</v>
      </c>
      <c r="M202" s="15">
        <v>0.02</v>
      </c>
      <c r="N202" s="15" t="str">
        <f t="shared" ref="N202:N235" si="7">_xlfn.CONCAT(TEXT(L202,"0.0%"),"-",TEXT(M202,"0.0%"))</f>
        <v>1.0%-2.0%</v>
      </c>
      <c r="O202" s="13" t="s">
        <v>1096</v>
      </c>
      <c r="P202" s="13" t="s">
        <v>61</v>
      </c>
      <c r="Q202" s="16" t="s">
        <v>381</v>
      </c>
      <c r="R202" s="16" t="s">
        <v>1097</v>
      </c>
    </row>
    <row r="203" spans="1:18" ht="102" customHeight="1" x14ac:dyDescent="0.35">
      <c r="A203" t="str">
        <f t="shared" si="6"/>
        <v>FleetPolicyPolicies should be updated together with the RFP, at least every 2-3 years.</v>
      </c>
      <c r="B203" s="13">
        <v>196</v>
      </c>
      <c r="C203" s="14" t="s">
        <v>53</v>
      </c>
      <c r="D203" s="14" t="s">
        <v>104</v>
      </c>
      <c r="E203" s="14"/>
      <c r="F203" s="14"/>
      <c r="G203" s="14" t="s">
        <v>1098</v>
      </c>
      <c r="H203" s="14" t="s">
        <v>1099</v>
      </c>
      <c r="I203" s="14" t="s">
        <v>772</v>
      </c>
      <c r="J203" s="14" t="s">
        <v>1094</v>
      </c>
      <c r="K203" s="14" t="s">
        <v>1100</v>
      </c>
      <c r="L203" s="15">
        <v>0.01</v>
      </c>
      <c r="M203" s="15">
        <v>0.02</v>
      </c>
      <c r="N203" s="15" t="str">
        <f t="shared" si="7"/>
        <v>1.0%-2.0%</v>
      </c>
      <c r="O203" s="13" t="s">
        <v>1101</v>
      </c>
      <c r="P203" s="13" t="s">
        <v>83</v>
      </c>
      <c r="Q203" s="16" t="s">
        <v>84</v>
      </c>
      <c r="R203" s="16" t="s">
        <v>1102</v>
      </c>
    </row>
    <row r="204" spans="1:18" ht="102" customHeight="1" x14ac:dyDescent="0.35">
      <c r="A204" t="str">
        <f t="shared" si="6"/>
        <v>ITSoftware development and maintenanceOpt for a service-oriented architecture (SOA) to enhance business process flexibility by leveraging  modularity of applications / solutions. This helps avoid high costs &amp; limited benefits associated with bespoke / standalone tools &amp; functionalities.</v>
      </c>
      <c r="B204" s="13">
        <v>197</v>
      </c>
      <c r="C204" s="14" t="s">
        <v>265</v>
      </c>
      <c r="D204" s="14" t="s">
        <v>266</v>
      </c>
      <c r="E204" s="14"/>
      <c r="F204" s="14"/>
      <c r="G204" s="14" t="s">
        <v>1103</v>
      </c>
      <c r="H204" s="14" t="s">
        <v>591</v>
      </c>
      <c r="I204" s="14" t="s">
        <v>771</v>
      </c>
      <c r="J204" s="14" t="s">
        <v>1094</v>
      </c>
      <c r="K204" s="14" t="s">
        <v>1095</v>
      </c>
      <c r="L204" s="15">
        <v>5.0000000000000001E-3</v>
      </c>
      <c r="M204" s="15">
        <v>0.01</v>
      </c>
      <c r="N204" s="15" t="str">
        <f t="shared" si="7"/>
        <v>0.5%-1.0%</v>
      </c>
      <c r="O204" s="13" t="s">
        <v>1104</v>
      </c>
      <c r="P204" s="13" t="s">
        <v>61</v>
      </c>
      <c r="Q204" s="16" t="s">
        <v>1105</v>
      </c>
      <c r="R204" s="16" t="s">
        <v>1106</v>
      </c>
    </row>
    <row r="205" spans="1:18" ht="102" customHeight="1" x14ac:dyDescent="0.35">
      <c r="A205" t="str">
        <f t="shared" si="6"/>
        <v>MarketingTraditional MediaImprove quality and cost conditions through a competitive RFP process.</v>
      </c>
      <c r="B205" s="13">
        <v>198</v>
      </c>
      <c r="C205" s="14" t="s">
        <v>322</v>
      </c>
      <c r="D205" s="14" t="s">
        <v>331</v>
      </c>
      <c r="E205" s="14"/>
      <c r="F205" s="14"/>
      <c r="G205" s="14" t="s">
        <v>1107</v>
      </c>
      <c r="H205" s="14" t="s">
        <v>1108</v>
      </c>
      <c r="I205" s="14" t="s">
        <v>1109</v>
      </c>
      <c r="J205" s="14" t="s">
        <v>1110</v>
      </c>
      <c r="K205" s="14" t="s">
        <v>772</v>
      </c>
      <c r="L205" s="15">
        <v>4.4999999999999998E-2</v>
      </c>
      <c r="M205" s="15">
        <v>0.09</v>
      </c>
      <c r="N205" s="15" t="str">
        <f t="shared" si="7"/>
        <v>4.5%-9.0%</v>
      </c>
      <c r="O205" s="13" t="s">
        <v>1111</v>
      </c>
      <c r="P205" s="13" t="s">
        <v>30</v>
      </c>
      <c r="Q205" s="16" t="s">
        <v>165</v>
      </c>
      <c r="R205" s="16" t="s">
        <v>1112</v>
      </c>
    </row>
    <row r="206" spans="1:18" ht="102" customHeight="1" x14ac:dyDescent="0.35">
      <c r="A206" t="str">
        <f t="shared" si="6"/>
        <v>MarketingCreative AgenciesAchieve improved quality and cost efficiency through a competitive RFP process.</v>
      </c>
      <c r="B206" s="13">
        <v>199</v>
      </c>
      <c r="C206" s="14" t="s">
        <v>322</v>
      </c>
      <c r="D206" s="14" t="s">
        <v>849</v>
      </c>
      <c r="E206" s="14"/>
      <c r="F206" s="14"/>
      <c r="G206" s="14" t="s">
        <v>1107</v>
      </c>
      <c r="H206" s="14" t="s">
        <v>1108</v>
      </c>
      <c r="I206" s="14" t="s">
        <v>1109</v>
      </c>
      <c r="J206" s="14" t="s">
        <v>1110</v>
      </c>
      <c r="K206" s="14" t="s">
        <v>772</v>
      </c>
      <c r="L206" s="15">
        <v>0.01</v>
      </c>
      <c r="M206" s="15">
        <v>0.02</v>
      </c>
      <c r="N206" s="15" t="str">
        <f t="shared" si="7"/>
        <v>1.0%-2.0%</v>
      </c>
      <c r="O206" s="13" t="s">
        <v>1113</v>
      </c>
      <c r="P206" s="13" t="s">
        <v>30</v>
      </c>
      <c r="Q206" s="16" t="s">
        <v>165</v>
      </c>
      <c r="R206" s="16" t="s">
        <v>1112</v>
      </c>
    </row>
    <row r="207" spans="1:18" ht="102" customHeight="1" x14ac:dyDescent="0.35">
      <c r="A207" t="str">
        <f t="shared" si="6"/>
        <v>MarketingDigital AgenciesGet better quality and cost conditions via competitive RFP</v>
      </c>
      <c r="B207" s="13">
        <v>200</v>
      </c>
      <c r="C207" s="14" t="s">
        <v>322</v>
      </c>
      <c r="D207" s="14" t="s">
        <v>808</v>
      </c>
      <c r="E207" s="14"/>
      <c r="F207" s="14"/>
      <c r="G207" s="14" t="s">
        <v>1107</v>
      </c>
      <c r="H207" s="14" t="s">
        <v>1108</v>
      </c>
      <c r="I207" s="14" t="s">
        <v>1109</v>
      </c>
      <c r="J207" s="14" t="s">
        <v>1110</v>
      </c>
      <c r="K207" s="14" t="s">
        <v>772</v>
      </c>
      <c r="L207" s="15">
        <v>0.01</v>
      </c>
      <c r="M207" s="15">
        <v>0.02</v>
      </c>
      <c r="N207" s="15" t="str">
        <f t="shared" si="7"/>
        <v>1.0%-2.0%</v>
      </c>
      <c r="O207" s="13" t="s">
        <v>1114</v>
      </c>
      <c r="P207" s="13" t="s">
        <v>30</v>
      </c>
      <c r="Q207" s="16" t="s">
        <v>165</v>
      </c>
      <c r="R207" s="16" t="s">
        <v>1112</v>
      </c>
    </row>
    <row r="208" spans="1:18" ht="102" customHeight="1" x14ac:dyDescent="0.35">
      <c r="A208" t="str">
        <f t="shared" si="6"/>
        <v>MarketingAd ProductionChoose production providers through a competitive RFP process.</v>
      </c>
      <c r="B208" s="13">
        <v>201</v>
      </c>
      <c r="C208" s="14" t="s">
        <v>322</v>
      </c>
      <c r="D208" s="14" t="s">
        <v>360</v>
      </c>
      <c r="E208" s="14"/>
      <c r="F208" s="14"/>
      <c r="G208" s="14" t="s">
        <v>1107</v>
      </c>
      <c r="H208" s="14" t="s">
        <v>1108</v>
      </c>
      <c r="I208" s="14" t="s">
        <v>1109</v>
      </c>
      <c r="J208" s="14" t="s">
        <v>1110</v>
      </c>
      <c r="K208" s="14" t="s">
        <v>772</v>
      </c>
      <c r="L208" s="15">
        <v>0.01</v>
      </c>
      <c r="M208" s="15">
        <v>0.02</v>
      </c>
      <c r="N208" s="15" t="str">
        <f t="shared" si="7"/>
        <v>1.0%-2.0%</v>
      </c>
      <c r="O208" s="13" t="s">
        <v>1115</v>
      </c>
      <c r="P208" s="13" t="s">
        <v>30</v>
      </c>
      <c r="Q208" s="16" t="s">
        <v>165</v>
      </c>
      <c r="R208" s="16" t="s">
        <v>1112</v>
      </c>
    </row>
    <row r="209" spans="1:18" ht="102" customHeight="1" x14ac:dyDescent="0.35">
      <c r="A209" t="str">
        <f t="shared" si="6"/>
        <v>MarketingEventsIssue a comprehensive RFP to reduce costs.</v>
      </c>
      <c r="B209" s="13">
        <v>202</v>
      </c>
      <c r="C209" s="14" t="s">
        <v>322</v>
      </c>
      <c r="D209" s="14" t="s">
        <v>404</v>
      </c>
      <c r="E209" s="14"/>
      <c r="F209" s="14"/>
      <c r="G209" s="14" t="s">
        <v>1107</v>
      </c>
      <c r="H209" s="14" t="s">
        <v>1108</v>
      </c>
      <c r="I209" s="14" t="s">
        <v>1109</v>
      </c>
      <c r="J209" s="14" t="s">
        <v>1110</v>
      </c>
      <c r="K209" s="14" t="s">
        <v>772</v>
      </c>
      <c r="L209" s="15">
        <v>5.0000000000000001E-3</v>
      </c>
      <c r="M209" s="15">
        <v>0.01</v>
      </c>
      <c r="N209" s="15" t="str">
        <f t="shared" si="7"/>
        <v>0.5%-1.0%</v>
      </c>
      <c r="O209" s="13" t="s">
        <v>1116</v>
      </c>
      <c r="P209" s="13" t="s">
        <v>30</v>
      </c>
      <c r="Q209" s="16" t="s">
        <v>165</v>
      </c>
      <c r="R209" s="16" t="s">
        <v>1117</v>
      </c>
    </row>
    <row r="210" spans="1:18" ht="102" customHeight="1" x14ac:dyDescent="0.35">
      <c r="A210" t="str">
        <f t="shared" si="6"/>
        <v>MarketingPOS MaterialGet better quality and cost conditions via competitive RFP</v>
      </c>
      <c r="B210" s="13">
        <v>203</v>
      </c>
      <c r="C210" s="14" t="s">
        <v>322</v>
      </c>
      <c r="D210" s="14" t="s">
        <v>323</v>
      </c>
      <c r="E210" s="14"/>
      <c r="F210" s="14"/>
      <c r="G210" s="14" t="s">
        <v>1107</v>
      </c>
      <c r="H210" s="14" t="s">
        <v>1108</v>
      </c>
      <c r="I210" s="14" t="s">
        <v>1109</v>
      </c>
      <c r="J210" s="14" t="s">
        <v>1110</v>
      </c>
      <c r="K210" s="14" t="s">
        <v>772</v>
      </c>
      <c r="L210" s="15">
        <v>1.4999999999999999E-2</v>
      </c>
      <c r="M210" s="15">
        <v>0.03</v>
      </c>
      <c r="N210" s="15" t="str">
        <f t="shared" si="7"/>
        <v>1.5%-3.0%</v>
      </c>
      <c r="O210" s="13" t="s">
        <v>1114</v>
      </c>
      <c r="P210" s="13" t="s">
        <v>30</v>
      </c>
      <c r="Q210" s="16" t="s">
        <v>165</v>
      </c>
      <c r="R210" s="16" t="s">
        <v>1112</v>
      </c>
    </row>
    <row r="211" spans="1:18" ht="102" customHeight="1" x14ac:dyDescent="0.35">
      <c r="A211" t="str">
        <f t="shared" si="6"/>
        <v>ITIT helpdeskPromote self-service and shorten SLA for non-critical business needs.</v>
      </c>
      <c r="B211" s="13">
        <v>204</v>
      </c>
      <c r="C211" s="14" t="s">
        <v>265</v>
      </c>
      <c r="D211" s="14" t="s">
        <v>276</v>
      </c>
      <c r="E211" s="14"/>
      <c r="F211" s="14"/>
      <c r="G211" s="14" t="s">
        <v>1118</v>
      </c>
      <c r="H211" s="14" t="s">
        <v>591</v>
      </c>
      <c r="I211" s="14" t="s">
        <v>771</v>
      </c>
      <c r="J211" s="14" t="s">
        <v>1094</v>
      </c>
      <c r="K211" s="14" t="s">
        <v>1095</v>
      </c>
      <c r="L211" s="15">
        <v>2.5000000000000001E-2</v>
      </c>
      <c r="M211" s="15">
        <v>0.05</v>
      </c>
      <c r="N211" s="15" t="str">
        <f t="shared" si="7"/>
        <v>2.5%-5.0%</v>
      </c>
      <c r="O211" s="13" t="s">
        <v>1119</v>
      </c>
      <c r="P211" s="13" t="s">
        <v>61</v>
      </c>
      <c r="Q211" s="16" t="s">
        <v>402</v>
      </c>
      <c r="R211" s="16" t="s">
        <v>1120</v>
      </c>
    </row>
    <row r="212" spans="1:18" ht="102" customHeight="1" x14ac:dyDescent="0.35">
      <c r="A212" t="str">
        <f t="shared" si="6"/>
        <v>ITSoftware development and maintenanceEstablish, prioritize and monitor software development demand across different projects. Structure contracts based on identified priorities.</v>
      </c>
      <c r="B212" s="13">
        <v>205</v>
      </c>
      <c r="C212" s="14" t="s">
        <v>265</v>
      </c>
      <c r="D212" s="14" t="s">
        <v>266</v>
      </c>
      <c r="E212" s="14"/>
      <c r="F212" s="14"/>
      <c r="G212" s="14" t="s">
        <v>1121</v>
      </c>
      <c r="H212" s="14" t="s">
        <v>591</v>
      </c>
      <c r="I212" s="14" t="s">
        <v>771</v>
      </c>
      <c r="J212" s="14" t="s">
        <v>1094</v>
      </c>
      <c r="K212" s="14" t="s">
        <v>1095</v>
      </c>
      <c r="L212" s="15">
        <v>5.0000000000000001E-3</v>
      </c>
      <c r="M212" s="15">
        <v>0.01</v>
      </c>
      <c r="N212" s="15" t="str">
        <f t="shared" si="7"/>
        <v>0.5%-1.0%</v>
      </c>
      <c r="O212" s="13" t="s">
        <v>1122</v>
      </c>
      <c r="P212" s="13" t="s">
        <v>83</v>
      </c>
      <c r="Q212" s="16" t="s">
        <v>1070</v>
      </c>
      <c r="R212" s="16" t="s">
        <v>1123</v>
      </c>
    </row>
    <row r="213" spans="1:18" ht="102" customHeight="1" x14ac:dyDescent="0.35">
      <c r="A213" t="str">
        <f t="shared" si="6"/>
        <v>TravelAirRegularly negotiating airline contracts ensures competitive pricing and better deals.</v>
      </c>
      <c r="B213" s="13">
        <v>206</v>
      </c>
      <c r="C213" s="14" t="s">
        <v>33</v>
      </c>
      <c r="D213" s="14" t="s">
        <v>34</v>
      </c>
      <c r="E213" s="14"/>
      <c r="F213" s="14"/>
      <c r="G213" s="14" t="s">
        <v>1124</v>
      </c>
      <c r="H213" s="14" t="s">
        <v>591</v>
      </c>
      <c r="I213" s="14" t="s">
        <v>1125</v>
      </c>
      <c r="J213" s="14" t="s">
        <v>1126</v>
      </c>
      <c r="K213" s="14" t="s">
        <v>1127</v>
      </c>
      <c r="L213" s="15">
        <v>0.01</v>
      </c>
      <c r="M213" s="15">
        <v>0.02</v>
      </c>
      <c r="N213" s="15" t="str">
        <f t="shared" si="7"/>
        <v>1.0%-2.0%</v>
      </c>
      <c r="O213" s="13" t="s">
        <v>1128</v>
      </c>
      <c r="P213" s="13" t="s">
        <v>30</v>
      </c>
      <c r="Q213" s="16" t="s">
        <v>165</v>
      </c>
      <c r="R213" s="16" t="s">
        <v>1129</v>
      </c>
    </row>
    <row r="214" spans="1:18" ht="102" customHeight="1" x14ac:dyDescent="0.35">
      <c r="A214" t="str">
        <f t="shared" si="6"/>
        <v>TravelCar RentalRegularly tendering car rental services ensures competitive pricing and terms, reducing costs.</v>
      </c>
      <c r="B214" s="13">
        <v>207</v>
      </c>
      <c r="C214" s="14" t="s">
        <v>33</v>
      </c>
      <c r="D214" s="14" t="s">
        <v>230</v>
      </c>
      <c r="E214" s="14"/>
      <c r="F214" s="14"/>
      <c r="G214" s="14" t="s">
        <v>1130</v>
      </c>
      <c r="H214" s="14" t="s">
        <v>591</v>
      </c>
      <c r="I214" s="14" t="s">
        <v>1125</v>
      </c>
      <c r="J214" s="14" t="s">
        <v>1126</v>
      </c>
      <c r="K214" s="14" t="s">
        <v>1127</v>
      </c>
      <c r="L214" s="15">
        <v>1.4999999999999999E-2</v>
      </c>
      <c r="M214" s="15">
        <v>0.03</v>
      </c>
      <c r="N214" s="15" t="str">
        <f t="shared" si="7"/>
        <v>1.5%-3.0%</v>
      </c>
      <c r="O214" s="13" t="s">
        <v>1131</v>
      </c>
      <c r="P214" s="13" t="s">
        <v>30</v>
      </c>
      <c r="Q214" s="16" t="s">
        <v>165</v>
      </c>
      <c r="R214" s="16" t="s">
        <v>1132</v>
      </c>
    </row>
    <row r="215" spans="1:18" ht="102" customHeight="1" x14ac:dyDescent="0.35">
      <c r="A215" t="str">
        <f t="shared" si="6"/>
        <v>FleetFuelFuel negotiations use strategic timing, market insights, and relationships to optimize outcomes and secure favorable terms.</v>
      </c>
      <c r="B215" s="13"/>
      <c r="C215" s="14" t="s">
        <v>53</v>
      </c>
      <c r="D215" s="14" t="s">
        <v>54</v>
      </c>
      <c r="E215" s="14"/>
      <c r="F215" s="14"/>
      <c r="G215" s="14" t="s">
        <v>1133</v>
      </c>
      <c r="H215" s="14" t="s">
        <v>1134</v>
      </c>
      <c r="I215" s="14" t="s">
        <v>1110</v>
      </c>
      <c r="J215" s="14" t="s">
        <v>1135</v>
      </c>
      <c r="K215" s="14" t="s">
        <v>1136</v>
      </c>
      <c r="L215" s="15">
        <v>0.01</v>
      </c>
      <c r="M215" s="15">
        <v>0.02</v>
      </c>
      <c r="N215" s="15" t="str">
        <f t="shared" si="7"/>
        <v>1.0%-2.0%</v>
      </c>
      <c r="O215" s="13" t="s">
        <v>1137</v>
      </c>
      <c r="P215" s="13" t="s">
        <v>30</v>
      </c>
      <c r="Q215" s="16" t="s">
        <v>165</v>
      </c>
      <c r="R215" s="16" t="s">
        <v>1138</v>
      </c>
    </row>
    <row r="216" spans="1:18" ht="102" customHeight="1" x14ac:dyDescent="0.35">
      <c r="A216" t="str">
        <f t="shared" si="6"/>
        <v>TravelTravel Management AgencyRegularly tendering travel agency services ensures competitive pricing and better terms.</v>
      </c>
      <c r="B216" s="13"/>
      <c r="C216" s="14" t="s">
        <v>33</v>
      </c>
      <c r="D216" s="14" t="s">
        <v>527</v>
      </c>
      <c r="E216" s="14"/>
      <c r="F216" s="14"/>
      <c r="G216" s="14" t="s">
        <v>1139</v>
      </c>
      <c r="H216" s="14" t="s">
        <v>591</v>
      </c>
      <c r="I216" s="14" t="s">
        <v>771</v>
      </c>
      <c r="J216" s="14" t="s">
        <v>772</v>
      </c>
      <c r="K216" s="14" t="s">
        <v>773</v>
      </c>
      <c r="L216" s="15">
        <v>0.01</v>
      </c>
      <c r="M216" s="15">
        <v>0.02</v>
      </c>
      <c r="N216" s="15" t="str">
        <f t="shared" si="7"/>
        <v>1.0%-2.0%</v>
      </c>
      <c r="O216" s="13" t="s">
        <v>1140</v>
      </c>
      <c r="P216" s="13" t="s">
        <v>30</v>
      </c>
      <c r="Q216" s="16" t="s">
        <v>165</v>
      </c>
      <c r="R216" s="16" t="s">
        <v>1141</v>
      </c>
    </row>
    <row r="217" spans="1:18" ht="102" customHeight="1" x14ac:dyDescent="0.35">
      <c r="A217" t="str">
        <f t="shared" si="6"/>
        <v>MRONAExisting data on a sourcing group is analyzed in depth to identify any savings potential. For instance, this may include comparing the discount rates within a corporate group.</v>
      </c>
      <c r="B217" s="13"/>
      <c r="C217" s="14" t="s">
        <v>210</v>
      </c>
      <c r="D217" s="14" t="s">
        <v>23</v>
      </c>
      <c r="E217" s="14"/>
      <c r="F217" s="14"/>
      <c r="G217" s="14" t="s">
        <v>1142</v>
      </c>
      <c r="H217" s="14" t="s">
        <v>591</v>
      </c>
      <c r="I217" s="14" t="s">
        <v>1108</v>
      </c>
      <c r="J217" s="14" t="s">
        <v>1094</v>
      </c>
      <c r="K217" s="14" t="s">
        <v>1095</v>
      </c>
      <c r="L217" s="15">
        <v>0.01</v>
      </c>
      <c r="M217" s="15">
        <v>0.02</v>
      </c>
      <c r="N217" s="15" t="str">
        <f t="shared" si="7"/>
        <v>1.0%-2.0%</v>
      </c>
      <c r="O217" s="13" t="s">
        <v>1041</v>
      </c>
      <c r="P217" s="13" t="s">
        <v>30</v>
      </c>
      <c r="Q217" s="16" t="s">
        <v>127</v>
      </c>
      <c r="R217" s="16" t="s">
        <v>1042</v>
      </c>
    </row>
    <row r="218" spans="1:18" ht="102" customHeight="1" x14ac:dyDescent="0.35">
      <c r="A218" t="str">
        <f t="shared" si="6"/>
        <v>PackagingNAThe primary aim of the RFI/RFP process is to benchmark current suppliers and pinpoint the most competitive ones in the market. This evaluation should encompass both global players and local champions situated near the plant.</v>
      </c>
      <c r="B218" s="13"/>
      <c r="C218" s="14" t="s">
        <v>299</v>
      </c>
      <c r="D218" s="14" t="s">
        <v>23</v>
      </c>
      <c r="E218" s="14"/>
      <c r="F218" s="14"/>
      <c r="G218" s="14" t="s">
        <v>1143</v>
      </c>
      <c r="H218" s="14" t="s">
        <v>591</v>
      </c>
      <c r="I218" s="14" t="s">
        <v>1108</v>
      </c>
      <c r="J218" s="14" t="s">
        <v>983</v>
      </c>
      <c r="K218" s="14" t="s">
        <v>1095</v>
      </c>
      <c r="L218" s="15">
        <v>0.06</v>
      </c>
      <c r="M218" s="15">
        <v>0.12</v>
      </c>
      <c r="N218" s="15" t="str">
        <f t="shared" si="7"/>
        <v>6.0%-12.0%</v>
      </c>
      <c r="O218" s="13" t="s">
        <v>1144</v>
      </c>
      <c r="P218" s="13" t="s">
        <v>30</v>
      </c>
      <c r="Q218" s="16" t="s">
        <v>165</v>
      </c>
      <c r="R218" s="16" t="s">
        <v>1145</v>
      </c>
    </row>
    <row r="219" spans="1:18" ht="102" customHeight="1" x14ac:dyDescent="0.35">
      <c r="A219" t="str">
        <f t="shared" si="6"/>
        <v>AuditNABy means of competitive tendering, existing audit firms can be benchmarked, and potential new providers can be identified. By adding game-theoretical negotiation elements, the competitive pressure can be further increased.</v>
      </c>
      <c r="B219" s="13"/>
      <c r="C219" s="14" t="s">
        <v>86</v>
      </c>
      <c r="D219" s="14" t="s">
        <v>23</v>
      </c>
      <c r="E219" s="14"/>
      <c r="F219" s="14"/>
      <c r="G219" s="14" t="s">
        <v>1146</v>
      </c>
      <c r="H219" s="14" t="s">
        <v>591</v>
      </c>
      <c r="I219" s="14" t="s">
        <v>1108</v>
      </c>
      <c r="J219" s="14" t="s">
        <v>1094</v>
      </c>
      <c r="K219" s="14" t="s">
        <v>773</v>
      </c>
      <c r="L219" s="15">
        <v>2.5000000000000001E-2</v>
      </c>
      <c r="M219" s="15">
        <v>0.05</v>
      </c>
      <c r="N219" s="15" t="str">
        <f t="shared" si="7"/>
        <v>2.5%-5.0%</v>
      </c>
      <c r="O219" s="13" t="s">
        <v>1147</v>
      </c>
      <c r="P219" s="13" t="s">
        <v>30</v>
      </c>
      <c r="Q219" s="16" t="s">
        <v>165</v>
      </c>
      <c r="R219" s="16" t="s">
        <v>1148</v>
      </c>
    </row>
    <row r="220" spans="1:18" ht="102" customHeight="1" x14ac:dyDescent="0.35">
      <c r="A220" t="str">
        <f t="shared" si="6"/>
        <v>LegalNACompetitive tendering allows benchmarking of current law/audit firms and identification of new providers, with game-theoretical negotiation elements enhancing competitive pressure.</v>
      </c>
      <c r="B220" s="13"/>
      <c r="C220" s="14" t="s">
        <v>77</v>
      </c>
      <c r="D220" s="14" t="s">
        <v>23</v>
      </c>
      <c r="E220" s="14"/>
      <c r="F220" s="14"/>
      <c r="G220" s="14" t="s">
        <v>1149</v>
      </c>
      <c r="H220" s="14" t="s">
        <v>591</v>
      </c>
      <c r="I220" s="14" t="s">
        <v>1108</v>
      </c>
      <c r="J220" s="14" t="s">
        <v>1094</v>
      </c>
      <c r="K220" s="14" t="s">
        <v>773</v>
      </c>
      <c r="L220" s="15">
        <v>0.01</v>
      </c>
      <c r="M220" s="15">
        <v>0.02</v>
      </c>
      <c r="N220" s="15" t="str">
        <f t="shared" si="7"/>
        <v>1.0%-2.0%</v>
      </c>
      <c r="O220" s="13" t="s">
        <v>1150</v>
      </c>
      <c r="P220" s="13" t="s">
        <v>30</v>
      </c>
      <c r="Q220" s="16" t="s">
        <v>165</v>
      </c>
      <c r="R220" s="16" t="s">
        <v>1151</v>
      </c>
    </row>
    <row r="221" spans="1:18" ht="102" customHeight="1" x14ac:dyDescent="0.35">
      <c r="A221" t="str">
        <f t="shared" si="6"/>
        <v>ITEnd user/ Workplace HardwareBenchmark prices with the latest market rates, and potentially with the prices that peers / competitors are paying</v>
      </c>
      <c r="B221" s="13"/>
      <c r="C221" s="14" t="s">
        <v>265</v>
      </c>
      <c r="D221" s="14" t="s">
        <v>513</v>
      </c>
      <c r="E221" s="14"/>
      <c r="F221" s="14"/>
      <c r="G221" s="14" t="s">
        <v>1152</v>
      </c>
      <c r="H221" s="14" t="s">
        <v>591</v>
      </c>
      <c r="I221" s="14" t="s">
        <v>771</v>
      </c>
      <c r="J221" s="14" t="s">
        <v>1094</v>
      </c>
      <c r="K221" s="14" t="s">
        <v>1095</v>
      </c>
      <c r="L221" s="15">
        <v>0.01</v>
      </c>
      <c r="M221" s="15">
        <v>0.02</v>
      </c>
      <c r="N221" s="15" t="str">
        <f t="shared" si="7"/>
        <v>1.0%-2.0%</v>
      </c>
      <c r="O221" s="13" t="s">
        <v>1153</v>
      </c>
      <c r="P221" s="13" t="s">
        <v>30</v>
      </c>
      <c r="Q221" s="16" t="s">
        <v>127</v>
      </c>
      <c r="R221" s="16" t="s">
        <v>1154</v>
      </c>
    </row>
    <row r="222" spans="1:18" ht="102" customHeight="1" x14ac:dyDescent="0.35">
      <c r="A222" t="str">
        <f t="shared" si="6"/>
        <v>ITDatacenter &amp; NetworkAssess market prices, re-negotiate terms, and/or initiate an RFP.</v>
      </c>
      <c r="B222" s="13"/>
      <c r="C222" s="14" t="s">
        <v>265</v>
      </c>
      <c r="D222" s="14" t="s">
        <v>996</v>
      </c>
      <c r="E222" s="14"/>
      <c r="F222" s="14"/>
      <c r="G222" s="14" t="s">
        <v>1152</v>
      </c>
      <c r="H222" s="14" t="s">
        <v>591</v>
      </c>
      <c r="I222" s="14" t="s">
        <v>771</v>
      </c>
      <c r="J222" s="14" t="s">
        <v>1094</v>
      </c>
      <c r="K222" s="14" t="s">
        <v>1095</v>
      </c>
      <c r="L222" s="15">
        <v>0.01</v>
      </c>
      <c r="M222" s="15">
        <v>0.02</v>
      </c>
      <c r="N222" s="15" t="str">
        <f t="shared" si="7"/>
        <v>1.0%-2.0%</v>
      </c>
      <c r="O222" s="13" t="s">
        <v>1155</v>
      </c>
      <c r="P222" s="13" t="s">
        <v>30</v>
      </c>
      <c r="Q222" s="16" t="s">
        <v>165</v>
      </c>
      <c r="R222" s="16" t="s">
        <v>1156</v>
      </c>
    </row>
    <row r="223" spans="1:18" ht="102" customHeight="1" x14ac:dyDescent="0.35">
      <c r="A223" t="str">
        <f t="shared" si="6"/>
        <v>ITSoftware licensesBenchmark prices, renegotiate, and/or conduct RFP, ensuring separation of SW &amp; HW costs.</v>
      </c>
      <c r="B223" s="13"/>
      <c r="C223" s="14" t="s">
        <v>265</v>
      </c>
      <c r="D223" s="14" t="s">
        <v>568</v>
      </c>
      <c r="E223" s="14"/>
      <c r="F223" s="14"/>
      <c r="G223" s="14" t="s">
        <v>1157</v>
      </c>
      <c r="H223" s="14" t="s">
        <v>591</v>
      </c>
      <c r="I223" s="14" t="s">
        <v>771</v>
      </c>
      <c r="J223" s="14" t="s">
        <v>1094</v>
      </c>
      <c r="K223" s="14" t="s">
        <v>1095</v>
      </c>
      <c r="L223" s="15">
        <v>1.4999999999999999E-2</v>
      </c>
      <c r="M223" s="15">
        <v>0.03</v>
      </c>
      <c r="N223" s="15" t="str">
        <f t="shared" si="7"/>
        <v>1.5%-3.0%</v>
      </c>
      <c r="O223" s="13" t="s">
        <v>1158</v>
      </c>
      <c r="P223" s="13" t="s">
        <v>30</v>
      </c>
      <c r="Q223" s="16" t="s">
        <v>165</v>
      </c>
      <c r="R223" s="16" t="s">
        <v>1159</v>
      </c>
    </row>
    <row r="224" spans="1:18" ht="102" customHeight="1" x14ac:dyDescent="0.35">
      <c r="A224" t="str">
        <f t="shared" si="6"/>
        <v>LogisticsCEP LogisticsRegularly tender CEP spend to optimize costs and service levels.</v>
      </c>
      <c r="B224" s="13"/>
      <c r="C224" s="14" t="s">
        <v>119</v>
      </c>
      <c r="D224" s="14" t="s">
        <v>120</v>
      </c>
      <c r="E224" s="14"/>
      <c r="F224" s="14"/>
      <c r="G224" s="14" t="s">
        <v>1160</v>
      </c>
      <c r="H224" s="14" t="s">
        <v>591</v>
      </c>
      <c r="I224" s="14" t="s">
        <v>1108</v>
      </c>
      <c r="J224" s="14" t="s">
        <v>1094</v>
      </c>
      <c r="K224" s="14" t="s">
        <v>1095</v>
      </c>
      <c r="L224" s="15">
        <v>5.0000000000000001E-3</v>
      </c>
      <c r="M224" s="15">
        <v>0.01</v>
      </c>
      <c r="N224" s="15" t="str">
        <f t="shared" si="7"/>
        <v>0.5%-1.0%</v>
      </c>
      <c r="O224" s="13" t="s">
        <v>1161</v>
      </c>
      <c r="P224" s="13" t="s">
        <v>30</v>
      </c>
      <c r="Q224" s="16" t="s">
        <v>165</v>
      </c>
      <c r="R224" s="16" t="s">
        <v>1162</v>
      </c>
    </row>
    <row r="225" spans="1:18" ht="102" customHeight="1" x14ac:dyDescent="0.35">
      <c r="A225" t="str">
        <f t="shared" si="6"/>
        <v>LogisticsRoad LogisticsIncumbent rates often include transportation and various surcharges with added margins and security buffers. Unbundling these rates ensures payment only for actual costs.</v>
      </c>
      <c r="B225" s="13"/>
      <c r="C225" s="14" t="s">
        <v>119</v>
      </c>
      <c r="D225" s="14" t="s">
        <v>295</v>
      </c>
      <c r="E225" s="14"/>
      <c r="F225" s="14"/>
      <c r="G225" s="14" t="s">
        <v>1163</v>
      </c>
      <c r="H225" s="14" t="s">
        <v>591</v>
      </c>
      <c r="I225" s="14" t="s">
        <v>1108</v>
      </c>
      <c r="J225" s="14" t="s">
        <v>1094</v>
      </c>
      <c r="K225" s="14" t="s">
        <v>1095</v>
      </c>
      <c r="L225" s="15">
        <v>5.0000000000000001E-3</v>
      </c>
      <c r="M225" s="15">
        <v>0.01</v>
      </c>
      <c r="N225" s="15" t="str">
        <f t="shared" si="7"/>
        <v>0.5%-1.0%</v>
      </c>
      <c r="O225" s="13" t="s">
        <v>1164</v>
      </c>
      <c r="P225" s="13" t="s">
        <v>83</v>
      </c>
      <c r="Q225" s="16" t="s">
        <v>84</v>
      </c>
      <c r="R225" s="16" t="s">
        <v>1165</v>
      </c>
    </row>
    <row r="226" spans="1:18" ht="102" customHeight="1" x14ac:dyDescent="0.35">
      <c r="A226" t="str">
        <f t="shared" si="6"/>
        <v>LogisticsLOG OceanMarket-based tendering for competitive pricing and cost optimization.</v>
      </c>
      <c r="B226" s="13"/>
      <c r="C226" s="14" t="s">
        <v>119</v>
      </c>
      <c r="D226" s="14" t="s">
        <v>287</v>
      </c>
      <c r="E226" s="14"/>
      <c r="F226" s="14"/>
      <c r="G226" s="14" t="s">
        <v>1163</v>
      </c>
      <c r="H226" s="14" t="s">
        <v>591</v>
      </c>
      <c r="I226" s="14" t="s">
        <v>1108</v>
      </c>
      <c r="J226" s="14" t="s">
        <v>1094</v>
      </c>
      <c r="K226" s="14" t="s">
        <v>1095</v>
      </c>
      <c r="L226" s="15">
        <v>5.0000000000000001E-3</v>
      </c>
      <c r="M226" s="15">
        <v>0.01</v>
      </c>
      <c r="N226" s="15" t="str">
        <f t="shared" si="7"/>
        <v>0.5%-1.0%</v>
      </c>
      <c r="O226" s="13" t="s">
        <v>1166</v>
      </c>
      <c r="P226" s="13" t="s">
        <v>30</v>
      </c>
      <c r="Q226" s="16" t="s">
        <v>165</v>
      </c>
      <c r="R226" s="16" t="s">
        <v>1167</v>
      </c>
    </row>
    <row r="227" spans="1:18" ht="102" customHeight="1" x14ac:dyDescent="0.35">
      <c r="A227" t="str">
        <f t="shared" si="6"/>
        <v>ITServer &amp; StorageThe share of the largest supplier shows consolidation potential. The goal is to work with a few large providers covering all required categories and services, leveraging their partner networks.</v>
      </c>
      <c r="B227" s="13"/>
      <c r="C227" s="14" t="s">
        <v>265</v>
      </c>
      <c r="D227" s="14" t="s">
        <v>783</v>
      </c>
      <c r="E227" s="14"/>
      <c r="F227" s="14"/>
      <c r="G227" s="14" t="s">
        <v>1168</v>
      </c>
      <c r="H227" s="14" t="s">
        <v>591</v>
      </c>
      <c r="I227" s="14" t="s">
        <v>771</v>
      </c>
      <c r="J227" s="14" t="s">
        <v>1094</v>
      </c>
      <c r="K227" s="14" t="s">
        <v>1095</v>
      </c>
      <c r="L227" s="15">
        <v>0.01</v>
      </c>
      <c r="M227" s="15">
        <v>0.02</v>
      </c>
      <c r="N227" s="15" t="str">
        <f t="shared" si="7"/>
        <v>1.0%-2.0%</v>
      </c>
      <c r="O227" s="13" t="s">
        <v>1169</v>
      </c>
      <c r="P227" s="13" t="s">
        <v>30</v>
      </c>
      <c r="Q227" s="16" t="s">
        <v>31</v>
      </c>
      <c r="R227" s="16" t="s">
        <v>980</v>
      </c>
    </row>
    <row r="228" spans="1:18" ht="102" customHeight="1" x14ac:dyDescent="0.35">
      <c r="A228" t="str">
        <f t="shared" si="6"/>
        <v>ITSoftware licensesOptimize license management by replacing non-critical applications with freeware, right-sizing licenses through a central system, and introducing a transparent software catalogue for self-ordering.</v>
      </c>
      <c r="B228" s="13"/>
      <c r="C228" s="14" t="s">
        <v>265</v>
      </c>
      <c r="D228" s="14" t="s">
        <v>568</v>
      </c>
      <c r="E228" s="14"/>
      <c r="F228" s="14"/>
      <c r="G228" s="14" t="s">
        <v>1170</v>
      </c>
      <c r="H228" s="14" t="s">
        <v>591</v>
      </c>
      <c r="I228" s="14" t="s">
        <v>771</v>
      </c>
      <c r="J228" s="14" t="s">
        <v>1094</v>
      </c>
      <c r="K228" s="14" t="s">
        <v>1095</v>
      </c>
      <c r="L228" s="15">
        <v>2.5000000000000001E-2</v>
      </c>
      <c r="M228" s="15">
        <v>0.05</v>
      </c>
      <c r="N228" s="15" t="str">
        <f t="shared" si="7"/>
        <v>2.5%-5.0%</v>
      </c>
      <c r="O228" s="13" t="s">
        <v>1171</v>
      </c>
      <c r="P228" s="13" t="s">
        <v>61</v>
      </c>
      <c r="Q228" s="16" t="s">
        <v>69</v>
      </c>
      <c r="R228" s="16" t="s">
        <v>1172</v>
      </c>
    </row>
    <row r="229" spans="1:18" ht="102" customHeight="1" x14ac:dyDescent="0.35">
      <c r="A229" t="str">
        <f t="shared" si="6"/>
        <v>TravelPolicyRegularly updating the travel policy keeps it relevant, helping to manage costs effectively.</v>
      </c>
      <c r="B229" s="13"/>
      <c r="C229" s="14" t="s">
        <v>33</v>
      </c>
      <c r="D229" s="14" t="s">
        <v>104</v>
      </c>
      <c r="E229" s="14"/>
      <c r="F229" s="14"/>
      <c r="G229" s="14" t="s">
        <v>1173</v>
      </c>
      <c r="H229" s="14" t="s">
        <v>1174</v>
      </c>
      <c r="I229" s="14" t="s">
        <v>1175</v>
      </c>
      <c r="J229" s="14" t="s">
        <v>1176</v>
      </c>
      <c r="K229" s="14" t="s">
        <v>1177</v>
      </c>
      <c r="L229" s="15">
        <v>0.01</v>
      </c>
      <c r="M229" s="15">
        <v>0.02</v>
      </c>
      <c r="N229" s="15" t="str">
        <f t="shared" si="7"/>
        <v>1.0%-2.0%</v>
      </c>
      <c r="O229" s="13" t="s">
        <v>1178</v>
      </c>
      <c r="P229" s="13" t="s">
        <v>83</v>
      </c>
      <c r="Q229" s="16" t="s">
        <v>84</v>
      </c>
      <c r="R229" s="16" t="s">
        <v>1179</v>
      </c>
    </row>
    <row r="230" spans="1:18" ht="102" customHeight="1" x14ac:dyDescent="0.35">
      <c r="A230" t="str">
        <f t="shared" si="6"/>
        <v>ITSoftware development and maintenanceBenchmark daily rates and provide a standard for evaluating daily compensation across various roles and industries.</v>
      </c>
      <c r="B230" s="13"/>
      <c r="C230" s="14" t="s">
        <v>265</v>
      </c>
      <c r="D230" s="14" t="s">
        <v>266</v>
      </c>
      <c r="E230" s="14"/>
      <c r="F230" s="14"/>
      <c r="G230" s="14" t="s">
        <v>1180</v>
      </c>
      <c r="H230" s="14" t="s">
        <v>591</v>
      </c>
      <c r="I230" s="14" t="s">
        <v>771</v>
      </c>
      <c r="J230" s="14" t="s">
        <v>1094</v>
      </c>
      <c r="K230" s="14" t="s">
        <v>1095</v>
      </c>
      <c r="L230" s="15">
        <v>0.01</v>
      </c>
      <c r="M230" s="15">
        <v>0.02</v>
      </c>
      <c r="N230" s="15" t="str">
        <f t="shared" si="7"/>
        <v>1.0%-2.0%</v>
      </c>
      <c r="O230" s="13" t="s">
        <v>1181</v>
      </c>
      <c r="P230" s="13" t="s">
        <v>30</v>
      </c>
      <c r="Q230" s="16" t="s">
        <v>127</v>
      </c>
      <c r="R230" s="16" t="s">
        <v>1182</v>
      </c>
    </row>
    <row r="231" spans="1:18" ht="102" customHeight="1" x14ac:dyDescent="0.35">
      <c r="A231" t="str">
        <f t="shared" si="6"/>
        <v>Office SuppliesNAConduct an RFP on a regular basis (every 2-3 years) therefore create a core assortment of the 300 most frequently used items, specifying quantities, and auction it with at least 5-10 participants. Compare offers to a provided basket (quantity * price) and negotiate as a package. Focus on the tendered products, allowing extra items only if they serve different functions.</v>
      </c>
      <c r="B231" s="13"/>
      <c r="C231" s="14" t="s">
        <v>22</v>
      </c>
      <c r="D231" s="14" t="s">
        <v>23</v>
      </c>
      <c r="E231" s="14"/>
      <c r="F231" s="14"/>
      <c r="G231" s="14" t="s">
        <v>1183</v>
      </c>
      <c r="H231" s="14" t="s">
        <v>591</v>
      </c>
      <c r="I231" s="14" t="s">
        <v>1108</v>
      </c>
      <c r="J231" s="14" t="s">
        <v>1094</v>
      </c>
      <c r="K231" s="14" t="s">
        <v>1095</v>
      </c>
      <c r="L231" s="15">
        <v>0.01</v>
      </c>
      <c r="M231" s="15">
        <v>0.02</v>
      </c>
      <c r="N231" s="15" t="str">
        <f t="shared" si="7"/>
        <v>1.0%-2.0%</v>
      </c>
      <c r="O231" s="13" t="s">
        <v>1184</v>
      </c>
      <c r="P231" s="13" t="s">
        <v>30</v>
      </c>
      <c r="Q231" s="16" t="s">
        <v>1062</v>
      </c>
      <c r="R231" s="16" t="s">
        <v>1185</v>
      </c>
    </row>
    <row r="232" spans="1:18" ht="102" customHeight="1" x14ac:dyDescent="0.35">
      <c r="A232" t="str">
        <f t="shared" si="6"/>
        <v>MarketingDigital AgenciesRun audits of agency platforms operations (SEO, SEA, programmatic, social)</v>
      </c>
      <c r="B232" s="13"/>
      <c r="C232" s="14" t="s">
        <v>322</v>
      </c>
      <c r="D232" s="14" t="s">
        <v>808</v>
      </c>
      <c r="E232" s="14"/>
      <c r="F232" s="14"/>
      <c r="G232" s="14" t="s">
        <v>1186</v>
      </c>
      <c r="H232" s="14" t="s">
        <v>1110</v>
      </c>
      <c r="I232" s="14" t="s">
        <v>1187</v>
      </c>
      <c r="J232" s="14" t="s">
        <v>1188</v>
      </c>
      <c r="K232" s="14" t="s">
        <v>1189</v>
      </c>
      <c r="L232" s="15">
        <v>1.4999999999999999E-2</v>
      </c>
      <c r="M232" s="15">
        <v>0.03</v>
      </c>
      <c r="N232" s="15" t="str">
        <f t="shared" si="7"/>
        <v>1.5%-3.0%</v>
      </c>
      <c r="O232" s="13" t="s">
        <v>1190</v>
      </c>
      <c r="P232" s="13" t="s">
        <v>83</v>
      </c>
      <c r="Q232" s="16" t="s">
        <v>84</v>
      </c>
      <c r="R232" s="16" t="s">
        <v>1191</v>
      </c>
    </row>
    <row r="233" spans="1:18" ht="102" customHeight="1" x14ac:dyDescent="0.35">
      <c r="A233" t="str">
        <f t="shared" si="6"/>
        <v>ITSoftware development and maintenanceOptimize costs by increasing off-shore software development &amp; maintenance; while the focus will be on cost benefits, it will be essential to ensure quality of service</v>
      </c>
      <c r="B233" s="13"/>
      <c r="C233" s="14" t="s">
        <v>265</v>
      </c>
      <c r="D233" s="14" t="s">
        <v>266</v>
      </c>
      <c r="E233" s="14"/>
      <c r="F233" s="14"/>
      <c r="G233" s="14" t="s">
        <v>1192</v>
      </c>
      <c r="H233" s="14" t="s">
        <v>436</v>
      </c>
      <c r="I233" s="14" t="s">
        <v>437</v>
      </c>
      <c r="J233" s="14" t="s">
        <v>438</v>
      </c>
      <c r="K233" s="14" t="s">
        <v>439</v>
      </c>
      <c r="L233" s="15">
        <v>5.0000000000000001E-3</v>
      </c>
      <c r="M233" s="15">
        <v>0.01</v>
      </c>
      <c r="N233" s="15" t="str">
        <f t="shared" si="7"/>
        <v>0.5%-1.0%</v>
      </c>
      <c r="O233" s="13" t="s">
        <v>1193</v>
      </c>
      <c r="P233" s="13" t="s">
        <v>50</v>
      </c>
      <c r="Q233" s="16" t="s">
        <v>852</v>
      </c>
      <c r="R233" s="16" t="s">
        <v>1194</v>
      </c>
    </row>
    <row r="234" spans="1:18" ht="102" customHeight="1" x14ac:dyDescent="0.35">
      <c r="A234" t="str">
        <f t="shared" si="6"/>
        <v>Temp LabourNAGame-theory based activities like digital supplier days or auctions are held, inviting current and new suppliers to bid and negotiate.</v>
      </c>
      <c r="B234" s="13"/>
      <c r="C234" s="14" t="s">
        <v>189</v>
      </c>
      <c r="D234" s="14" t="s">
        <v>23</v>
      </c>
      <c r="E234" s="14"/>
      <c r="F234" s="14"/>
      <c r="G234" s="14" t="s">
        <v>1195</v>
      </c>
      <c r="H234" s="14" t="s">
        <v>1196</v>
      </c>
      <c r="I234" s="14" t="s">
        <v>1197</v>
      </c>
      <c r="J234" s="14" t="s">
        <v>1198</v>
      </c>
      <c r="K234" s="14" t="s">
        <v>1199</v>
      </c>
      <c r="L234" s="15">
        <v>5.0000000000000001E-3</v>
      </c>
      <c r="M234" s="15">
        <v>0.01</v>
      </c>
      <c r="N234" s="15" t="str">
        <f t="shared" si="7"/>
        <v>0.5%-1.0%</v>
      </c>
      <c r="O234" s="13" t="s">
        <v>1200</v>
      </c>
      <c r="P234" s="13" t="s">
        <v>30</v>
      </c>
      <c r="Q234" s="16" t="s">
        <v>165</v>
      </c>
      <c r="R234" s="16" t="s">
        <v>1201</v>
      </c>
    </row>
    <row r="235" spans="1:18" ht="102" customHeight="1" x14ac:dyDescent="0.35">
      <c r="A235" t="str">
        <f t="shared" si="6"/>
        <v>LogisticsCEP LogisticsExploit market imbalances by engaging with multiple global CEP players.</v>
      </c>
      <c r="B235" s="13"/>
      <c r="C235" s="14" t="s">
        <v>119</v>
      </c>
      <c r="D235" s="14" t="s">
        <v>120</v>
      </c>
      <c r="E235" s="14"/>
      <c r="F235" s="14"/>
      <c r="G235" s="14" t="s">
        <v>1202</v>
      </c>
      <c r="H235" s="14" t="s">
        <v>1203</v>
      </c>
      <c r="I235" s="14" t="s">
        <v>1204</v>
      </c>
      <c r="J235" s="14" t="s">
        <v>1205</v>
      </c>
      <c r="K235" s="14" t="s">
        <v>1206</v>
      </c>
      <c r="L235" s="15">
        <v>2.5000000000000001E-3</v>
      </c>
      <c r="M235" s="15">
        <v>5.0000000000000001E-3</v>
      </c>
      <c r="N235" s="15" t="str">
        <f t="shared" si="7"/>
        <v>0.3%-0.5%</v>
      </c>
      <c r="O235" s="13" t="s">
        <v>1207</v>
      </c>
      <c r="P235" s="13" t="s">
        <v>30</v>
      </c>
      <c r="Q235" s="16" t="s">
        <v>165</v>
      </c>
      <c r="R235" s="16" t="s">
        <v>1208</v>
      </c>
    </row>
  </sheetData>
  <mergeCells count="4">
    <mergeCell ref="G2:H3"/>
    <mergeCell ref="C7:D7"/>
    <mergeCell ref="H7:K7"/>
    <mergeCell ref="O7:R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4"/>
  <sheetViews>
    <sheetView showGridLines="0" zoomScale="60" zoomScaleNormal="60" workbookViewId="0">
      <pane xSplit="9" ySplit="2" topLeftCell="J3" activePane="bottomRight" state="frozen"/>
      <selection pane="topRight" activeCell="I1" sqref="I1"/>
      <selection pane="bottomLeft" activeCell="A3" sqref="A3"/>
      <selection pane="bottomRight" activeCell="J2" sqref="J1:Q1048576"/>
    </sheetView>
  </sheetViews>
  <sheetFormatPr defaultColWidth="8.7265625" defaultRowHeight="58" customHeight="1" x14ac:dyDescent="0.35"/>
  <cols>
    <col min="1" max="1" width="11.81640625" style="18" customWidth="1"/>
    <col min="2" max="3" width="13.81640625" style="18" customWidth="1"/>
    <col min="4" max="4" width="42.1796875" style="18" customWidth="1"/>
    <col min="5" max="5" width="39.1796875" style="26" customWidth="1"/>
    <col min="6" max="6" width="19.54296875" style="18" customWidth="1"/>
    <col min="7" max="7" width="18.54296875" style="18" customWidth="1"/>
    <col min="8" max="8" width="17" style="18" hidden="1" customWidth="1"/>
    <col min="9" max="9" width="1.1796875" style="25" customWidth="1"/>
    <col min="10" max="17" width="27.54296875" style="28" customWidth="1"/>
    <col min="18" max="16384" width="8.7265625" style="26"/>
  </cols>
  <sheetData>
    <row r="1" spans="1:19" s="18" customFormat="1" ht="29.15" customHeight="1" x14ac:dyDescent="0.35">
      <c r="E1" s="26"/>
      <c r="I1" s="25"/>
      <c r="J1" s="219" t="s">
        <v>1209</v>
      </c>
      <c r="K1" s="219"/>
      <c r="L1" s="219"/>
      <c r="M1" s="219"/>
      <c r="N1" s="219"/>
      <c r="O1" s="219"/>
      <c r="P1" s="219"/>
      <c r="Q1" s="219"/>
    </row>
    <row r="2" spans="1:19" s="18" customFormat="1" ht="44.15" customHeight="1" x14ac:dyDescent="0.35">
      <c r="A2" s="19" t="s">
        <v>7</v>
      </c>
      <c r="B2" s="19" t="s">
        <v>8</v>
      </c>
      <c r="C2" s="19" t="s">
        <v>1210</v>
      </c>
      <c r="D2" s="19" t="s">
        <v>1211</v>
      </c>
      <c r="E2" s="19" t="s">
        <v>1212</v>
      </c>
      <c r="F2" s="20" t="s">
        <v>1213</v>
      </c>
      <c r="G2" s="20" t="s">
        <v>20</v>
      </c>
      <c r="H2" s="20" t="s">
        <v>19</v>
      </c>
      <c r="I2" s="25"/>
      <c r="J2" s="24" t="s">
        <v>1214</v>
      </c>
      <c r="K2" s="24" t="s">
        <v>1215</v>
      </c>
      <c r="L2" s="24" t="s">
        <v>1216</v>
      </c>
      <c r="M2" s="24" t="s">
        <v>1217</v>
      </c>
      <c r="N2" s="24" t="s">
        <v>1218</v>
      </c>
      <c r="O2" s="24" t="s">
        <v>1219</v>
      </c>
      <c r="P2" s="24" t="s">
        <v>1220</v>
      </c>
      <c r="Q2" s="24" t="s">
        <v>1221</v>
      </c>
      <c r="R2" s="18" t="s">
        <v>1222</v>
      </c>
      <c r="S2" s="18" t="s">
        <v>1223</v>
      </c>
    </row>
    <row r="3" spans="1:19" ht="116" x14ac:dyDescent="0.35">
      <c r="A3" s="21" t="s">
        <v>1224</v>
      </c>
      <c r="B3" s="21" t="s">
        <v>1225</v>
      </c>
      <c r="C3" s="21"/>
      <c r="D3" s="21" t="s">
        <v>1226</v>
      </c>
      <c r="E3" s="21" t="s">
        <v>1227</v>
      </c>
      <c r="F3" s="22"/>
      <c r="G3" s="23" t="s">
        <v>1228</v>
      </c>
      <c r="H3" s="23" t="s">
        <v>1229</v>
      </c>
      <c r="J3" s="27" t="s">
        <v>1230</v>
      </c>
      <c r="K3" s="27"/>
      <c r="L3" s="27" t="s">
        <v>1231</v>
      </c>
      <c r="M3" s="27"/>
      <c r="N3" s="27"/>
      <c r="O3" s="27"/>
      <c r="P3" s="27"/>
      <c r="Q3" s="27"/>
    </row>
    <row r="4" spans="1:19" ht="75.650000000000006" customHeight="1" x14ac:dyDescent="0.35">
      <c r="A4" s="21" t="s">
        <v>1224</v>
      </c>
      <c r="B4" s="21" t="s">
        <v>1225</v>
      </c>
      <c r="C4" s="21"/>
      <c r="D4" s="21" t="s">
        <v>1232</v>
      </c>
      <c r="E4" s="21" t="s">
        <v>1233</v>
      </c>
      <c r="F4" s="22"/>
      <c r="G4" s="23" t="s">
        <v>1228</v>
      </c>
      <c r="H4" s="23" t="s">
        <v>1229</v>
      </c>
      <c r="J4" s="27"/>
      <c r="K4" s="27"/>
      <c r="L4" s="27"/>
      <c r="M4" s="27"/>
      <c r="N4" s="27"/>
      <c r="O4" s="27"/>
      <c r="P4" s="27"/>
      <c r="Q4" s="27"/>
    </row>
    <row r="5" spans="1:19" ht="145" x14ac:dyDescent="0.35">
      <c r="A5" s="21" t="s">
        <v>1224</v>
      </c>
      <c r="B5" s="21" t="s">
        <v>1225</v>
      </c>
      <c r="C5" s="21"/>
      <c r="D5" s="21" t="s">
        <v>1234</v>
      </c>
      <c r="E5" s="21" t="s">
        <v>1233</v>
      </c>
      <c r="F5" s="22"/>
      <c r="G5" s="23" t="s">
        <v>1228</v>
      </c>
      <c r="H5" s="23" t="s">
        <v>1229</v>
      </c>
      <c r="J5" s="27"/>
      <c r="K5" s="27"/>
      <c r="L5" s="27"/>
      <c r="M5" s="27"/>
      <c r="N5" s="27" t="s">
        <v>1235</v>
      </c>
      <c r="O5" s="27"/>
      <c r="P5" s="27"/>
      <c r="Q5" s="27" t="s">
        <v>1236</v>
      </c>
    </row>
    <row r="6" spans="1:19" ht="75.650000000000006" customHeight="1" x14ac:dyDescent="0.35">
      <c r="A6" s="21" t="s">
        <v>1224</v>
      </c>
      <c r="B6" s="21" t="s">
        <v>1225</v>
      </c>
      <c r="C6" s="21"/>
      <c r="D6" s="21" t="s">
        <v>1237</v>
      </c>
      <c r="E6" s="21" t="s">
        <v>1238</v>
      </c>
      <c r="F6" s="22"/>
      <c r="G6" s="23" t="s">
        <v>1239</v>
      </c>
      <c r="H6" s="23" t="s">
        <v>1240</v>
      </c>
      <c r="J6" s="27"/>
      <c r="K6" s="27"/>
      <c r="L6" s="27"/>
      <c r="M6" s="27"/>
      <c r="N6" s="27"/>
      <c r="O6" s="27"/>
      <c r="P6" s="27"/>
      <c r="Q6" s="27"/>
    </row>
    <row r="7" spans="1:19" ht="75.650000000000006" customHeight="1" x14ac:dyDescent="0.35">
      <c r="A7" s="21" t="s">
        <v>1224</v>
      </c>
      <c r="B7" s="21" t="s">
        <v>1225</v>
      </c>
      <c r="C7" s="21"/>
      <c r="D7" s="21" t="s">
        <v>1241</v>
      </c>
      <c r="E7" s="21" t="s">
        <v>1242</v>
      </c>
      <c r="F7" s="22"/>
      <c r="G7" s="23" t="s">
        <v>1239</v>
      </c>
      <c r="H7" s="23" t="s">
        <v>1243</v>
      </c>
      <c r="J7" s="27"/>
      <c r="K7" s="27"/>
      <c r="L7" s="27"/>
      <c r="M7" s="27"/>
      <c r="N7" s="27"/>
      <c r="O7" s="27"/>
      <c r="P7" s="27"/>
      <c r="Q7" s="27"/>
    </row>
    <row r="8" spans="1:19" ht="116" x14ac:dyDescent="0.35">
      <c r="A8" s="21" t="s">
        <v>1244</v>
      </c>
      <c r="B8" s="21" t="s">
        <v>1244</v>
      </c>
      <c r="C8" s="21"/>
      <c r="D8" s="21" t="s">
        <v>1245</v>
      </c>
      <c r="E8" s="21" t="s">
        <v>1246</v>
      </c>
      <c r="F8" s="22"/>
      <c r="G8" s="23" t="s">
        <v>1247</v>
      </c>
      <c r="H8" s="23" t="s">
        <v>1248</v>
      </c>
      <c r="J8" s="27"/>
      <c r="K8" s="27"/>
      <c r="L8" s="27"/>
      <c r="M8" s="27"/>
      <c r="N8" s="27"/>
      <c r="O8" s="27"/>
      <c r="P8" s="27"/>
      <c r="Q8" s="27" t="s">
        <v>1249</v>
      </c>
    </row>
    <row r="9" spans="1:19" ht="75.650000000000006" customHeight="1" x14ac:dyDescent="0.35">
      <c r="A9" s="21" t="s">
        <v>1224</v>
      </c>
      <c r="B9" s="21" t="s">
        <v>1225</v>
      </c>
      <c r="C9" s="21"/>
      <c r="D9" s="21" t="s">
        <v>1250</v>
      </c>
      <c r="E9" s="21" t="s">
        <v>1251</v>
      </c>
      <c r="F9" s="22"/>
      <c r="G9" s="23" t="s">
        <v>1252</v>
      </c>
      <c r="H9" s="23" t="s">
        <v>1243</v>
      </c>
      <c r="J9" s="27"/>
      <c r="K9" s="27"/>
      <c r="L9" s="27"/>
      <c r="M9" s="27"/>
      <c r="N9" s="27"/>
      <c r="O9" s="27"/>
      <c r="P9" s="27" t="s">
        <v>1253</v>
      </c>
      <c r="Q9" s="27"/>
    </row>
    <row r="10" spans="1:19" ht="75.650000000000006" customHeight="1" x14ac:dyDescent="0.35">
      <c r="A10" s="21" t="s">
        <v>1224</v>
      </c>
      <c r="B10" s="21" t="s">
        <v>1225</v>
      </c>
      <c r="C10" s="21"/>
      <c r="D10" s="21" t="s">
        <v>1254</v>
      </c>
      <c r="E10" s="21" t="s">
        <v>1255</v>
      </c>
      <c r="F10" s="22"/>
      <c r="G10" s="23" t="s">
        <v>1252</v>
      </c>
      <c r="H10" s="23" t="s">
        <v>1243</v>
      </c>
      <c r="J10" s="27"/>
      <c r="K10" s="27"/>
      <c r="L10" s="27"/>
      <c r="M10" s="27"/>
      <c r="N10" s="27"/>
      <c r="O10" s="27"/>
      <c r="P10" s="27"/>
      <c r="Q10" s="27"/>
    </row>
    <row r="11" spans="1:19" ht="116" x14ac:dyDescent="0.35">
      <c r="A11" s="21" t="s">
        <v>1224</v>
      </c>
      <c r="B11" s="21" t="s">
        <v>1225</v>
      </c>
      <c r="C11" s="21"/>
      <c r="D11" s="21" t="s">
        <v>1256</v>
      </c>
      <c r="E11" s="21" t="s">
        <v>1257</v>
      </c>
      <c r="F11" s="22"/>
      <c r="G11" s="23" t="s">
        <v>1228</v>
      </c>
      <c r="H11" s="23" t="s">
        <v>1243</v>
      </c>
      <c r="J11" s="27" t="s">
        <v>1230</v>
      </c>
      <c r="K11" s="27"/>
      <c r="L11" s="27"/>
      <c r="M11" s="27"/>
      <c r="N11" s="27"/>
      <c r="O11" s="27"/>
      <c r="P11" s="27"/>
      <c r="Q11" s="27"/>
    </row>
    <row r="12" spans="1:19" ht="75.650000000000006" customHeight="1" x14ac:dyDescent="0.35">
      <c r="A12" s="21" t="s">
        <v>1224</v>
      </c>
      <c r="B12" s="21" t="s">
        <v>1225</v>
      </c>
      <c r="C12" s="21"/>
      <c r="D12" s="21" t="s">
        <v>1258</v>
      </c>
      <c r="E12" s="21" t="s">
        <v>1259</v>
      </c>
      <c r="F12" s="22"/>
      <c r="G12" s="23" t="s">
        <v>1260</v>
      </c>
      <c r="H12" s="23" t="s">
        <v>1229</v>
      </c>
      <c r="J12" s="27"/>
      <c r="K12" s="27"/>
      <c r="L12" s="27"/>
      <c r="M12" s="27"/>
      <c r="N12" s="27"/>
      <c r="O12" s="27"/>
      <c r="P12" s="27"/>
      <c r="Q12" s="27"/>
    </row>
    <row r="13" spans="1:19" ht="75.650000000000006" customHeight="1" x14ac:dyDescent="0.35">
      <c r="A13" s="21" t="s">
        <v>1244</v>
      </c>
      <c r="B13" s="21" t="s">
        <v>1244</v>
      </c>
      <c r="C13" s="21"/>
      <c r="D13" s="21" t="s">
        <v>1261</v>
      </c>
      <c r="E13" s="21" t="s">
        <v>1262</v>
      </c>
      <c r="F13" s="22"/>
      <c r="G13" s="23" t="s">
        <v>1263</v>
      </c>
      <c r="H13" s="23" t="s">
        <v>1248</v>
      </c>
      <c r="J13" s="27"/>
      <c r="K13" s="27"/>
      <c r="L13" s="27"/>
      <c r="M13" s="27"/>
      <c r="N13" s="27"/>
      <c r="O13" s="27"/>
      <c r="P13" s="27"/>
      <c r="Q13" s="27"/>
    </row>
    <row r="14" spans="1:19" ht="108" customHeight="1" x14ac:dyDescent="0.35">
      <c r="A14" s="21" t="s">
        <v>1244</v>
      </c>
      <c r="B14" s="21" t="s">
        <v>1244</v>
      </c>
      <c r="C14" s="21"/>
      <c r="D14" s="21" t="s">
        <v>1264</v>
      </c>
      <c r="E14" s="21" t="s">
        <v>1265</v>
      </c>
      <c r="F14" s="22"/>
      <c r="G14" s="23" t="s">
        <v>1266</v>
      </c>
      <c r="H14" s="23" t="s">
        <v>1229</v>
      </c>
      <c r="J14" s="27"/>
      <c r="K14" s="27"/>
      <c r="L14" s="27"/>
      <c r="M14" s="27"/>
      <c r="N14" s="27"/>
      <c r="O14" s="27"/>
      <c r="P14" s="27"/>
      <c r="Q14" s="27"/>
    </row>
  </sheetData>
  <sortState xmlns:xlrd2="http://schemas.microsoft.com/office/spreadsheetml/2017/richdata2" ref="A3:H14">
    <sortCondition ref="A3:A14"/>
    <sortCondition ref="B3:B14"/>
  </sortState>
  <mergeCells count="1">
    <mergeCell ref="J1:Q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0C417-C527-4E84-AE89-D6376EA2D3D9}">
  <dimension ref="A1:B35"/>
  <sheetViews>
    <sheetView workbookViewId="0">
      <selection activeCell="E23" sqref="E23"/>
    </sheetView>
  </sheetViews>
  <sheetFormatPr defaultRowHeight="14.5" x14ac:dyDescent="0.35"/>
  <cols>
    <col min="1" max="1" width="137.1796875" bestFit="1" customWidth="1"/>
    <col min="2" max="2" width="6.81640625" bestFit="1" customWidth="1"/>
  </cols>
  <sheetData>
    <row r="1" spans="1:2" x14ac:dyDescent="0.35">
      <c r="A1" s="153" t="s">
        <v>8</v>
      </c>
      <c r="B1" t="s">
        <v>1267</v>
      </c>
    </row>
    <row r="3" spans="1:2" x14ac:dyDescent="0.35">
      <c r="A3" s="153" t="s">
        <v>1268</v>
      </c>
    </row>
    <row r="4" spans="1:2" x14ac:dyDescent="0.35">
      <c r="A4" s="154" t="s">
        <v>1269</v>
      </c>
    </row>
    <row r="5" spans="1:2" x14ac:dyDescent="0.35">
      <c r="A5" s="155" t="s">
        <v>1239</v>
      </c>
    </row>
    <row r="6" spans="1:2" x14ac:dyDescent="0.35">
      <c r="A6" s="156" t="s">
        <v>1270</v>
      </c>
    </row>
    <row r="7" spans="1:2" x14ac:dyDescent="0.35">
      <c r="A7" s="156" t="s">
        <v>1271</v>
      </c>
    </row>
    <row r="8" spans="1:2" x14ac:dyDescent="0.35">
      <c r="A8" s="156" t="s">
        <v>1272</v>
      </c>
    </row>
    <row r="9" spans="1:2" x14ac:dyDescent="0.35">
      <c r="A9" s="156" t="s">
        <v>1273</v>
      </c>
    </row>
    <row r="10" spans="1:2" x14ac:dyDescent="0.35">
      <c r="A10" s="154" t="s">
        <v>1274</v>
      </c>
    </row>
    <row r="11" spans="1:2" x14ac:dyDescent="0.35">
      <c r="A11" s="155" t="s">
        <v>1275</v>
      </c>
    </row>
    <row r="12" spans="1:2" x14ac:dyDescent="0.35">
      <c r="A12" s="156" t="s">
        <v>1276</v>
      </c>
    </row>
    <row r="13" spans="1:2" x14ac:dyDescent="0.35">
      <c r="A13" s="155" t="s">
        <v>1277</v>
      </c>
    </row>
    <row r="14" spans="1:2" x14ac:dyDescent="0.35">
      <c r="A14" s="156" t="s">
        <v>1278</v>
      </c>
    </row>
    <row r="15" spans="1:2" x14ac:dyDescent="0.35">
      <c r="A15" s="155" t="s">
        <v>1239</v>
      </c>
    </row>
    <row r="16" spans="1:2" x14ac:dyDescent="0.35">
      <c r="A16" s="156" t="s">
        <v>1279</v>
      </c>
    </row>
    <row r="17" spans="1:1" x14ac:dyDescent="0.35">
      <c r="A17" s="156" t="s">
        <v>1280</v>
      </c>
    </row>
    <row r="18" spans="1:1" x14ac:dyDescent="0.35">
      <c r="A18" s="156" t="s">
        <v>1281</v>
      </c>
    </row>
    <row r="19" spans="1:1" x14ac:dyDescent="0.35">
      <c r="A19" s="156" t="s">
        <v>1282</v>
      </c>
    </row>
    <row r="20" spans="1:1" x14ac:dyDescent="0.35">
      <c r="A20" s="156" t="s">
        <v>1283</v>
      </c>
    </row>
    <row r="21" spans="1:1" x14ac:dyDescent="0.35">
      <c r="A21" s="155" t="s">
        <v>1260</v>
      </c>
    </row>
    <row r="22" spans="1:1" x14ac:dyDescent="0.35">
      <c r="A22" s="156" t="s">
        <v>1284</v>
      </c>
    </row>
    <row r="23" spans="1:1" x14ac:dyDescent="0.35">
      <c r="A23" s="156" t="s">
        <v>1285</v>
      </c>
    </row>
    <row r="24" spans="1:1" x14ac:dyDescent="0.35">
      <c r="A24" s="156" t="s">
        <v>1286</v>
      </c>
    </row>
    <row r="25" spans="1:1" x14ac:dyDescent="0.35">
      <c r="A25" s="155" t="s">
        <v>1252</v>
      </c>
    </row>
    <row r="26" spans="1:1" x14ac:dyDescent="0.35">
      <c r="A26" s="156" t="s">
        <v>1287</v>
      </c>
    </row>
    <row r="27" spans="1:1" x14ac:dyDescent="0.35">
      <c r="A27" s="155" t="s">
        <v>1288</v>
      </c>
    </row>
    <row r="28" spans="1:1" x14ac:dyDescent="0.35">
      <c r="A28" s="156" t="s">
        <v>1289</v>
      </c>
    </row>
    <row r="29" spans="1:1" x14ac:dyDescent="0.35">
      <c r="A29" s="155" t="s">
        <v>1290</v>
      </c>
    </row>
    <row r="30" spans="1:1" x14ac:dyDescent="0.35">
      <c r="A30" s="156" t="s">
        <v>1291</v>
      </c>
    </row>
    <row r="31" spans="1:1" x14ac:dyDescent="0.35">
      <c r="A31" s="155" t="s">
        <v>1228</v>
      </c>
    </row>
    <row r="32" spans="1:1" x14ac:dyDescent="0.35">
      <c r="A32" s="156" t="s">
        <v>1292</v>
      </c>
    </row>
    <row r="33" spans="1:1" x14ac:dyDescent="0.35">
      <c r="A33" s="155" t="s">
        <v>1293</v>
      </c>
    </row>
    <row r="34" spans="1:1" x14ac:dyDescent="0.35">
      <c r="A34" s="156" t="s">
        <v>1294</v>
      </c>
    </row>
    <row r="35" spans="1:1" x14ac:dyDescent="0.35">
      <c r="A35" s="154" t="s">
        <v>1295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C6F84-ECAF-497D-8D5F-BE9270BC9E54}">
  <sheetPr filterMode="1"/>
  <dimension ref="A1:U1048143"/>
  <sheetViews>
    <sheetView showGridLines="0" zoomScale="49" zoomScaleNormal="30" workbookViewId="0">
      <pane xSplit="1" ySplit="8" topLeftCell="L20" activePane="bottomRight" state="frozen"/>
      <selection pane="topRight"/>
      <selection pane="bottomLeft"/>
      <selection pane="bottomRight" activeCell="T23" sqref="T23"/>
    </sheetView>
  </sheetViews>
  <sheetFormatPr defaultRowHeight="14.5" x14ac:dyDescent="0.35"/>
  <cols>
    <col min="1" max="1" width="6.81640625" style="43" customWidth="1"/>
    <col min="2" max="2" width="11.1796875" bestFit="1" customWidth="1"/>
    <col min="3" max="3" width="11.1796875" customWidth="1"/>
    <col min="4" max="4" width="18.54296875" customWidth="1"/>
    <col min="5" max="5" width="27.54296875" customWidth="1"/>
    <col min="6" max="6" width="12.1796875" customWidth="1"/>
    <col min="7" max="7" width="32.1796875" customWidth="1"/>
    <col min="8" max="8" width="69.54296875" style="18" customWidth="1"/>
    <col min="9" max="12" width="44.26953125" customWidth="1"/>
    <col min="13" max="15" width="28.1796875" customWidth="1"/>
    <col min="16" max="16" width="82.453125" customWidth="1"/>
    <col min="17" max="19" width="18.81640625" customWidth="1"/>
    <col min="20" max="20" width="37.81640625" style="63" customWidth="1"/>
    <col min="21" max="21" width="8.7265625" hidden="1" customWidth="1"/>
  </cols>
  <sheetData>
    <row r="1" spans="1:21" ht="23.5" hidden="1" x14ac:dyDescent="0.35">
      <c r="A1" s="40"/>
      <c r="B1" s="1"/>
      <c r="C1" s="1"/>
      <c r="D1" s="1"/>
      <c r="E1" s="1"/>
      <c r="F1" s="1"/>
      <c r="G1" s="1"/>
      <c r="H1" s="1"/>
      <c r="I1" s="2"/>
      <c r="J1" s="2"/>
      <c r="K1" s="2"/>
      <c r="L1" s="2"/>
      <c r="M1" s="2"/>
      <c r="N1" s="2"/>
      <c r="O1" s="2"/>
      <c r="P1" s="2"/>
      <c r="T1"/>
    </row>
    <row r="2" spans="1:21" ht="23.5" x14ac:dyDescent="0.35">
      <c r="A2" s="41"/>
      <c r="B2" s="3"/>
      <c r="C2" s="3"/>
      <c r="D2" s="3"/>
      <c r="E2" s="3"/>
      <c r="F2" s="3"/>
      <c r="G2" s="3"/>
      <c r="H2" s="213" t="s">
        <v>1296</v>
      </c>
      <c r="I2" s="213"/>
      <c r="J2" s="2"/>
      <c r="K2" s="2"/>
      <c r="L2" s="2"/>
      <c r="M2" s="2"/>
      <c r="N2" s="2"/>
      <c r="O2" s="2"/>
      <c r="P2" s="2"/>
    </row>
    <row r="3" spans="1:21" ht="23.5" x14ac:dyDescent="0.35">
      <c r="A3" s="41"/>
      <c r="B3" s="3"/>
      <c r="C3" s="3"/>
      <c r="D3" s="3"/>
      <c r="E3" s="3"/>
      <c r="F3" s="3"/>
      <c r="G3" s="3"/>
      <c r="H3" s="213"/>
      <c r="I3" s="213"/>
      <c r="J3" s="2"/>
      <c r="K3" s="2"/>
      <c r="L3" s="2"/>
      <c r="M3" s="2"/>
      <c r="N3" s="2"/>
      <c r="O3" s="2"/>
      <c r="P3" s="2"/>
    </row>
    <row r="4" spans="1:21" ht="23.5" x14ac:dyDescent="0.35">
      <c r="A4" s="4"/>
      <c r="B4" s="4"/>
      <c r="C4" s="4"/>
      <c r="D4" s="4"/>
      <c r="E4" s="4"/>
      <c r="F4" s="4"/>
      <c r="G4" s="4"/>
      <c r="H4" s="4"/>
      <c r="I4" s="5"/>
      <c r="J4" s="5"/>
      <c r="K4" s="5"/>
      <c r="L4" s="5"/>
      <c r="M4" s="5"/>
      <c r="N4" s="5"/>
      <c r="O4" s="5"/>
      <c r="P4" s="5"/>
    </row>
    <row r="5" spans="1:21" ht="23.5" x14ac:dyDescent="0.35">
      <c r="A5" s="40"/>
      <c r="B5" s="1"/>
      <c r="C5" s="1"/>
      <c r="D5" s="1"/>
      <c r="E5" s="1"/>
      <c r="F5" s="1"/>
      <c r="G5" s="1"/>
      <c r="H5" s="1"/>
      <c r="I5" s="2"/>
      <c r="J5" s="2"/>
      <c r="K5" s="2"/>
      <c r="L5" s="2"/>
      <c r="M5" s="2"/>
      <c r="N5" s="2"/>
      <c r="O5" s="2"/>
      <c r="P5" s="2"/>
    </row>
    <row r="6" spans="1:21" ht="23.5" x14ac:dyDescent="0.35">
      <c r="A6" s="40"/>
      <c r="B6" s="1"/>
      <c r="C6" s="1"/>
      <c r="D6" s="6"/>
      <c r="E6" s="6"/>
      <c r="F6" s="6"/>
      <c r="G6" s="6"/>
      <c r="H6" s="6"/>
      <c r="I6" s="2"/>
      <c r="J6" s="2"/>
      <c r="K6" s="2"/>
      <c r="L6" s="2"/>
      <c r="M6" s="2"/>
      <c r="N6" s="2"/>
      <c r="O6" s="2"/>
      <c r="P6" s="2"/>
    </row>
    <row r="7" spans="1:21" ht="23.5" x14ac:dyDescent="0.35">
      <c r="A7" s="42"/>
      <c r="B7" s="7"/>
      <c r="C7" s="7"/>
      <c r="D7" s="214" t="s">
        <v>1</v>
      </c>
      <c r="E7" s="214"/>
      <c r="F7" s="8"/>
      <c r="G7" s="8" t="s">
        <v>2</v>
      </c>
      <c r="H7" s="8" t="s">
        <v>3</v>
      </c>
      <c r="I7" s="215" t="s">
        <v>4</v>
      </c>
      <c r="J7" s="215"/>
      <c r="K7" s="215"/>
      <c r="L7" s="215"/>
      <c r="M7" s="9"/>
      <c r="N7" s="9"/>
      <c r="O7" s="9"/>
      <c r="P7" s="216" t="s">
        <v>5</v>
      </c>
      <c r="Q7" s="217"/>
      <c r="R7" s="217"/>
      <c r="S7" s="218"/>
    </row>
    <row r="8" spans="1:21" ht="94" x14ac:dyDescent="0.35">
      <c r="A8" s="42"/>
      <c r="B8" s="10" t="s">
        <v>6</v>
      </c>
      <c r="C8" s="10" t="s">
        <v>1297</v>
      </c>
      <c r="D8" s="10" t="s">
        <v>7</v>
      </c>
      <c r="E8" s="10" t="s">
        <v>8</v>
      </c>
      <c r="F8" s="10" t="s">
        <v>9</v>
      </c>
      <c r="G8" s="10" t="s">
        <v>2</v>
      </c>
      <c r="H8" s="10" t="s">
        <v>10</v>
      </c>
      <c r="I8" s="11" t="s">
        <v>11</v>
      </c>
      <c r="J8" s="11" t="s">
        <v>12</v>
      </c>
      <c r="K8" s="11" t="s">
        <v>13</v>
      </c>
      <c r="L8" s="11" t="s">
        <v>14</v>
      </c>
      <c r="M8" s="11" t="s">
        <v>15</v>
      </c>
      <c r="N8" s="11" t="s">
        <v>16</v>
      </c>
      <c r="O8" s="11" t="s">
        <v>1298</v>
      </c>
      <c r="P8" s="10" t="s">
        <v>18</v>
      </c>
      <c r="Q8" s="12" t="s">
        <v>19</v>
      </c>
      <c r="R8" s="12" t="s">
        <v>20</v>
      </c>
      <c r="S8" s="12" t="s">
        <v>21</v>
      </c>
      <c r="T8" s="68" t="s">
        <v>1299</v>
      </c>
      <c r="U8" s="12" t="s">
        <v>1300</v>
      </c>
    </row>
    <row r="9" spans="1:21" ht="102" hidden="1" customHeight="1" x14ac:dyDescent="0.35">
      <c r="B9" s="13"/>
      <c r="C9" s="13" t="s">
        <v>1274</v>
      </c>
      <c r="D9" s="14" t="s">
        <v>1224</v>
      </c>
      <c r="E9" s="14" t="s">
        <v>1301</v>
      </c>
      <c r="F9" s="14"/>
      <c r="G9" s="14" t="s">
        <v>1274</v>
      </c>
      <c r="H9" s="115" t="s">
        <v>1284</v>
      </c>
      <c r="I9" s="14" t="s">
        <v>1302</v>
      </c>
      <c r="J9" s="14" t="s">
        <v>1303</v>
      </c>
      <c r="K9" s="14" t="s">
        <v>1304</v>
      </c>
      <c r="L9" s="14" t="s">
        <v>1305</v>
      </c>
      <c r="M9" s="15">
        <v>0.02</v>
      </c>
      <c r="N9" s="15">
        <v>0.05</v>
      </c>
      <c r="O9" s="44">
        <v>0.8</v>
      </c>
      <c r="P9" s="13" t="s">
        <v>1306</v>
      </c>
      <c r="Q9" s="13"/>
      <c r="R9" s="16" t="s">
        <v>1260</v>
      </c>
      <c r="S9" s="16"/>
      <c r="T9" s="69">
        <v>2</v>
      </c>
      <c r="U9" t="str">
        <f>VLOOKUP(H9,'2_Methodology (Value)'!$H$3:$H$1048576,1,FALSE)</f>
        <v>Are financial instruments, such as hedging or long-term contracts, used to manage risks in vegetable oil procurement?</v>
      </c>
    </row>
    <row r="10" spans="1:21" ht="94" hidden="1" x14ac:dyDescent="0.35">
      <c r="B10" s="13"/>
      <c r="C10" s="13" t="s">
        <v>1274</v>
      </c>
      <c r="D10" s="14" t="s">
        <v>1224</v>
      </c>
      <c r="E10" s="14" t="s">
        <v>1301</v>
      </c>
      <c r="F10" s="14"/>
      <c r="G10" s="14" t="s">
        <v>1274</v>
      </c>
      <c r="H10" s="115" t="s">
        <v>1285</v>
      </c>
      <c r="I10" s="14" t="s">
        <v>1307</v>
      </c>
      <c r="J10" s="14" t="s">
        <v>1308</v>
      </c>
      <c r="K10" s="14" t="s">
        <v>1309</v>
      </c>
      <c r="L10" s="14" t="s">
        <v>1310</v>
      </c>
      <c r="M10" s="15">
        <v>0.02</v>
      </c>
      <c r="N10" s="15">
        <v>0.05</v>
      </c>
      <c r="O10" s="44">
        <v>0.8</v>
      </c>
      <c r="P10" s="13" t="s">
        <v>1311</v>
      </c>
      <c r="Q10" s="13"/>
      <c r="R10" s="16" t="s">
        <v>1260</v>
      </c>
      <c r="S10" s="16"/>
      <c r="T10" s="69">
        <v>2</v>
      </c>
      <c r="U10" t="str">
        <f>VLOOKUP(H10,'2_Methodology (Value)'!$H$3:$H$1048576,1,FALSE)</f>
        <v>Do you approve / qualify multiple suppliers for specialty products to hedge against significant risks in the supply chain?</v>
      </c>
    </row>
    <row r="11" spans="1:21" ht="102" hidden="1" customHeight="1" x14ac:dyDescent="0.35">
      <c r="B11" s="13"/>
      <c r="C11" s="13" t="s">
        <v>1274</v>
      </c>
      <c r="D11" s="14" t="s">
        <v>1224</v>
      </c>
      <c r="E11" s="14" t="s">
        <v>1301</v>
      </c>
      <c r="F11" s="14"/>
      <c r="G11" s="14" t="s">
        <v>1274</v>
      </c>
      <c r="H11" s="115" t="s">
        <v>1289</v>
      </c>
      <c r="I11" s="14" t="s">
        <v>1312</v>
      </c>
      <c r="J11" s="14" t="s">
        <v>1313</v>
      </c>
      <c r="K11" s="14" t="s">
        <v>1314</v>
      </c>
      <c r="L11" s="14" t="s">
        <v>1315</v>
      </c>
      <c r="M11" s="15">
        <v>0.02</v>
      </c>
      <c r="N11" s="15">
        <v>0.05</v>
      </c>
      <c r="O11" s="44">
        <v>0.8</v>
      </c>
      <c r="P11" s="13" t="s">
        <v>1316</v>
      </c>
      <c r="Q11" s="13"/>
      <c r="R11" s="16" t="s">
        <v>1288</v>
      </c>
      <c r="S11" s="16"/>
      <c r="T11" s="69">
        <v>1</v>
      </c>
      <c r="U11" t="str">
        <f>VLOOKUP(H11,'2_Methodology (Value)'!$H$3:$H$1048576,1,FALSE)</f>
        <v>To what extent do you use should cost models to challenge and negotiate supplier pricing?</v>
      </c>
    </row>
    <row r="12" spans="1:21" ht="94" hidden="1" customHeight="1" x14ac:dyDescent="0.35">
      <c r="B12" s="13"/>
      <c r="C12" s="13" t="s">
        <v>1274</v>
      </c>
      <c r="D12" s="14" t="s">
        <v>1224</v>
      </c>
      <c r="E12" s="14" t="s">
        <v>1301</v>
      </c>
      <c r="F12" s="14"/>
      <c r="G12" s="14" t="s">
        <v>1274</v>
      </c>
      <c r="H12" s="115" t="s">
        <v>1292</v>
      </c>
      <c r="I12" s="14" t="s">
        <v>1317</v>
      </c>
      <c r="J12" s="14" t="s">
        <v>1318</v>
      </c>
      <c r="K12" s="14" t="s">
        <v>1319</v>
      </c>
      <c r="L12" s="14" t="s">
        <v>1320</v>
      </c>
      <c r="M12" s="15">
        <v>0.02</v>
      </c>
      <c r="N12" s="15">
        <v>0.05</v>
      </c>
      <c r="O12" s="44">
        <v>0.8</v>
      </c>
      <c r="P12" s="13" t="s">
        <v>1321</v>
      </c>
      <c r="Q12" s="13"/>
      <c r="R12" s="16" t="s">
        <v>1228</v>
      </c>
      <c r="S12" s="16"/>
      <c r="T12" s="69">
        <v>3</v>
      </c>
      <c r="U12" t="str">
        <f>VLOOKUP(H12,'2_Methodology (Value)'!$H$3:$H$1048576,1,FALSE)</f>
        <v>To what extent have you explored bundling of volumes across different types of vegetable oils to maximize economies of scale?</v>
      </c>
    </row>
    <row r="13" spans="1:21" ht="70.5" hidden="1" x14ac:dyDescent="0.35">
      <c r="B13" s="13"/>
      <c r="C13" s="13" t="s">
        <v>1274</v>
      </c>
      <c r="D13" s="14" t="s">
        <v>1224</v>
      </c>
      <c r="E13" s="14" t="s">
        <v>1301</v>
      </c>
      <c r="F13" s="14"/>
      <c r="G13" s="14" t="s">
        <v>1274</v>
      </c>
      <c r="H13" s="115" t="s">
        <v>1281</v>
      </c>
      <c r="I13" s="14" t="s">
        <v>1322</v>
      </c>
      <c r="J13" s="14" t="s">
        <v>1323</v>
      </c>
      <c r="K13" s="14" t="s">
        <v>1324</v>
      </c>
      <c r="L13" s="14" t="s">
        <v>1325</v>
      </c>
      <c r="M13" s="15">
        <v>0.02</v>
      </c>
      <c r="N13" s="15">
        <v>0.03</v>
      </c>
      <c r="O13" s="44">
        <v>0.8</v>
      </c>
      <c r="P13" s="13" t="s">
        <v>1326</v>
      </c>
      <c r="Q13" s="13"/>
      <c r="R13" s="16" t="s">
        <v>1239</v>
      </c>
      <c r="S13" s="16"/>
      <c r="T13" s="69">
        <v>4</v>
      </c>
      <c r="U13" t="str">
        <f>VLOOKUP(H13,'2_Methodology (Value)'!$H$3:$H$1048576,1,FALSE)</f>
        <v>Have you undertaken specification rationalization to enable volume bundling and reduce sourcing complexity?</v>
      </c>
    </row>
    <row r="14" spans="1:21" ht="70.5" hidden="1" x14ac:dyDescent="0.35">
      <c r="B14" s="13"/>
      <c r="C14" s="13" t="s">
        <v>1274</v>
      </c>
      <c r="D14" s="14" t="s">
        <v>1224</v>
      </c>
      <c r="E14" s="14" t="s">
        <v>1301</v>
      </c>
      <c r="F14" s="14"/>
      <c r="G14" s="14" t="s">
        <v>1274</v>
      </c>
      <c r="H14" s="115" t="s">
        <v>1278</v>
      </c>
      <c r="I14" s="14" t="s">
        <v>1327</v>
      </c>
      <c r="J14" s="14" t="s">
        <v>1328</v>
      </c>
      <c r="K14" s="14" t="s">
        <v>1329</v>
      </c>
      <c r="L14" s="14" t="s">
        <v>1330</v>
      </c>
      <c r="M14" s="15">
        <v>0.02</v>
      </c>
      <c r="N14" s="15">
        <v>0.03</v>
      </c>
      <c r="O14" s="44">
        <v>0.8</v>
      </c>
      <c r="P14" s="13" t="s">
        <v>1331</v>
      </c>
      <c r="Q14" s="13"/>
      <c r="R14" s="16" t="s">
        <v>1277</v>
      </c>
      <c r="S14" s="16"/>
      <c r="T14" s="69">
        <v>1</v>
      </c>
      <c r="U14" t="str">
        <f>VLOOKUP(H14,'2_Methodology (Value)'!$H$3:$H$1048576,1,FALSE)</f>
        <v>Have you considered shifting sourcing origins to take advantage of cost or availability benefits? If so, what challenges have you faced?</v>
      </c>
    </row>
    <row r="15" spans="1:21" ht="130" hidden="1" customHeight="1" x14ac:dyDescent="0.35">
      <c r="B15" s="13"/>
      <c r="C15" s="13" t="s">
        <v>1274</v>
      </c>
      <c r="D15" s="14" t="s">
        <v>1224</v>
      </c>
      <c r="E15" s="14" t="s">
        <v>1301</v>
      </c>
      <c r="F15" s="14"/>
      <c r="G15" s="14" t="s">
        <v>1274</v>
      </c>
      <c r="H15" s="115" t="s">
        <v>1279</v>
      </c>
      <c r="I15" s="14" t="s">
        <v>1332</v>
      </c>
      <c r="J15" s="14" t="s">
        <v>1333</v>
      </c>
      <c r="K15" s="14" t="s">
        <v>1334</v>
      </c>
      <c r="L15" s="14" t="s">
        <v>1335</v>
      </c>
      <c r="M15" s="15">
        <v>0.02</v>
      </c>
      <c r="N15" s="15">
        <v>0.03</v>
      </c>
      <c r="O15" s="44">
        <v>0.8</v>
      </c>
      <c r="P15" s="13" t="s">
        <v>1336</v>
      </c>
      <c r="Q15" s="13"/>
      <c r="R15" s="16" t="s">
        <v>1239</v>
      </c>
      <c r="S15" s="13"/>
      <c r="T15" s="69">
        <v>1</v>
      </c>
      <c r="U15" t="str">
        <f>VLOOKUP(H15,'2_Methodology (Value)'!$H$3:$H$1048576,1,FALSE)</f>
        <v>Do you review pack sizes and explore delivery options in bulk or flexi tanks to streamline supply chain operations and reduce costs?</v>
      </c>
    </row>
    <row r="16" spans="1:21" ht="102" hidden="1" customHeight="1" x14ac:dyDescent="0.35">
      <c r="B16" s="13"/>
      <c r="C16" s="13" t="s">
        <v>1269</v>
      </c>
      <c r="D16" s="14" t="s">
        <v>1224</v>
      </c>
      <c r="E16" s="14" t="s">
        <v>1301</v>
      </c>
      <c r="F16" s="14"/>
      <c r="G16" s="14" t="s">
        <v>1269</v>
      </c>
      <c r="H16" s="117" t="s">
        <v>1270</v>
      </c>
      <c r="I16" s="14" t="s">
        <v>1337</v>
      </c>
      <c r="J16" s="14" t="s">
        <v>1338</v>
      </c>
      <c r="K16" s="14" t="s">
        <v>1339</v>
      </c>
      <c r="L16" s="14" t="s">
        <v>1340</v>
      </c>
      <c r="M16" s="15"/>
      <c r="N16" s="15"/>
      <c r="O16" s="44"/>
      <c r="P16" s="13"/>
      <c r="Q16" s="13"/>
      <c r="R16" s="16" t="s">
        <v>1239</v>
      </c>
      <c r="S16" s="13"/>
      <c r="T16" s="69">
        <v>4</v>
      </c>
    </row>
    <row r="17" spans="2:21" ht="70.5" hidden="1" x14ac:dyDescent="0.35">
      <c r="B17" s="13"/>
      <c r="C17" s="13" t="s">
        <v>1269</v>
      </c>
      <c r="D17" s="14" t="s">
        <v>1224</v>
      </c>
      <c r="E17" s="14" t="s">
        <v>1301</v>
      </c>
      <c r="F17" s="14"/>
      <c r="G17" s="14" t="s">
        <v>1269</v>
      </c>
      <c r="H17" s="117" t="s">
        <v>1272</v>
      </c>
      <c r="I17" s="14" t="s">
        <v>1341</v>
      </c>
      <c r="J17" s="14" t="s">
        <v>1342</v>
      </c>
      <c r="K17" s="14" t="s">
        <v>1343</v>
      </c>
      <c r="L17" s="14" t="s">
        <v>1344</v>
      </c>
      <c r="M17" s="15"/>
      <c r="N17" s="15"/>
      <c r="O17" s="44"/>
      <c r="P17" s="13"/>
      <c r="Q17" s="13"/>
      <c r="R17" s="16" t="s">
        <v>1239</v>
      </c>
      <c r="S17" s="13"/>
      <c r="T17" s="69">
        <v>2</v>
      </c>
    </row>
    <row r="18" spans="2:21" ht="102" hidden="1" customHeight="1" x14ac:dyDescent="0.35">
      <c r="B18" s="13"/>
      <c r="C18" s="13" t="s">
        <v>1269</v>
      </c>
      <c r="D18" s="14" t="s">
        <v>1224</v>
      </c>
      <c r="E18" s="14" t="s">
        <v>1301</v>
      </c>
      <c r="F18" s="14"/>
      <c r="G18" s="14" t="s">
        <v>1269</v>
      </c>
      <c r="H18" s="117" t="s">
        <v>1273</v>
      </c>
      <c r="I18" s="14" t="s">
        <v>1345</v>
      </c>
      <c r="J18" s="14" t="s">
        <v>1346</v>
      </c>
      <c r="K18" s="14" t="s">
        <v>1347</v>
      </c>
      <c r="L18" s="14" t="s">
        <v>1348</v>
      </c>
      <c r="M18" s="15"/>
      <c r="N18" s="15"/>
      <c r="O18" s="44"/>
      <c r="P18" s="13"/>
      <c r="Q18" s="13"/>
      <c r="R18" s="16" t="s">
        <v>1239</v>
      </c>
      <c r="S18" s="13"/>
      <c r="T18" s="69">
        <v>3</v>
      </c>
    </row>
    <row r="19" spans="2:21" ht="55.5" hidden="1" customHeight="1" x14ac:dyDescent="0.35">
      <c r="B19" s="13"/>
      <c r="C19" s="13" t="s">
        <v>1269</v>
      </c>
      <c r="D19" s="14" t="s">
        <v>1224</v>
      </c>
      <c r="E19" s="14" t="s">
        <v>1301</v>
      </c>
      <c r="F19" s="14"/>
      <c r="G19" s="14" t="s">
        <v>1269</v>
      </c>
      <c r="H19" s="117" t="s">
        <v>1271</v>
      </c>
      <c r="I19" s="14" t="s">
        <v>1349</v>
      </c>
      <c r="J19" s="14" t="s">
        <v>1350</v>
      </c>
      <c r="K19" s="14" t="s">
        <v>1351</v>
      </c>
      <c r="L19" s="14" t="s">
        <v>1352</v>
      </c>
      <c r="M19" s="15"/>
      <c r="N19" s="15"/>
      <c r="O19" s="44"/>
      <c r="P19" s="13"/>
      <c r="Q19" s="13"/>
      <c r="R19" s="16" t="s">
        <v>1239</v>
      </c>
      <c r="S19" s="13"/>
      <c r="T19" s="69">
        <v>2</v>
      </c>
    </row>
    <row r="20" spans="2:21" ht="102" customHeight="1" x14ac:dyDescent="0.35">
      <c r="B20" s="13">
        <v>1</v>
      </c>
      <c r="C20" s="13" t="s">
        <v>1274</v>
      </c>
      <c r="D20" s="14" t="s">
        <v>1224</v>
      </c>
      <c r="E20" s="14" t="s">
        <v>1301</v>
      </c>
      <c r="F20" s="14"/>
      <c r="G20" s="14" t="s">
        <v>1274</v>
      </c>
      <c r="H20" s="116" t="s">
        <v>1276</v>
      </c>
      <c r="I20" s="14" t="s">
        <v>1353</v>
      </c>
      <c r="J20" s="14" t="s">
        <v>1354</v>
      </c>
      <c r="K20" s="14" t="s">
        <v>1355</v>
      </c>
      <c r="L20" s="14" t="s">
        <v>1356</v>
      </c>
      <c r="M20" s="15">
        <v>0.02</v>
      </c>
      <c r="N20" s="15">
        <v>0.05</v>
      </c>
      <c r="O20" s="44">
        <v>0.8</v>
      </c>
      <c r="P20" s="13" t="s">
        <v>1306</v>
      </c>
      <c r="Q20" s="13"/>
      <c r="R20" s="16" t="s">
        <v>1275</v>
      </c>
      <c r="S20" s="16"/>
      <c r="T20" s="69">
        <v>2</v>
      </c>
      <c r="U20" t="e">
        <f>VLOOKUP(H20,'2_Methodology (Value)'!$H$3:$H$1048576,1,FALSE)</f>
        <v>#N/A</v>
      </c>
    </row>
    <row r="21" spans="2:21" ht="117.5" x14ac:dyDescent="0.35">
      <c r="B21" s="13">
        <v>2</v>
      </c>
      <c r="C21" s="13" t="s">
        <v>1274</v>
      </c>
      <c r="D21" s="14" t="s">
        <v>1224</v>
      </c>
      <c r="E21" s="14" t="s">
        <v>1301</v>
      </c>
      <c r="F21" s="14"/>
      <c r="G21" s="14" t="s">
        <v>1274</v>
      </c>
      <c r="H21" s="116" t="s">
        <v>1287</v>
      </c>
      <c r="I21" s="14" t="s">
        <v>1357</v>
      </c>
      <c r="J21" s="14" t="s">
        <v>1358</v>
      </c>
      <c r="K21" s="14" t="s">
        <v>1359</v>
      </c>
      <c r="L21" s="14" t="s">
        <v>1360</v>
      </c>
      <c r="M21" s="15">
        <v>0.02</v>
      </c>
      <c r="N21" s="15">
        <v>0.05</v>
      </c>
      <c r="O21" s="44">
        <v>0.8</v>
      </c>
      <c r="P21" s="13" t="s">
        <v>1306</v>
      </c>
      <c r="Q21" s="13"/>
      <c r="R21" s="16" t="s">
        <v>1252</v>
      </c>
      <c r="S21" s="16"/>
      <c r="T21" s="69">
        <v>3</v>
      </c>
      <c r="U21" t="e">
        <f>VLOOKUP(H21,'2_Methodology (Value)'!$H$3:$H$1048576,1,FALSE)</f>
        <v>#N/A</v>
      </c>
    </row>
    <row r="22" spans="2:21" ht="102" customHeight="1" x14ac:dyDescent="0.65">
      <c r="B22" s="13">
        <v>4</v>
      </c>
      <c r="C22" s="13" t="s">
        <v>1274</v>
      </c>
      <c r="D22" s="14" t="s">
        <v>1224</v>
      </c>
      <c r="E22" s="14" t="s">
        <v>1301</v>
      </c>
      <c r="F22" s="14"/>
      <c r="G22" s="14" t="s">
        <v>1274</v>
      </c>
      <c r="H22" s="116" t="s">
        <v>1286</v>
      </c>
      <c r="I22" s="14" t="s">
        <v>1357</v>
      </c>
      <c r="J22" s="14"/>
      <c r="K22" s="14"/>
      <c r="L22" s="14" t="s">
        <v>1361</v>
      </c>
      <c r="M22" s="15">
        <v>0.02</v>
      </c>
      <c r="N22" s="15">
        <v>0.05</v>
      </c>
      <c r="O22" s="44">
        <v>0.8</v>
      </c>
      <c r="P22" s="13" t="s">
        <v>1306</v>
      </c>
      <c r="Q22" s="13"/>
      <c r="R22" s="16" t="s">
        <v>1260</v>
      </c>
      <c r="S22" s="16"/>
      <c r="T22" s="70"/>
      <c r="U22" t="e">
        <f>VLOOKUP(H22,'2_Methodology (Value)'!$H$3:$H$1048576,1,FALSE)</f>
        <v>#N/A</v>
      </c>
    </row>
    <row r="23" spans="2:21" ht="102" customHeight="1" x14ac:dyDescent="0.35">
      <c r="B23" s="13">
        <v>8</v>
      </c>
      <c r="C23" s="13" t="s">
        <v>1274</v>
      </c>
      <c r="D23" s="14" t="s">
        <v>1224</v>
      </c>
      <c r="E23" s="14" t="s">
        <v>1301</v>
      </c>
      <c r="F23" s="14"/>
      <c r="G23" s="14" t="s">
        <v>1274</v>
      </c>
      <c r="H23" s="116" t="s">
        <v>1280</v>
      </c>
      <c r="I23" s="14" t="s">
        <v>1362</v>
      </c>
      <c r="J23" s="14" t="s">
        <v>1363</v>
      </c>
      <c r="K23" s="14" t="s">
        <v>1364</v>
      </c>
      <c r="L23" s="14" t="s">
        <v>1365</v>
      </c>
      <c r="M23" s="15">
        <v>0.02</v>
      </c>
      <c r="N23" s="15">
        <v>0.03</v>
      </c>
      <c r="O23" s="44">
        <v>0.8</v>
      </c>
      <c r="P23" s="13" t="s">
        <v>1366</v>
      </c>
      <c r="Q23" s="13"/>
      <c r="R23" s="16" t="s">
        <v>1239</v>
      </c>
      <c r="S23" s="16"/>
      <c r="T23" s="69">
        <v>1</v>
      </c>
      <c r="U23" t="e">
        <f>VLOOKUP(H23,'2_Methodology (Value)'!$H$3:$H$1048576,1,FALSE)</f>
        <v>#N/A</v>
      </c>
    </row>
    <row r="24" spans="2:21" ht="94" x14ac:dyDescent="0.35">
      <c r="B24" s="13">
        <v>9</v>
      </c>
      <c r="C24" s="13" t="s">
        <v>1274</v>
      </c>
      <c r="D24" s="14" t="s">
        <v>1224</v>
      </c>
      <c r="E24" s="14" t="s">
        <v>1301</v>
      </c>
      <c r="F24" s="14"/>
      <c r="G24" s="88" t="s">
        <v>1274</v>
      </c>
      <c r="H24" s="116" t="s">
        <v>1283</v>
      </c>
      <c r="I24" s="14" t="s">
        <v>1367</v>
      </c>
      <c r="J24" s="14" t="s">
        <v>1323</v>
      </c>
      <c r="K24" s="14" t="s">
        <v>1368</v>
      </c>
      <c r="L24" s="14" t="s">
        <v>1369</v>
      </c>
      <c r="M24" s="15">
        <v>0.02</v>
      </c>
      <c r="N24" s="15">
        <v>0.03</v>
      </c>
      <c r="O24" s="44">
        <v>0.8</v>
      </c>
      <c r="P24" s="13" t="s">
        <v>1370</v>
      </c>
      <c r="Q24" s="13"/>
      <c r="R24" s="13" t="s">
        <v>1239</v>
      </c>
      <c r="S24" s="13"/>
      <c r="T24" s="69">
        <v>2</v>
      </c>
      <c r="U24" t="e">
        <f>VLOOKUP(H24,'2_Methodology (Value)'!$H$3:$H$1048576,1,FALSE)</f>
        <v>#N/A</v>
      </c>
    </row>
    <row r="25" spans="2:21" ht="70.5" customHeight="1" x14ac:dyDescent="0.65">
      <c r="B25" s="13">
        <v>10</v>
      </c>
      <c r="C25" s="13" t="s">
        <v>1274</v>
      </c>
      <c r="D25" s="14" t="s">
        <v>1224</v>
      </c>
      <c r="E25" s="14" t="s">
        <v>1301</v>
      </c>
      <c r="F25" s="14"/>
      <c r="G25" s="88" t="s">
        <v>1274</v>
      </c>
      <c r="H25" s="116" t="s">
        <v>1294</v>
      </c>
      <c r="I25" s="14" t="s">
        <v>1371</v>
      </c>
      <c r="J25" s="14" t="s">
        <v>1372</v>
      </c>
      <c r="K25" s="14" t="s">
        <v>1373</v>
      </c>
      <c r="L25" s="14" t="s">
        <v>1374</v>
      </c>
      <c r="M25" s="15">
        <v>0.02</v>
      </c>
      <c r="N25" s="15">
        <v>0.03</v>
      </c>
      <c r="O25" s="44">
        <v>0.8</v>
      </c>
      <c r="P25" s="13" t="s">
        <v>1370</v>
      </c>
      <c r="Q25" s="13"/>
      <c r="R25" s="13"/>
      <c r="S25" s="13"/>
      <c r="T25" s="70">
        <v>3</v>
      </c>
      <c r="U25" t="e">
        <f>VLOOKUP(H25,'2_Methodology (Value)'!$H$3:$H$1048576,1,FALSE)</f>
        <v>#N/A</v>
      </c>
    </row>
    <row r="26" spans="2:21" ht="70.5" x14ac:dyDescent="0.35">
      <c r="B26" s="13">
        <v>12</v>
      </c>
      <c r="C26" s="13" t="s">
        <v>1274</v>
      </c>
      <c r="D26" s="14" t="s">
        <v>1224</v>
      </c>
      <c r="E26" s="14" t="s">
        <v>1301</v>
      </c>
      <c r="F26" s="14"/>
      <c r="G26" s="88" t="s">
        <v>1274</v>
      </c>
      <c r="H26" s="116" t="s">
        <v>1291</v>
      </c>
      <c r="I26" s="14" t="s">
        <v>1375</v>
      </c>
      <c r="J26" s="14" t="s">
        <v>1376</v>
      </c>
      <c r="K26" s="14" t="s">
        <v>1377</v>
      </c>
      <c r="L26" s="14" t="s">
        <v>1378</v>
      </c>
      <c r="M26" s="15">
        <v>0.02</v>
      </c>
      <c r="N26" s="15">
        <v>0.03</v>
      </c>
      <c r="O26" s="44">
        <v>0.8</v>
      </c>
      <c r="P26" s="13" t="s">
        <v>1379</v>
      </c>
      <c r="Q26" s="13"/>
      <c r="R26" s="16" t="s">
        <v>1290</v>
      </c>
      <c r="S26" s="16"/>
      <c r="T26" s="69"/>
      <c r="U26" t="e">
        <f>VLOOKUP(H26,'2_Methodology (Value)'!$H$3:$H$1048576,1,FALSE)</f>
        <v>#N/A</v>
      </c>
    </row>
    <row r="27" spans="2:21" ht="117.5" x14ac:dyDescent="0.35">
      <c r="B27" s="13">
        <v>13</v>
      </c>
      <c r="C27" s="13" t="s">
        <v>1274</v>
      </c>
      <c r="D27" s="14" t="s">
        <v>1224</v>
      </c>
      <c r="E27" s="14" t="s">
        <v>1301</v>
      </c>
      <c r="F27" s="14"/>
      <c r="G27" s="88" t="s">
        <v>1274</v>
      </c>
      <c r="H27" s="116" t="s">
        <v>1282</v>
      </c>
      <c r="I27" s="14" t="s">
        <v>1380</v>
      </c>
      <c r="J27" s="14" t="s">
        <v>1381</v>
      </c>
      <c r="K27" s="14" t="s">
        <v>1382</v>
      </c>
      <c r="L27" s="14" t="s">
        <v>1383</v>
      </c>
      <c r="M27" s="15">
        <v>0.02</v>
      </c>
      <c r="N27" s="15">
        <v>0.03</v>
      </c>
      <c r="O27" s="44">
        <v>0.8</v>
      </c>
      <c r="P27" s="13" t="s">
        <v>1384</v>
      </c>
      <c r="Q27" s="13"/>
      <c r="R27" s="13" t="s">
        <v>1239</v>
      </c>
      <c r="S27" s="13"/>
      <c r="T27" s="69">
        <v>3</v>
      </c>
      <c r="U27" t="e">
        <f>VLOOKUP(H27,'2_Methodology (Value)'!$H$3:$H$1048576,1,FALSE)</f>
        <v>#N/A</v>
      </c>
    </row>
    <row r="28" spans="2:21" ht="34.5" customHeight="1" x14ac:dyDescent="0.35">
      <c r="B28" s="13"/>
      <c r="C28" s="13"/>
      <c r="D28" s="14"/>
      <c r="E28" s="14"/>
      <c r="F28" s="14"/>
      <c r="G28" s="88"/>
      <c r="H28" s="100"/>
      <c r="I28" s="14"/>
      <c r="J28" s="13"/>
      <c r="K28" s="13"/>
      <c r="L28" s="13"/>
      <c r="M28" s="13"/>
      <c r="N28" s="13"/>
      <c r="O28" s="13"/>
      <c r="P28" s="13"/>
      <c r="Q28" s="13"/>
      <c r="R28" s="89"/>
      <c r="S28" s="89"/>
      <c r="T28" s="90"/>
    </row>
    <row r="29" spans="2:21" ht="34.5" customHeight="1" x14ac:dyDescent="0.35">
      <c r="B29" s="13"/>
      <c r="C29" s="13"/>
      <c r="D29" s="14"/>
      <c r="E29" s="14"/>
      <c r="F29" s="14"/>
      <c r="G29" s="88"/>
      <c r="H29" s="100"/>
      <c r="I29" s="14"/>
      <c r="J29" s="13"/>
      <c r="K29" s="13"/>
      <c r="L29" s="13"/>
      <c r="M29" s="13"/>
      <c r="N29" s="13"/>
      <c r="O29" s="13"/>
      <c r="P29" s="13"/>
      <c r="Q29" s="13"/>
      <c r="R29" s="89"/>
      <c r="S29" s="89"/>
      <c r="T29" s="90"/>
    </row>
    <row r="30" spans="2:21" ht="34.5" customHeight="1" x14ac:dyDescent="0.35">
      <c r="B30" s="13"/>
      <c r="C30" s="13"/>
      <c r="D30" s="14"/>
      <c r="E30" s="14"/>
      <c r="F30" s="14"/>
      <c r="G30" s="14"/>
      <c r="H30" s="86"/>
      <c r="I30" s="86"/>
      <c r="J30" s="87"/>
      <c r="K30" s="87"/>
      <c r="L30" s="87"/>
      <c r="M30" s="87"/>
      <c r="N30" s="87"/>
      <c r="O30" s="87"/>
      <c r="P30" s="87"/>
      <c r="Q30" s="87"/>
    </row>
    <row r="31" spans="2:21" ht="34.5" customHeight="1" x14ac:dyDescent="0.35">
      <c r="B31" s="13"/>
      <c r="C31" s="13"/>
      <c r="D31" s="14"/>
      <c r="E31" s="14"/>
      <c r="F31" s="14"/>
      <c r="G31" s="14"/>
      <c r="H31" s="14"/>
      <c r="I31" s="14"/>
      <c r="J31" s="13"/>
      <c r="K31" s="13"/>
      <c r="L31" s="13"/>
      <c r="M31" s="13"/>
      <c r="N31" s="13"/>
      <c r="O31" s="13"/>
      <c r="P31" s="13"/>
      <c r="Q31" s="13"/>
    </row>
    <row r="32" spans="2:21" ht="34.5" customHeight="1" x14ac:dyDescent="0.35">
      <c r="B32" s="13"/>
      <c r="C32" s="13"/>
      <c r="D32" s="14"/>
      <c r="E32" s="14"/>
      <c r="F32" s="14"/>
      <c r="G32" s="14"/>
      <c r="H32" s="14"/>
      <c r="I32" s="14"/>
      <c r="J32" s="13"/>
      <c r="K32" s="13"/>
      <c r="L32" s="13"/>
      <c r="M32" s="13"/>
      <c r="N32" s="13"/>
      <c r="O32" s="13"/>
      <c r="P32" s="13"/>
      <c r="Q32" s="16"/>
    </row>
    <row r="33" spans="2:17" ht="34.5" customHeight="1" x14ac:dyDescent="0.35">
      <c r="B33" s="13"/>
      <c r="C33" s="13"/>
      <c r="D33" s="14"/>
      <c r="E33" s="14"/>
      <c r="F33" s="14"/>
      <c r="G33" s="14"/>
      <c r="H33" s="14"/>
      <c r="I33" s="14"/>
      <c r="J33" s="13"/>
      <c r="K33" s="13"/>
      <c r="L33" s="13"/>
      <c r="M33" s="13"/>
      <c r="N33" s="13"/>
      <c r="O33" s="13"/>
      <c r="P33" s="13"/>
      <c r="Q33" s="13"/>
    </row>
    <row r="34" spans="2:17" ht="34.5" customHeight="1" x14ac:dyDescent="0.35">
      <c r="B34" s="13"/>
      <c r="C34" s="13"/>
      <c r="D34" s="14"/>
      <c r="E34" s="14"/>
      <c r="F34" s="14"/>
      <c r="G34" s="14"/>
      <c r="H34" s="14"/>
      <c r="I34" s="14"/>
      <c r="J34" s="13"/>
      <c r="K34" s="13"/>
      <c r="L34" s="13"/>
      <c r="M34" s="13"/>
      <c r="N34" s="13"/>
      <c r="O34" s="13"/>
      <c r="P34" s="13"/>
      <c r="Q34" s="13"/>
    </row>
    <row r="35" spans="2:17" ht="34.5" customHeight="1" x14ac:dyDescent="0.35">
      <c r="B35" s="13"/>
      <c r="C35" s="13"/>
      <c r="D35" s="14"/>
      <c r="E35" s="14"/>
      <c r="F35" s="14"/>
      <c r="G35" s="14"/>
      <c r="H35" s="14"/>
      <c r="I35" s="14"/>
      <c r="J35" s="13"/>
      <c r="K35" s="13"/>
      <c r="L35" s="13"/>
      <c r="M35" s="13"/>
      <c r="N35" s="13"/>
      <c r="O35" s="13"/>
      <c r="P35" s="13"/>
      <c r="Q35" s="13"/>
    </row>
    <row r="36" spans="2:17" ht="34.5" customHeight="1" x14ac:dyDescent="0.35">
      <c r="B36" s="13"/>
      <c r="C36" s="13"/>
      <c r="D36" s="14"/>
      <c r="E36" s="14"/>
      <c r="F36" s="14"/>
      <c r="G36" s="14"/>
      <c r="H36" s="14"/>
      <c r="I36" s="14"/>
      <c r="J36" s="13"/>
      <c r="K36" s="13"/>
      <c r="L36" s="13"/>
      <c r="M36" s="13"/>
      <c r="N36" s="13"/>
      <c r="O36" s="13"/>
      <c r="P36" s="13"/>
      <c r="Q36" s="13"/>
    </row>
    <row r="37" spans="2:17" ht="34.5" customHeight="1" x14ac:dyDescent="0.35">
      <c r="B37" s="13"/>
      <c r="C37" s="13"/>
      <c r="D37" s="14"/>
      <c r="E37" s="14"/>
      <c r="F37" s="14"/>
      <c r="G37" s="14"/>
      <c r="H37" s="14"/>
      <c r="I37" s="14"/>
      <c r="J37" s="13"/>
      <c r="K37" s="13"/>
      <c r="L37" s="13"/>
      <c r="M37" s="13"/>
      <c r="N37" s="13"/>
      <c r="O37" s="13"/>
      <c r="P37" s="13"/>
      <c r="Q37" s="16"/>
    </row>
    <row r="38" spans="2:17" ht="34.5" customHeight="1" x14ac:dyDescent="0.35">
      <c r="B38" s="13"/>
      <c r="C38" s="13"/>
      <c r="D38" s="14"/>
      <c r="E38" s="14"/>
      <c r="F38" s="14"/>
      <c r="G38" s="14"/>
      <c r="H38" s="14"/>
      <c r="I38" s="14"/>
      <c r="J38" s="13"/>
      <c r="K38" s="13"/>
      <c r="L38" s="13"/>
      <c r="M38" s="13"/>
      <c r="N38" s="13"/>
      <c r="O38" s="13"/>
      <c r="P38" s="13"/>
      <c r="Q38" s="13"/>
    </row>
    <row r="39" spans="2:17" ht="34.5" customHeight="1" x14ac:dyDescent="0.35">
      <c r="B39" s="13"/>
      <c r="C39" s="13"/>
      <c r="D39" s="14"/>
      <c r="E39" s="14"/>
      <c r="F39" s="14"/>
      <c r="G39" s="14"/>
      <c r="H39" s="14"/>
      <c r="I39" s="14"/>
      <c r="J39" s="13"/>
      <c r="K39" s="13"/>
      <c r="L39" s="13"/>
      <c r="M39" s="13"/>
      <c r="N39" s="13"/>
      <c r="O39" s="13"/>
      <c r="P39" s="13"/>
      <c r="Q39" s="13"/>
    </row>
    <row r="40" spans="2:17" ht="34.5" customHeight="1" x14ac:dyDescent="0.35">
      <c r="B40" s="13"/>
      <c r="C40" s="13"/>
      <c r="D40" s="14"/>
      <c r="E40" s="14"/>
      <c r="F40" s="14"/>
      <c r="G40" s="14"/>
      <c r="H40" s="14"/>
      <c r="I40" s="14"/>
      <c r="J40" s="13"/>
      <c r="K40" s="13"/>
      <c r="L40" s="13"/>
      <c r="M40" s="13"/>
      <c r="N40" s="13"/>
      <c r="O40" s="13"/>
      <c r="P40" s="13"/>
      <c r="Q40" s="13"/>
    </row>
    <row r="41" spans="2:17" ht="34.5" customHeight="1" x14ac:dyDescent="0.35">
      <c r="B41" s="13"/>
      <c r="C41" s="13"/>
      <c r="D41" s="14"/>
      <c r="E41" s="14"/>
      <c r="F41" s="14"/>
      <c r="G41" s="14"/>
      <c r="H41" s="14"/>
      <c r="I41" s="14"/>
      <c r="J41" s="13"/>
      <c r="K41" s="13"/>
      <c r="L41" s="13"/>
      <c r="M41" s="13"/>
      <c r="N41" s="13"/>
      <c r="O41" s="13"/>
      <c r="P41" s="13"/>
      <c r="Q41" s="13"/>
    </row>
    <row r="42" spans="2:17" ht="34.5" customHeight="1" x14ac:dyDescent="0.35">
      <c r="B42" s="13"/>
      <c r="C42" s="13"/>
      <c r="D42" s="14"/>
      <c r="E42" s="14"/>
      <c r="F42" s="14"/>
      <c r="G42" s="14"/>
      <c r="H42" s="14"/>
      <c r="I42" s="14"/>
      <c r="J42" s="13"/>
      <c r="K42" s="13"/>
      <c r="L42" s="13"/>
      <c r="M42" s="13"/>
      <c r="N42" s="13"/>
      <c r="O42" s="13"/>
      <c r="P42" s="13"/>
      <c r="Q42" s="16"/>
    </row>
    <row r="43" spans="2:17" ht="34.5" customHeight="1" x14ac:dyDescent="0.35">
      <c r="B43" s="13"/>
      <c r="C43" s="13"/>
      <c r="D43" s="14"/>
      <c r="E43" s="14"/>
      <c r="F43" s="14"/>
      <c r="G43" s="14"/>
      <c r="H43" s="14"/>
      <c r="I43" s="14"/>
      <c r="J43" s="13"/>
      <c r="K43" s="13"/>
      <c r="L43" s="13"/>
      <c r="M43" s="13"/>
      <c r="N43" s="13"/>
      <c r="O43" s="13"/>
      <c r="P43" s="13"/>
      <c r="Q43" s="13"/>
    </row>
    <row r="44" spans="2:17" ht="34.5" customHeight="1" x14ac:dyDescent="0.35">
      <c r="B44" s="13"/>
      <c r="C44" s="13"/>
      <c r="D44" s="14"/>
      <c r="E44" s="14"/>
      <c r="F44" s="14"/>
      <c r="G44" s="14"/>
      <c r="H44" s="14"/>
      <c r="I44" s="14"/>
      <c r="J44" s="13"/>
      <c r="K44" s="13"/>
      <c r="L44" s="13"/>
      <c r="M44" s="13"/>
      <c r="N44" s="13"/>
      <c r="O44" s="13"/>
      <c r="P44" s="13"/>
      <c r="Q44" s="13"/>
    </row>
    <row r="45" spans="2:17" ht="34.5" customHeight="1" x14ac:dyDescent="0.35">
      <c r="B45" s="13"/>
      <c r="C45" s="13"/>
      <c r="D45" s="14"/>
      <c r="E45" s="14"/>
      <c r="F45" s="14"/>
      <c r="G45" s="14"/>
      <c r="H45" s="14"/>
      <c r="I45" s="14"/>
      <c r="J45" s="13"/>
      <c r="K45" s="13"/>
      <c r="L45" s="13"/>
      <c r="M45" s="13"/>
      <c r="N45" s="13"/>
      <c r="O45" s="13"/>
      <c r="P45" s="13"/>
      <c r="Q45" s="13"/>
    </row>
    <row r="46" spans="2:17" ht="34.5" customHeight="1" x14ac:dyDescent="0.35">
      <c r="B46" s="13"/>
      <c r="C46" s="13"/>
      <c r="D46" s="14"/>
      <c r="E46" s="14"/>
      <c r="F46" s="14"/>
      <c r="G46" s="14"/>
      <c r="H46" s="14"/>
      <c r="I46" s="14"/>
      <c r="J46" s="13"/>
      <c r="K46" s="13"/>
      <c r="L46" s="13"/>
      <c r="M46" s="13"/>
      <c r="N46" s="13"/>
      <c r="O46" s="13"/>
      <c r="P46" s="13"/>
      <c r="Q46" s="13"/>
    </row>
    <row r="47" spans="2:17" ht="34.5" customHeight="1" x14ac:dyDescent="0.35">
      <c r="B47" s="13"/>
      <c r="C47" s="13"/>
      <c r="D47" s="14"/>
      <c r="E47" s="14"/>
      <c r="F47" s="14"/>
      <c r="G47" s="14"/>
      <c r="H47" s="14"/>
      <c r="I47" s="14"/>
      <c r="J47" s="13"/>
      <c r="K47" s="13"/>
      <c r="L47" s="13"/>
      <c r="M47" s="13"/>
      <c r="N47" s="13"/>
      <c r="O47" s="13"/>
      <c r="P47" s="13"/>
      <c r="Q47" s="16"/>
    </row>
    <row r="48" spans="2:17" ht="34.5" customHeight="1" x14ac:dyDescent="0.35">
      <c r="B48" s="13"/>
      <c r="C48" s="13"/>
      <c r="D48" s="14"/>
      <c r="E48" s="14"/>
      <c r="F48" s="14"/>
      <c r="G48" s="14"/>
      <c r="H48" s="14"/>
      <c r="I48" s="14"/>
      <c r="J48" s="13"/>
      <c r="K48" s="13"/>
      <c r="L48" s="13"/>
      <c r="M48" s="13"/>
      <c r="N48" s="13"/>
      <c r="O48" s="13"/>
      <c r="P48" s="13"/>
      <c r="Q48" s="13"/>
    </row>
    <row r="49" spans="2:17" ht="34.5" customHeight="1" x14ac:dyDescent="0.35">
      <c r="B49" s="13"/>
      <c r="C49" s="13"/>
      <c r="D49" s="14"/>
      <c r="E49" s="14"/>
      <c r="F49" s="14"/>
      <c r="G49" s="14"/>
      <c r="H49" s="14"/>
      <c r="I49" s="14"/>
      <c r="J49" s="13"/>
      <c r="K49" s="13"/>
      <c r="L49" s="13"/>
      <c r="M49" s="13"/>
      <c r="N49" s="13"/>
      <c r="O49" s="13"/>
      <c r="P49" s="13"/>
      <c r="Q49" s="13"/>
    </row>
    <row r="50" spans="2:17" ht="34.5" customHeight="1" x14ac:dyDescent="0.35">
      <c r="B50" s="13"/>
      <c r="C50" s="13"/>
      <c r="D50" s="14"/>
      <c r="E50" s="14"/>
      <c r="F50" s="14"/>
      <c r="G50" s="14"/>
      <c r="H50" s="14"/>
      <c r="I50" s="14"/>
      <c r="J50" s="13"/>
      <c r="K50" s="13"/>
      <c r="L50" s="13"/>
      <c r="M50" s="13"/>
      <c r="N50" s="13"/>
      <c r="O50" s="13"/>
      <c r="P50" s="13"/>
      <c r="Q50" s="13"/>
    </row>
    <row r="51" spans="2:17" ht="34.5" customHeight="1" x14ac:dyDescent="0.35">
      <c r="B51" s="13"/>
      <c r="C51" s="13"/>
      <c r="D51" s="14"/>
      <c r="E51" s="14"/>
      <c r="F51" s="14"/>
      <c r="G51" s="14"/>
      <c r="H51" s="14"/>
      <c r="I51" s="14"/>
      <c r="J51" s="13"/>
      <c r="K51" s="13"/>
      <c r="L51" s="13"/>
      <c r="M51" s="13"/>
      <c r="N51" s="13"/>
      <c r="O51" s="13"/>
      <c r="P51" s="13"/>
      <c r="Q51" s="13"/>
    </row>
    <row r="52" spans="2:17" ht="34.5" customHeight="1" x14ac:dyDescent="0.35">
      <c r="B52" s="13"/>
      <c r="C52" s="13"/>
      <c r="D52" s="14"/>
      <c r="E52" s="14"/>
      <c r="F52" s="14"/>
      <c r="G52" s="14"/>
      <c r="H52" s="14"/>
      <c r="I52" s="14"/>
      <c r="J52" s="13"/>
      <c r="K52" s="13"/>
      <c r="L52" s="13"/>
      <c r="M52" s="13"/>
      <c r="N52" s="13"/>
      <c r="O52" s="13"/>
      <c r="P52" s="13"/>
      <c r="Q52" s="16"/>
    </row>
    <row r="53" spans="2:17" ht="34.5" customHeight="1" x14ac:dyDescent="0.35">
      <c r="B53" s="13"/>
      <c r="C53" s="13"/>
      <c r="D53" s="14"/>
      <c r="E53" s="14"/>
      <c r="F53" s="14"/>
      <c r="G53" s="14"/>
      <c r="H53" s="14"/>
      <c r="I53" s="14"/>
      <c r="J53" s="13"/>
      <c r="K53" s="13"/>
      <c r="L53" s="13"/>
      <c r="M53" s="13"/>
      <c r="N53" s="13"/>
      <c r="O53" s="13"/>
      <c r="P53" s="13"/>
      <c r="Q53" s="13"/>
    </row>
    <row r="54" spans="2:17" ht="34.5" customHeight="1" x14ac:dyDescent="0.35">
      <c r="B54" s="13"/>
      <c r="C54" s="13"/>
      <c r="D54" s="14"/>
      <c r="E54" s="14"/>
      <c r="F54" s="14"/>
      <c r="G54" s="14"/>
      <c r="H54" s="14"/>
      <c r="I54" s="14"/>
      <c r="J54" s="13"/>
      <c r="K54" s="13"/>
      <c r="L54" s="13"/>
      <c r="M54" s="13"/>
      <c r="N54" s="13"/>
      <c r="O54" s="13"/>
      <c r="P54" s="13"/>
      <c r="Q54" s="13"/>
    </row>
    <row r="55" spans="2:17" ht="34.5" customHeight="1" x14ac:dyDescent="0.35">
      <c r="B55" s="13"/>
      <c r="C55" s="13"/>
      <c r="D55" s="14"/>
      <c r="E55" s="14"/>
      <c r="F55" s="14"/>
      <c r="G55" s="14"/>
      <c r="H55" s="14"/>
      <c r="I55" s="14"/>
      <c r="J55" s="13"/>
      <c r="K55" s="13"/>
      <c r="L55" s="13"/>
      <c r="M55" s="13"/>
      <c r="N55" s="13"/>
      <c r="O55" s="13"/>
      <c r="P55" s="13"/>
      <c r="Q55" s="13"/>
    </row>
    <row r="56" spans="2:17" ht="34.5" customHeight="1" x14ac:dyDescent="0.35">
      <c r="B56" s="13"/>
      <c r="C56" s="13"/>
      <c r="D56" s="14"/>
      <c r="E56" s="14"/>
      <c r="F56" s="14"/>
      <c r="G56" s="14"/>
      <c r="H56" s="14"/>
      <c r="I56" s="14"/>
      <c r="J56" s="13"/>
      <c r="K56" s="13"/>
      <c r="L56" s="13"/>
      <c r="M56" s="13"/>
      <c r="N56" s="13"/>
      <c r="O56" s="13"/>
      <c r="P56" s="13"/>
      <c r="Q56" s="13"/>
    </row>
    <row r="57" spans="2:17" ht="34.5" customHeight="1" x14ac:dyDescent="0.35">
      <c r="B57" s="13"/>
      <c r="C57" s="13"/>
      <c r="D57" s="14"/>
      <c r="E57" s="14"/>
      <c r="F57" s="14"/>
      <c r="G57" s="14"/>
      <c r="H57" s="14"/>
      <c r="I57" s="14"/>
      <c r="J57" s="13"/>
      <c r="K57" s="13"/>
      <c r="L57" s="13"/>
      <c r="M57" s="13"/>
      <c r="N57" s="13"/>
      <c r="O57" s="13"/>
      <c r="P57" s="13"/>
      <c r="Q57" s="13"/>
    </row>
    <row r="58" spans="2:17" ht="34.5" customHeight="1" x14ac:dyDescent="0.35">
      <c r="B58" s="13"/>
      <c r="C58" s="13"/>
      <c r="D58" s="14"/>
      <c r="E58" s="14"/>
      <c r="F58" s="14"/>
      <c r="G58" s="14"/>
      <c r="H58" s="14"/>
      <c r="I58" s="14"/>
      <c r="J58" s="13"/>
      <c r="K58" s="13"/>
      <c r="L58" s="13"/>
      <c r="M58" s="13"/>
      <c r="N58" s="13"/>
      <c r="O58" s="13"/>
      <c r="P58" s="13"/>
      <c r="Q58" s="13"/>
    </row>
    <row r="59" spans="2:17" ht="34.5" customHeight="1" x14ac:dyDescent="0.35">
      <c r="B59" s="13"/>
      <c r="C59" s="13"/>
      <c r="D59" s="14"/>
      <c r="E59" s="14"/>
      <c r="F59" s="14"/>
      <c r="G59" s="14"/>
      <c r="H59" s="14"/>
      <c r="I59" s="14"/>
      <c r="J59" s="13"/>
      <c r="K59" s="13"/>
      <c r="L59" s="13"/>
      <c r="M59" s="13"/>
      <c r="N59" s="13"/>
      <c r="O59" s="13"/>
      <c r="P59" s="13"/>
      <c r="Q59" s="16"/>
    </row>
    <row r="60" spans="2:17" ht="34.5" customHeight="1" x14ac:dyDescent="0.35">
      <c r="B60" s="13"/>
      <c r="C60" s="13"/>
      <c r="D60" s="14"/>
      <c r="E60" s="14"/>
      <c r="F60" s="14"/>
      <c r="G60" s="14"/>
      <c r="H60" s="14"/>
      <c r="I60" s="14"/>
      <c r="J60" s="13"/>
      <c r="K60" s="13"/>
      <c r="L60" s="13"/>
      <c r="M60" s="13"/>
      <c r="N60" s="13"/>
      <c r="O60" s="13"/>
      <c r="P60" s="13"/>
      <c r="Q60" s="13"/>
    </row>
    <row r="61" spans="2:17" ht="34.5" customHeight="1" x14ac:dyDescent="0.35">
      <c r="B61" s="13"/>
      <c r="C61" s="13"/>
      <c r="D61" s="14"/>
      <c r="E61" s="14"/>
      <c r="F61" s="14"/>
      <c r="G61" s="14"/>
      <c r="H61" s="14"/>
      <c r="I61" s="14"/>
      <c r="J61" s="13"/>
      <c r="K61" s="13"/>
      <c r="L61" s="13"/>
      <c r="M61" s="13"/>
      <c r="N61" s="13"/>
      <c r="O61" s="13"/>
      <c r="P61" s="13"/>
      <c r="Q61" s="13"/>
    </row>
    <row r="62" spans="2:17" ht="34.5" customHeight="1" x14ac:dyDescent="0.35">
      <c r="B62" s="13"/>
      <c r="C62" s="13"/>
      <c r="D62" s="14"/>
      <c r="E62" s="14"/>
      <c r="F62" s="14"/>
      <c r="G62" s="14"/>
      <c r="H62" s="14"/>
      <c r="I62" s="14"/>
      <c r="J62" s="13"/>
      <c r="K62" s="13"/>
      <c r="L62" s="13"/>
      <c r="M62" s="13"/>
      <c r="N62" s="13"/>
      <c r="O62" s="13"/>
      <c r="P62" s="13"/>
      <c r="Q62" s="13"/>
    </row>
    <row r="63" spans="2:17" ht="34.5" customHeight="1" x14ac:dyDescent="0.35">
      <c r="B63" s="13"/>
      <c r="C63" s="13"/>
      <c r="D63" s="14"/>
      <c r="E63" s="14"/>
      <c r="F63" s="14"/>
      <c r="G63" s="14"/>
      <c r="H63" s="14"/>
      <c r="I63" s="14"/>
      <c r="J63" s="13"/>
      <c r="K63" s="13"/>
      <c r="L63" s="13"/>
      <c r="M63" s="13"/>
      <c r="N63" s="13"/>
      <c r="O63" s="13"/>
      <c r="P63" s="13"/>
      <c r="Q63" s="16"/>
    </row>
    <row r="64" spans="2:17" ht="34.5" customHeight="1" x14ac:dyDescent="0.35">
      <c r="B64" s="13"/>
      <c r="C64" s="13"/>
      <c r="D64" s="14"/>
      <c r="E64" s="14"/>
      <c r="F64" s="14"/>
      <c r="G64" s="14"/>
      <c r="H64" s="14"/>
      <c r="I64" s="14"/>
      <c r="J64" s="13"/>
      <c r="K64" s="13"/>
      <c r="L64" s="13"/>
      <c r="M64" s="13"/>
      <c r="N64" s="13"/>
      <c r="O64" s="13"/>
      <c r="P64" s="13"/>
      <c r="Q64" s="13"/>
    </row>
    <row r="65" spans="2:17" ht="34.5" customHeight="1" x14ac:dyDescent="0.35">
      <c r="B65" s="13"/>
      <c r="C65" s="13"/>
      <c r="D65" s="14"/>
      <c r="E65" s="14"/>
      <c r="F65" s="14"/>
      <c r="G65" s="14"/>
      <c r="H65" s="14"/>
      <c r="I65" s="14"/>
      <c r="J65" s="13"/>
      <c r="K65" s="13"/>
      <c r="L65" s="13"/>
      <c r="M65" s="13"/>
      <c r="N65" s="13"/>
      <c r="O65" s="13"/>
      <c r="P65" s="13"/>
      <c r="Q65" s="13"/>
    </row>
    <row r="66" spans="2:17" ht="34.5" customHeight="1" x14ac:dyDescent="0.35">
      <c r="B66" s="13"/>
      <c r="C66" s="13"/>
      <c r="D66" s="14"/>
      <c r="E66" s="14"/>
      <c r="F66" s="14"/>
      <c r="G66" s="14"/>
      <c r="H66" s="14"/>
      <c r="I66" s="14"/>
      <c r="J66" s="13"/>
      <c r="K66" s="13"/>
      <c r="L66" s="13"/>
      <c r="M66" s="13"/>
      <c r="N66" s="13"/>
      <c r="O66" s="13"/>
      <c r="P66" s="13"/>
      <c r="Q66" s="13"/>
    </row>
    <row r="67" spans="2:17" ht="34.5" customHeight="1" x14ac:dyDescent="0.35">
      <c r="B67" s="13"/>
      <c r="C67" s="13"/>
      <c r="D67" s="14"/>
      <c r="E67" s="14"/>
      <c r="F67" s="14"/>
      <c r="G67" s="14"/>
      <c r="H67" s="14"/>
      <c r="I67" s="14"/>
      <c r="J67" s="13"/>
      <c r="K67" s="13"/>
      <c r="L67" s="13"/>
      <c r="M67" s="13"/>
      <c r="N67" s="13"/>
      <c r="O67" s="13"/>
      <c r="P67" s="13"/>
      <c r="Q67" s="13"/>
    </row>
    <row r="68" spans="2:17" ht="34.5" customHeight="1" x14ac:dyDescent="0.35">
      <c r="B68" s="13"/>
      <c r="C68" s="13"/>
      <c r="D68" s="14"/>
      <c r="E68" s="14"/>
      <c r="F68" s="14"/>
      <c r="G68" s="14"/>
      <c r="H68" s="14"/>
      <c r="I68" s="14"/>
      <c r="J68" s="13"/>
      <c r="K68" s="13"/>
      <c r="L68" s="13"/>
      <c r="M68" s="13"/>
      <c r="N68" s="13"/>
      <c r="O68" s="13"/>
      <c r="P68" s="13"/>
      <c r="Q68" s="16"/>
    </row>
    <row r="69" spans="2:17" ht="34.5" customHeight="1" x14ac:dyDescent="0.35">
      <c r="B69" s="13"/>
      <c r="C69" s="13"/>
      <c r="D69" s="14"/>
      <c r="E69" s="14"/>
      <c r="F69" s="14"/>
      <c r="G69" s="14"/>
      <c r="H69" s="14"/>
      <c r="I69" s="14"/>
      <c r="J69" s="13"/>
      <c r="K69" s="13"/>
      <c r="L69" s="13"/>
      <c r="M69" s="13"/>
      <c r="N69" s="13"/>
      <c r="O69" s="13"/>
      <c r="P69" s="13"/>
      <c r="Q69" s="13"/>
    </row>
    <row r="70" spans="2:17" ht="34.5" customHeight="1" x14ac:dyDescent="0.35">
      <c r="B70" s="13"/>
      <c r="C70" s="13"/>
      <c r="D70" s="14"/>
      <c r="E70" s="14"/>
      <c r="F70" s="14"/>
      <c r="G70" s="14"/>
      <c r="H70" s="14"/>
      <c r="I70" s="14"/>
      <c r="J70" s="13"/>
      <c r="K70" s="13"/>
      <c r="L70" s="13"/>
      <c r="M70" s="13"/>
      <c r="N70" s="13"/>
      <c r="O70" s="13"/>
      <c r="P70" s="13"/>
      <c r="Q70" s="13"/>
    </row>
    <row r="71" spans="2:17" ht="34.5" customHeight="1" x14ac:dyDescent="0.35">
      <c r="B71" s="13"/>
      <c r="C71" s="13"/>
      <c r="D71" s="14"/>
      <c r="E71" s="14"/>
      <c r="F71" s="14"/>
      <c r="G71" s="14"/>
      <c r="H71" s="14"/>
      <c r="I71" s="14"/>
      <c r="J71" s="13"/>
      <c r="K71" s="13"/>
      <c r="L71" s="13"/>
      <c r="M71" s="13"/>
      <c r="N71" s="13"/>
      <c r="O71" s="13"/>
      <c r="P71" s="13"/>
      <c r="Q71" s="13"/>
    </row>
    <row r="72" spans="2:17" ht="34.5" customHeight="1" x14ac:dyDescent="0.35">
      <c r="B72" s="13"/>
      <c r="C72" s="13"/>
      <c r="D72" s="14"/>
      <c r="E72" s="14"/>
      <c r="F72" s="14"/>
      <c r="G72" s="14"/>
      <c r="H72" s="14"/>
      <c r="I72" s="14"/>
      <c r="J72" s="13"/>
      <c r="K72" s="13"/>
      <c r="L72" s="13"/>
      <c r="M72" s="13"/>
      <c r="N72" s="13"/>
      <c r="O72" s="13"/>
      <c r="P72" s="13"/>
      <c r="Q72" s="13"/>
    </row>
    <row r="73" spans="2:17" ht="34.5" customHeight="1" x14ac:dyDescent="0.35">
      <c r="B73" s="13"/>
      <c r="C73" s="13"/>
      <c r="D73" s="14"/>
      <c r="E73" s="14"/>
      <c r="F73" s="14"/>
      <c r="G73" s="14"/>
      <c r="H73" s="14"/>
      <c r="I73" s="14"/>
      <c r="J73" s="13"/>
      <c r="K73" s="13"/>
      <c r="L73" s="13"/>
      <c r="M73" s="13"/>
      <c r="N73" s="13"/>
      <c r="O73" s="13"/>
      <c r="P73" s="13"/>
      <c r="Q73" s="16"/>
    </row>
    <row r="74" spans="2:17" ht="34.5" customHeight="1" x14ac:dyDescent="0.35">
      <c r="B74" s="13"/>
      <c r="C74" s="13"/>
      <c r="D74" s="14"/>
      <c r="E74" s="14"/>
      <c r="F74" s="14"/>
      <c r="G74" s="14"/>
      <c r="H74" s="14"/>
      <c r="I74" s="14"/>
      <c r="J74" s="13"/>
      <c r="K74" s="13"/>
      <c r="L74" s="13"/>
      <c r="M74" s="13"/>
      <c r="N74" s="13"/>
      <c r="O74" s="13"/>
      <c r="P74" s="13"/>
      <c r="Q74" s="13"/>
    </row>
    <row r="75" spans="2:17" ht="34.5" customHeight="1" x14ac:dyDescent="0.35">
      <c r="B75" s="13"/>
      <c r="C75" s="13"/>
      <c r="D75" s="14"/>
      <c r="E75" s="14"/>
      <c r="F75" s="14"/>
      <c r="G75" s="14"/>
      <c r="H75" s="14"/>
      <c r="I75" s="14"/>
      <c r="J75" s="13"/>
      <c r="K75" s="13"/>
      <c r="L75" s="13"/>
      <c r="M75" s="13"/>
      <c r="N75" s="13"/>
      <c r="O75" s="13"/>
      <c r="P75" s="13"/>
      <c r="Q75" s="13"/>
    </row>
    <row r="76" spans="2:17" ht="34.5" customHeight="1" x14ac:dyDescent="0.35">
      <c r="B76" s="13"/>
      <c r="C76" s="13"/>
      <c r="D76" s="14"/>
      <c r="E76" s="14"/>
      <c r="F76" s="14"/>
      <c r="G76" s="14"/>
      <c r="H76" s="14"/>
      <c r="I76" s="14"/>
      <c r="J76" s="13"/>
      <c r="K76" s="13"/>
      <c r="L76" s="13"/>
      <c r="M76" s="13"/>
      <c r="N76" s="13"/>
      <c r="O76" s="13"/>
      <c r="P76" s="13"/>
      <c r="Q76" s="13"/>
    </row>
    <row r="77" spans="2:17" ht="34.5" customHeight="1" x14ac:dyDescent="0.35">
      <c r="B77" s="13"/>
      <c r="C77" s="13"/>
      <c r="D77" s="14"/>
      <c r="E77" s="14"/>
      <c r="F77" s="14"/>
      <c r="G77" s="14"/>
      <c r="H77" s="14"/>
      <c r="I77" s="14"/>
      <c r="J77" s="13"/>
      <c r="K77" s="13"/>
      <c r="L77" s="13"/>
      <c r="M77" s="13"/>
      <c r="N77" s="13"/>
      <c r="O77" s="13"/>
      <c r="P77" s="13"/>
      <c r="Q77" s="13"/>
    </row>
    <row r="78" spans="2:17" ht="34.5" customHeight="1" x14ac:dyDescent="0.35">
      <c r="B78" s="13"/>
      <c r="C78" s="13"/>
      <c r="D78" s="14"/>
      <c r="E78" s="14"/>
      <c r="F78" s="14"/>
      <c r="G78" s="14"/>
      <c r="H78" s="14"/>
      <c r="I78" s="14"/>
      <c r="J78" s="13"/>
      <c r="K78" s="13"/>
      <c r="L78" s="13"/>
      <c r="M78" s="13"/>
      <c r="N78" s="13"/>
      <c r="O78" s="13"/>
      <c r="P78" s="13"/>
      <c r="Q78" s="16"/>
    </row>
    <row r="79" spans="2:17" ht="34.5" customHeight="1" x14ac:dyDescent="0.35">
      <c r="B79" s="13"/>
      <c r="C79" s="13"/>
      <c r="D79" s="14"/>
      <c r="E79" s="14"/>
      <c r="F79" s="14"/>
      <c r="G79" s="14"/>
      <c r="H79" s="14"/>
      <c r="I79" s="14"/>
      <c r="J79" s="13"/>
      <c r="K79" s="13"/>
      <c r="L79" s="13"/>
      <c r="M79" s="13"/>
      <c r="N79" s="13"/>
      <c r="O79" s="13"/>
      <c r="P79" s="13"/>
      <c r="Q79" s="13"/>
    </row>
    <row r="80" spans="2:17" ht="34.5" customHeight="1" x14ac:dyDescent="0.35">
      <c r="B80" s="13"/>
      <c r="C80" s="13"/>
      <c r="D80" s="14"/>
      <c r="E80" s="14"/>
      <c r="F80" s="14"/>
      <c r="G80" s="14"/>
      <c r="H80" s="14"/>
      <c r="I80" s="14"/>
      <c r="J80" s="13"/>
      <c r="K80" s="13"/>
      <c r="L80" s="13"/>
      <c r="M80" s="13"/>
      <c r="N80" s="13"/>
      <c r="O80" s="13"/>
      <c r="P80" s="13"/>
      <c r="Q80" s="13"/>
    </row>
    <row r="81" spans="2:17" ht="34.5" customHeight="1" x14ac:dyDescent="0.35">
      <c r="B81" s="13"/>
      <c r="C81" s="13"/>
      <c r="D81" s="14"/>
      <c r="E81" s="14"/>
      <c r="F81" s="14"/>
      <c r="G81" s="14"/>
      <c r="H81" s="14"/>
      <c r="I81" s="14"/>
      <c r="J81" s="13"/>
      <c r="K81" s="13"/>
      <c r="L81" s="13"/>
      <c r="M81" s="13"/>
      <c r="N81" s="13"/>
      <c r="O81" s="13"/>
      <c r="P81" s="13"/>
      <c r="Q81" s="13"/>
    </row>
    <row r="82" spans="2:17" ht="34.5" customHeight="1" x14ac:dyDescent="0.35">
      <c r="B82" s="13"/>
      <c r="C82" s="13"/>
      <c r="D82" s="14"/>
      <c r="E82" s="14"/>
      <c r="F82" s="14"/>
      <c r="G82" s="14"/>
      <c r="H82" s="14"/>
      <c r="I82" s="14"/>
      <c r="J82" s="13"/>
      <c r="K82" s="13"/>
      <c r="L82" s="13"/>
      <c r="M82" s="13"/>
      <c r="N82" s="13"/>
      <c r="O82" s="13"/>
      <c r="P82" s="13"/>
      <c r="Q82" s="13"/>
    </row>
    <row r="83" spans="2:17" ht="34.5" customHeight="1" x14ac:dyDescent="0.35">
      <c r="B83" s="13"/>
      <c r="C83" s="13"/>
      <c r="D83" s="14"/>
      <c r="E83" s="14"/>
      <c r="F83" s="14"/>
      <c r="G83" s="14"/>
      <c r="H83" s="14"/>
      <c r="I83" s="14"/>
      <c r="J83" s="13"/>
      <c r="K83" s="13"/>
      <c r="L83" s="13"/>
      <c r="M83" s="13"/>
      <c r="N83" s="13"/>
      <c r="O83" s="13"/>
      <c r="P83" s="13"/>
      <c r="Q83" s="16"/>
    </row>
    <row r="84" spans="2:17" ht="34.5" customHeight="1" x14ac:dyDescent="0.35">
      <c r="B84" s="13"/>
      <c r="C84" s="13"/>
      <c r="D84" s="14"/>
      <c r="E84" s="14"/>
      <c r="F84" s="14"/>
      <c r="G84" s="14"/>
      <c r="H84" s="14"/>
      <c r="I84" s="14"/>
      <c r="J84" s="13"/>
      <c r="K84" s="13"/>
      <c r="L84" s="13"/>
      <c r="M84" s="13"/>
      <c r="N84" s="13"/>
      <c r="O84" s="13"/>
      <c r="P84" s="13"/>
      <c r="Q84" s="13"/>
    </row>
    <row r="85" spans="2:17" ht="34.5" customHeight="1" x14ac:dyDescent="0.35">
      <c r="B85" s="13"/>
      <c r="C85" s="13"/>
      <c r="D85" s="14"/>
      <c r="E85" s="14"/>
      <c r="F85" s="14"/>
      <c r="G85" s="14"/>
      <c r="H85" s="14"/>
      <c r="I85" s="14"/>
      <c r="J85" s="13"/>
      <c r="K85" s="13"/>
      <c r="L85" s="13"/>
      <c r="M85" s="13"/>
      <c r="N85" s="13"/>
      <c r="O85" s="13"/>
      <c r="P85" s="13"/>
      <c r="Q85" s="13"/>
    </row>
    <row r="86" spans="2:17" ht="34.5" customHeight="1" x14ac:dyDescent="0.35">
      <c r="B86" s="13"/>
      <c r="C86" s="13"/>
      <c r="D86" s="14"/>
      <c r="E86" s="14"/>
      <c r="F86" s="14"/>
      <c r="G86" s="14"/>
      <c r="H86" s="14"/>
      <c r="I86" s="14"/>
      <c r="J86" s="13"/>
      <c r="K86" s="13"/>
      <c r="L86" s="13"/>
      <c r="M86" s="13"/>
      <c r="N86" s="13"/>
      <c r="O86" s="13"/>
      <c r="P86" s="13"/>
      <c r="Q86" s="13"/>
    </row>
    <row r="87" spans="2:17" ht="34.5" customHeight="1" x14ac:dyDescent="0.35">
      <c r="B87" s="13"/>
      <c r="C87" s="13"/>
      <c r="D87" s="14"/>
      <c r="E87" s="14"/>
      <c r="F87" s="14"/>
      <c r="G87" s="14"/>
      <c r="H87" s="14"/>
      <c r="I87" s="14"/>
      <c r="J87" s="13"/>
      <c r="K87" s="13"/>
      <c r="L87" s="13"/>
      <c r="M87" s="13"/>
      <c r="N87" s="13"/>
      <c r="O87" s="13"/>
      <c r="P87" s="13"/>
      <c r="Q87" s="13"/>
    </row>
    <row r="88" spans="2:17" ht="34.5" customHeight="1" x14ac:dyDescent="0.35">
      <c r="B88" s="13"/>
      <c r="C88" s="13"/>
      <c r="D88" s="14"/>
      <c r="E88" s="14"/>
      <c r="F88" s="14"/>
      <c r="G88" s="14"/>
      <c r="H88" s="14"/>
      <c r="I88" s="14"/>
      <c r="J88" s="13"/>
      <c r="K88" s="13"/>
      <c r="L88" s="13"/>
      <c r="M88" s="13"/>
      <c r="N88" s="13"/>
      <c r="O88" s="13"/>
      <c r="P88" s="13"/>
      <c r="Q88" s="16"/>
    </row>
    <row r="89" spans="2:17" ht="34.5" customHeight="1" x14ac:dyDescent="0.35">
      <c r="B89" s="13"/>
      <c r="C89" s="13"/>
      <c r="D89" s="14"/>
      <c r="E89" s="14"/>
      <c r="F89" s="14"/>
      <c r="G89" s="14"/>
      <c r="H89" s="14"/>
      <c r="I89" s="14"/>
      <c r="J89" s="13"/>
      <c r="K89" s="13"/>
      <c r="L89" s="13"/>
      <c r="M89" s="13"/>
      <c r="N89" s="13"/>
      <c r="O89" s="13"/>
      <c r="P89" s="13"/>
      <c r="Q89" s="13"/>
    </row>
    <row r="90" spans="2:17" ht="34.5" customHeight="1" x14ac:dyDescent="0.35">
      <c r="B90" s="13"/>
      <c r="C90" s="13"/>
      <c r="D90" s="14"/>
      <c r="E90" s="14"/>
      <c r="F90" s="14"/>
      <c r="G90" s="14"/>
      <c r="H90" s="14"/>
      <c r="I90" s="14"/>
      <c r="J90" s="13"/>
      <c r="K90" s="13"/>
      <c r="L90" s="13"/>
      <c r="M90" s="13"/>
      <c r="N90" s="13"/>
      <c r="O90" s="13"/>
      <c r="P90" s="13"/>
      <c r="Q90" s="13"/>
    </row>
    <row r="91" spans="2:17" ht="34.5" customHeight="1" x14ac:dyDescent="0.35">
      <c r="B91" s="13"/>
      <c r="C91" s="13"/>
      <c r="D91" s="14"/>
      <c r="E91" s="14"/>
      <c r="F91" s="14"/>
      <c r="G91" s="14"/>
      <c r="H91" s="14"/>
      <c r="I91" s="14"/>
      <c r="J91" s="13"/>
      <c r="K91" s="13"/>
      <c r="L91" s="13"/>
      <c r="M91" s="13"/>
      <c r="N91" s="13"/>
      <c r="O91" s="13"/>
      <c r="P91" s="13"/>
      <c r="Q91" s="13"/>
    </row>
    <row r="92" spans="2:17" ht="34.5" customHeight="1" x14ac:dyDescent="0.35">
      <c r="B92" s="13"/>
      <c r="C92" s="13"/>
      <c r="D92" s="14"/>
      <c r="E92" s="14"/>
      <c r="F92" s="14"/>
      <c r="G92" s="14"/>
      <c r="H92" s="14"/>
      <c r="I92" s="14"/>
      <c r="J92" s="13"/>
      <c r="K92" s="13"/>
      <c r="L92" s="13"/>
      <c r="M92" s="13"/>
      <c r="N92" s="13"/>
      <c r="O92" s="13"/>
      <c r="P92" s="13"/>
      <c r="Q92" s="13"/>
    </row>
    <row r="93" spans="2:17" ht="34.5" customHeight="1" x14ac:dyDescent="0.35">
      <c r="B93" s="13"/>
      <c r="C93" s="13"/>
      <c r="D93" s="14"/>
      <c r="E93" s="14"/>
      <c r="F93" s="14"/>
      <c r="G93" s="14"/>
      <c r="H93" s="14"/>
      <c r="I93" s="14"/>
      <c r="J93" s="13"/>
      <c r="K93" s="13"/>
      <c r="L93" s="13"/>
      <c r="M93" s="13"/>
      <c r="N93" s="13"/>
      <c r="O93" s="13"/>
      <c r="P93" s="13"/>
      <c r="Q93" s="16"/>
    </row>
    <row r="94" spans="2:17" ht="34.5" customHeight="1" x14ac:dyDescent="0.35">
      <c r="B94" s="13"/>
      <c r="C94" s="13"/>
      <c r="D94" s="14"/>
      <c r="E94" s="14"/>
      <c r="F94" s="14"/>
      <c r="G94" s="14"/>
      <c r="H94" s="14"/>
      <c r="I94" s="14"/>
      <c r="J94" s="13"/>
      <c r="K94" s="13"/>
      <c r="L94" s="13"/>
      <c r="M94" s="13"/>
      <c r="N94" s="13"/>
      <c r="O94" s="13"/>
      <c r="P94" s="13"/>
      <c r="Q94" s="13"/>
    </row>
    <row r="95" spans="2:17" ht="34.5" customHeight="1" x14ac:dyDescent="0.35">
      <c r="B95" s="13"/>
      <c r="C95" s="13"/>
      <c r="D95" s="14"/>
      <c r="E95" s="14"/>
      <c r="F95" s="14"/>
      <c r="G95" s="14"/>
      <c r="H95" s="14"/>
      <c r="I95" s="14"/>
      <c r="J95" s="13"/>
      <c r="K95" s="13"/>
      <c r="L95" s="13"/>
      <c r="M95" s="13"/>
      <c r="N95" s="13"/>
      <c r="O95" s="13"/>
      <c r="P95" s="13"/>
      <c r="Q95" s="13"/>
    </row>
    <row r="96" spans="2:17" ht="34.5" customHeight="1" x14ac:dyDescent="0.35">
      <c r="B96" s="13"/>
      <c r="C96" s="13"/>
      <c r="D96" s="14"/>
      <c r="E96" s="14"/>
      <c r="F96" s="14"/>
      <c r="G96" s="14"/>
      <c r="H96" s="14"/>
      <c r="I96" s="14"/>
      <c r="J96" s="13"/>
      <c r="K96" s="13"/>
      <c r="L96" s="13"/>
      <c r="M96" s="13"/>
      <c r="N96" s="13"/>
      <c r="O96" s="13"/>
      <c r="P96" s="13"/>
      <c r="Q96" s="13"/>
    </row>
    <row r="97" spans="2:17" ht="34.5" customHeight="1" x14ac:dyDescent="0.35">
      <c r="B97" s="13"/>
      <c r="C97" s="13"/>
      <c r="D97" s="14"/>
      <c r="E97" s="14"/>
      <c r="F97" s="14"/>
      <c r="G97" s="14"/>
      <c r="H97" s="14"/>
      <c r="I97" s="14"/>
      <c r="J97" s="13"/>
      <c r="K97" s="13"/>
      <c r="L97" s="13"/>
      <c r="M97" s="13"/>
      <c r="N97" s="13"/>
      <c r="O97" s="13"/>
      <c r="P97" s="13"/>
      <c r="Q97" s="13"/>
    </row>
    <row r="98" spans="2:17" ht="34.5" customHeight="1" x14ac:dyDescent="0.35">
      <c r="B98" s="13"/>
      <c r="C98" s="13"/>
      <c r="D98" s="14"/>
      <c r="E98" s="14"/>
      <c r="F98" s="14"/>
      <c r="G98" s="14"/>
      <c r="H98" s="14"/>
      <c r="I98" s="14"/>
      <c r="J98" s="13"/>
      <c r="K98" s="13"/>
      <c r="L98" s="13"/>
      <c r="M98" s="13"/>
      <c r="N98" s="13"/>
      <c r="O98" s="13"/>
      <c r="P98" s="13"/>
      <c r="Q98" s="16"/>
    </row>
    <row r="99" spans="2:17" ht="34.5" customHeight="1" x14ac:dyDescent="0.35">
      <c r="B99" s="13"/>
      <c r="C99" s="13"/>
      <c r="D99" s="14"/>
      <c r="E99" s="14"/>
      <c r="F99" s="14"/>
      <c r="G99" s="14"/>
      <c r="H99" s="14"/>
      <c r="I99" s="14"/>
      <c r="J99" s="13"/>
      <c r="K99" s="13"/>
      <c r="L99" s="13"/>
      <c r="M99" s="13"/>
      <c r="N99" s="13"/>
      <c r="O99" s="13"/>
      <c r="P99" s="13"/>
      <c r="Q99" s="13"/>
    </row>
    <row r="100" spans="2:17" ht="34.5" customHeight="1" x14ac:dyDescent="0.35">
      <c r="B100" s="13"/>
      <c r="C100" s="13"/>
      <c r="D100" s="14"/>
      <c r="E100" s="14"/>
      <c r="F100" s="14"/>
      <c r="G100" s="14"/>
      <c r="H100" s="14"/>
      <c r="I100" s="14"/>
      <c r="J100" s="13"/>
      <c r="K100" s="13"/>
      <c r="L100" s="13"/>
      <c r="M100" s="13"/>
      <c r="N100" s="13"/>
      <c r="O100" s="13"/>
      <c r="P100" s="13"/>
      <c r="Q100" s="13"/>
    </row>
    <row r="101" spans="2:17" ht="34.5" customHeight="1" x14ac:dyDescent="0.35">
      <c r="B101" s="13"/>
      <c r="C101" s="13"/>
      <c r="D101" s="14"/>
      <c r="E101" s="14"/>
      <c r="F101" s="14"/>
      <c r="G101" s="14"/>
      <c r="H101" s="14"/>
      <c r="I101" s="14"/>
      <c r="J101" s="13"/>
      <c r="K101" s="13"/>
      <c r="L101" s="13"/>
      <c r="M101" s="13"/>
      <c r="N101" s="13"/>
      <c r="O101" s="13"/>
      <c r="P101" s="13"/>
      <c r="Q101" s="13"/>
    </row>
    <row r="102" spans="2:17" ht="34.5" customHeight="1" x14ac:dyDescent="0.35">
      <c r="B102" s="13"/>
      <c r="C102" s="13"/>
      <c r="D102" s="14"/>
      <c r="E102" s="14"/>
      <c r="F102" s="14"/>
      <c r="G102" s="14"/>
      <c r="H102" s="14"/>
      <c r="I102" s="14"/>
      <c r="J102" s="13"/>
      <c r="K102" s="13"/>
      <c r="L102" s="13"/>
      <c r="M102" s="13"/>
      <c r="N102" s="13"/>
      <c r="O102" s="13"/>
      <c r="P102" s="13"/>
      <c r="Q102" s="13"/>
    </row>
    <row r="103" spans="2:17" ht="34.5" customHeight="1" x14ac:dyDescent="0.35">
      <c r="B103" s="13"/>
      <c r="C103" s="13"/>
      <c r="D103" s="14"/>
      <c r="E103" s="14"/>
      <c r="F103" s="14"/>
      <c r="G103" s="14"/>
      <c r="H103" s="14"/>
      <c r="I103" s="14"/>
      <c r="J103" s="13"/>
      <c r="K103" s="13"/>
      <c r="L103" s="13"/>
      <c r="M103" s="13"/>
      <c r="N103" s="13"/>
      <c r="O103" s="13"/>
      <c r="P103" s="13"/>
      <c r="Q103" s="13"/>
    </row>
    <row r="104" spans="2:17" ht="34.5" customHeight="1" x14ac:dyDescent="0.35">
      <c r="B104" s="13"/>
      <c r="C104" s="13"/>
      <c r="D104" s="14"/>
      <c r="E104" s="14"/>
      <c r="F104" s="14"/>
      <c r="G104" s="14"/>
      <c r="H104" s="14"/>
      <c r="I104" s="14"/>
      <c r="J104" s="13"/>
      <c r="K104" s="13"/>
      <c r="L104" s="13"/>
      <c r="M104" s="13"/>
      <c r="N104" s="13"/>
      <c r="O104" s="13"/>
      <c r="P104" s="13"/>
      <c r="Q104" s="13"/>
    </row>
    <row r="105" spans="2:17" ht="34.5" customHeight="1" x14ac:dyDescent="0.35">
      <c r="B105" s="13"/>
      <c r="C105" s="13"/>
      <c r="D105" s="14"/>
      <c r="E105" s="14"/>
      <c r="F105" s="14"/>
      <c r="G105" s="14"/>
      <c r="H105" s="14"/>
      <c r="I105" s="14"/>
      <c r="J105" s="13"/>
      <c r="K105" s="13"/>
      <c r="L105" s="13"/>
      <c r="M105" s="13"/>
      <c r="N105" s="13"/>
      <c r="O105" s="13"/>
      <c r="P105" s="13"/>
      <c r="Q105" s="16"/>
    </row>
    <row r="106" spans="2:17" ht="34.5" customHeight="1" x14ac:dyDescent="0.35">
      <c r="B106" s="13"/>
      <c r="C106" s="13"/>
      <c r="D106" s="14"/>
      <c r="E106" s="14"/>
      <c r="F106" s="14"/>
      <c r="G106" s="14"/>
      <c r="H106" s="14"/>
      <c r="I106" s="14"/>
      <c r="J106" s="13"/>
      <c r="K106" s="13"/>
      <c r="L106" s="13"/>
      <c r="M106" s="13"/>
      <c r="N106" s="13"/>
      <c r="O106" s="13"/>
      <c r="P106" s="13"/>
      <c r="Q106" s="13"/>
    </row>
    <row r="107" spans="2:17" ht="34.5" customHeight="1" x14ac:dyDescent="0.35">
      <c r="B107" s="13"/>
      <c r="C107" s="13"/>
      <c r="D107" s="14"/>
      <c r="E107" s="14"/>
      <c r="F107" s="14"/>
      <c r="G107" s="14"/>
      <c r="H107" s="14"/>
      <c r="I107" s="14"/>
      <c r="J107" s="13"/>
      <c r="K107" s="13"/>
      <c r="L107" s="13"/>
      <c r="M107" s="13"/>
      <c r="N107" s="13"/>
      <c r="O107" s="13"/>
      <c r="P107" s="13"/>
      <c r="Q107" s="13"/>
    </row>
    <row r="108" spans="2:17" ht="34.5" customHeight="1" x14ac:dyDescent="0.35">
      <c r="B108" s="13"/>
      <c r="C108" s="13"/>
      <c r="D108" s="14"/>
      <c r="E108" s="14"/>
      <c r="F108" s="14"/>
      <c r="G108" s="14"/>
      <c r="H108" s="14"/>
      <c r="I108" s="14"/>
      <c r="J108" s="13"/>
      <c r="K108" s="13"/>
      <c r="L108" s="13"/>
      <c r="M108" s="13"/>
      <c r="N108" s="13"/>
      <c r="O108" s="13"/>
      <c r="P108" s="13"/>
      <c r="Q108" s="13"/>
    </row>
    <row r="109" spans="2:17" ht="34.5" customHeight="1" x14ac:dyDescent="0.35">
      <c r="B109" s="13"/>
      <c r="C109" s="13"/>
      <c r="D109" s="14"/>
      <c r="E109" s="14"/>
      <c r="F109" s="14"/>
      <c r="G109" s="14"/>
      <c r="H109" s="14"/>
      <c r="I109" s="14"/>
      <c r="J109" s="13"/>
      <c r="K109" s="13"/>
      <c r="L109" s="13"/>
      <c r="M109" s="13"/>
      <c r="N109" s="13"/>
      <c r="O109" s="13"/>
      <c r="P109" s="13"/>
      <c r="Q109" s="16"/>
    </row>
    <row r="110" spans="2:17" ht="34.5" customHeight="1" x14ac:dyDescent="0.35">
      <c r="B110" s="13"/>
      <c r="C110" s="13"/>
      <c r="D110" s="14"/>
      <c r="E110" s="14"/>
      <c r="F110" s="14"/>
      <c r="G110" s="14"/>
      <c r="H110" s="14"/>
      <c r="I110" s="14"/>
      <c r="J110" s="13"/>
      <c r="K110" s="13"/>
      <c r="L110" s="13"/>
      <c r="M110" s="13"/>
      <c r="N110" s="13"/>
      <c r="O110" s="13"/>
      <c r="P110" s="13"/>
      <c r="Q110" s="13"/>
    </row>
    <row r="111" spans="2:17" ht="34.5" customHeight="1" x14ac:dyDescent="0.35">
      <c r="B111" s="13"/>
      <c r="C111" s="13"/>
      <c r="D111" s="14"/>
      <c r="E111" s="14"/>
      <c r="F111" s="14"/>
      <c r="G111" s="14"/>
      <c r="H111" s="14"/>
      <c r="I111" s="14"/>
      <c r="J111" s="13"/>
      <c r="K111" s="13"/>
      <c r="L111" s="13"/>
      <c r="M111" s="13"/>
      <c r="N111" s="13"/>
      <c r="O111" s="13"/>
      <c r="P111" s="13"/>
      <c r="Q111" s="13"/>
    </row>
    <row r="112" spans="2:17" ht="34.5" customHeight="1" x14ac:dyDescent="0.35">
      <c r="B112" s="13"/>
      <c r="C112" s="13"/>
      <c r="D112" s="14"/>
      <c r="E112" s="14"/>
      <c r="F112" s="14"/>
      <c r="G112" s="14"/>
      <c r="H112" s="14"/>
      <c r="I112" s="14"/>
      <c r="J112" s="13"/>
      <c r="K112" s="13"/>
      <c r="L112" s="13"/>
      <c r="M112" s="13"/>
      <c r="N112" s="13"/>
      <c r="O112" s="13"/>
      <c r="P112" s="13"/>
      <c r="Q112" s="13"/>
    </row>
    <row r="113" spans="2:17" ht="34.5" customHeight="1" x14ac:dyDescent="0.35">
      <c r="B113" s="13"/>
      <c r="C113" s="13"/>
      <c r="D113" s="14"/>
      <c r="E113" s="14"/>
      <c r="F113" s="14"/>
      <c r="G113" s="14"/>
      <c r="H113" s="14"/>
      <c r="I113" s="14"/>
      <c r="J113" s="13"/>
      <c r="K113" s="13"/>
      <c r="L113" s="13"/>
      <c r="M113" s="13"/>
      <c r="N113" s="13"/>
      <c r="O113" s="13"/>
      <c r="P113" s="13"/>
      <c r="Q113" s="13"/>
    </row>
    <row r="114" spans="2:17" ht="34.5" customHeight="1" x14ac:dyDescent="0.35">
      <c r="B114" s="13"/>
      <c r="C114" s="13"/>
      <c r="D114" s="14"/>
      <c r="E114" s="14"/>
      <c r="F114" s="14"/>
      <c r="G114" s="14"/>
      <c r="H114" s="14"/>
      <c r="I114" s="14"/>
      <c r="J114" s="13"/>
      <c r="K114" s="13"/>
      <c r="L114" s="13"/>
      <c r="M114" s="13"/>
      <c r="N114" s="13"/>
      <c r="O114" s="13"/>
      <c r="P114" s="13"/>
      <c r="Q114" s="16"/>
    </row>
    <row r="115" spans="2:17" ht="34.5" customHeight="1" x14ac:dyDescent="0.35">
      <c r="B115" s="13"/>
      <c r="C115" s="13"/>
      <c r="D115" s="14"/>
      <c r="E115" s="14"/>
      <c r="F115" s="14"/>
      <c r="G115" s="14"/>
      <c r="H115" s="14"/>
      <c r="I115" s="14"/>
      <c r="J115" s="13"/>
      <c r="K115" s="13"/>
      <c r="L115" s="13"/>
      <c r="M115" s="13"/>
      <c r="N115" s="13"/>
      <c r="O115" s="13"/>
      <c r="P115" s="13"/>
      <c r="Q115" s="13"/>
    </row>
    <row r="116" spans="2:17" ht="34.5" customHeight="1" x14ac:dyDescent="0.35">
      <c r="B116" s="13"/>
      <c r="C116" s="13"/>
      <c r="D116" s="14"/>
      <c r="E116" s="14"/>
      <c r="F116" s="14"/>
      <c r="G116" s="14"/>
      <c r="H116" s="14"/>
      <c r="I116" s="14"/>
      <c r="J116" s="13"/>
      <c r="K116" s="13"/>
      <c r="L116" s="13"/>
      <c r="M116" s="13"/>
      <c r="N116" s="13"/>
      <c r="O116" s="13"/>
      <c r="P116" s="13"/>
      <c r="Q116" s="13"/>
    </row>
    <row r="117" spans="2:17" ht="34.5" customHeight="1" x14ac:dyDescent="0.35">
      <c r="B117" s="13"/>
      <c r="C117" s="13"/>
      <c r="D117" s="14"/>
      <c r="E117" s="14"/>
      <c r="F117" s="14"/>
      <c r="G117" s="14"/>
      <c r="H117" s="14"/>
      <c r="I117" s="14"/>
      <c r="J117" s="13"/>
      <c r="K117" s="13"/>
      <c r="L117" s="13"/>
      <c r="M117" s="13"/>
      <c r="N117" s="13"/>
      <c r="O117" s="13"/>
      <c r="P117" s="13"/>
      <c r="Q117" s="13"/>
    </row>
    <row r="118" spans="2:17" ht="34.5" customHeight="1" x14ac:dyDescent="0.35">
      <c r="B118" s="13"/>
      <c r="C118" s="13"/>
      <c r="D118" s="14"/>
      <c r="E118" s="14"/>
      <c r="F118" s="14"/>
      <c r="G118" s="14"/>
      <c r="H118" s="14"/>
      <c r="I118" s="14"/>
      <c r="J118" s="13"/>
      <c r="K118" s="13"/>
      <c r="L118" s="13"/>
      <c r="M118" s="13"/>
      <c r="N118" s="13"/>
      <c r="O118" s="13"/>
      <c r="P118" s="13"/>
      <c r="Q118" s="13"/>
    </row>
    <row r="119" spans="2:17" ht="34.5" customHeight="1" x14ac:dyDescent="0.35">
      <c r="B119" s="13"/>
      <c r="C119" s="13"/>
      <c r="D119" s="14"/>
      <c r="E119" s="14"/>
      <c r="F119" s="14"/>
      <c r="G119" s="14"/>
      <c r="H119" s="14"/>
      <c r="I119" s="14"/>
      <c r="J119" s="13"/>
      <c r="K119" s="13"/>
      <c r="L119" s="13"/>
      <c r="M119" s="13"/>
      <c r="N119" s="13"/>
      <c r="O119" s="13"/>
      <c r="P119" s="13"/>
      <c r="Q119" s="16"/>
    </row>
    <row r="120" spans="2:17" ht="34.5" customHeight="1" x14ac:dyDescent="0.35">
      <c r="B120" s="13"/>
      <c r="C120" s="13"/>
      <c r="D120" s="14"/>
      <c r="E120" s="14"/>
      <c r="F120" s="14"/>
      <c r="G120" s="14"/>
      <c r="H120" s="14"/>
      <c r="I120" s="14"/>
      <c r="J120" s="13"/>
      <c r="K120" s="13"/>
      <c r="L120" s="13"/>
      <c r="M120" s="13"/>
      <c r="N120" s="13"/>
      <c r="O120" s="13"/>
      <c r="P120" s="13"/>
      <c r="Q120" s="13"/>
    </row>
    <row r="121" spans="2:17" ht="34.5" customHeight="1" x14ac:dyDescent="0.35">
      <c r="B121" s="13"/>
      <c r="C121" s="13"/>
      <c r="D121" s="14"/>
      <c r="E121" s="14"/>
      <c r="F121" s="14"/>
      <c r="G121" s="14"/>
      <c r="H121" s="14"/>
      <c r="I121" s="14"/>
      <c r="J121" s="13"/>
      <c r="K121" s="13"/>
      <c r="L121" s="13"/>
      <c r="M121" s="13"/>
      <c r="N121" s="13"/>
      <c r="O121" s="13"/>
      <c r="P121" s="13"/>
      <c r="Q121" s="13"/>
    </row>
    <row r="122" spans="2:17" ht="34.5" customHeight="1" x14ac:dyDescent="0.35">
      <c r="B122" s="13"/>
      <c r="C122" s="13"/>
      <c r="D122" s="14"/>
      <c r="E122" s="14"/>
      <c r="F122" s="14"/>
      <c r="G122" s="14"/>
      <c r="H122" s="14"/>
      <c r="I122" s="14"/>
      <c r="J122" s="13"/>
      <c r="K122" s="13"/>
      <c r="L122" s="13"/>
      <c r="M122" s="13"/>
      <c r="N122" s="13"/>
      <c r="O122" s="13"/>
      <c r="P122" s="13"/>
      <c r="Q122" s="13"/>
    </row>
    <row r="123" spans="2:17" ht="34.5" customHeight="1" x14ac:dyDescent="0.35">
      <c r="B123" s="13"/>
      <c r="C123" s="13"/>
      <c r="D123" s="14"/>
      <c r="E123" s="14"/>
      <c r="F123" s="14"/>
      <c r="G123" s="14"/>
      <c r="H123" s="14"/>
      <c r="I123" s="14"/>
      <c r="J123" s="13"/>
      <c r="K123" s="13"/>
      <c r="L123" s="13"/>
      <c r="M123" s="13"/>
      <c r="N123" s="13"/>
      <c r="O123" s="13"/>
      <c r="P123" s="13"/>
      <c r="Q123" s="13"/>
    </row>
    <row r="124" spans="2:17" ht="34.5" customHeight="1" x14ac:dyDescent="0.35">
      <c r="B124" s="13"/>
      <c r="C124" s="13"/>
      <c r="D124" s="14"/>
      <c r="E124" s="14"/>
      <c r="F124" s="14"/>
      <c r="G124" s="14"/>
      <c r="H124" s="14"/>
      <c r="I124" s="14"/>
      <c r="J124" s="13"/>
      <c r="K124" s="13"/>
      <c r="L124" s="13"/>
      <c r="M124" s="13"/>
      <c r="N124" s="13"/>
      <c r="O124" s="13"/>
      <c r="P124" s="13"/>
      <c r="Q124" s="16"/>
    </row>
    <row r="125" spans="2:17" ht="34.5" customHeight="1" x14ac:dyDescent="0.35">
      <c r="B125" s="13"/>
      <c r="C125" s="13"/>
      <c r="D125" s="14"/>
      <c r="E125" s="14"/>
      <c r="F125" s="14"/>
      <c r="G125" s="14"/>
      <c r="H125" s="14"/>
      <c r="I125" s="14"/>
      <c r="J125" s="13"/>
      <c r="K125" s="13"/>
      <c r="L125" s="13"/>
      <c r="M125" s="13"/>
      <c r="N125" s="13"/>
      <c r="O125" s="13"/>
      <c r="P125" s="13"/>
      <c r="Q125" s="13"/>
    </row>
    <row r="126" spans="2:17" ht="34.5" customHeight="1" x14ac:dyDescent="0.35">
      <c r="B126" s="13"/>
      <c r="C126" s="13"/>
      <c r="D126" s="14"/>
      <c r="E126" s="14"/>
      <c r="F126" s="14"/>
      <c r="G126" s="14"/>
      <c r="H126" s="14"/>
      <c r="I126" s="14"/>
      <c r="J126" s="13"/>
      <c r="K126" s="13"/>
      <c r="L126" s="13"/>
      <c r="M126" s="13"/>
      <c r="N126" s="13"/>
      <c r="O126" s="13"/>
      <c r="P126" s="13"/>
      <c r="Q126" s="13"/>
    </row>
    <row r="127" spans="2:17" ht="34.5" customHeight="1" x14ac:dyDescent="0.35">
      <c r="B127" s="13"/>
      <c r="C127" s="13"/>
      <c r="D127" s="14"/>
      <c r="E127" s="14"/>
      <c r="F127" s="14"/>
      <c r="G127" s="14"/>
      <c r="H127" s="14"/>
      <c r="I127" s="14"/>
      <c r="J127" s="13"/>
      <c r="K127" s="13"/>
      <c r="L127" s="13"/>
      <c r="M127" s="13"/>
      <c r="N127" s="13"/>
      <c r="O127" s="13"/>
      <c r="P127" s="13"/>
      <c r="Q127" s="13"/>
    </row>
    <row r="128" spans="2:17" ht="34.5" customHeight="1" x14ac:dyDescent="0.35">
      <c r="B128" s="13"/>
      <c r="C128" s="13"/>
      <c r="D128" s="14"/>
      <c r="E128" s="14"/>
      <c r="F128" s="14"/>
      <c r="G128" s="14"/>
      <c r="H128" s="14"/>
      <c r="I128" s="14"/>
      <c r="J128" s="13"/>
      <c r="K128" s="13"/>
      <c r="L128" s="13"/>
      <c r="M128" s="13"/>
      <c r="N128" s="13"/>
      <c r="O128" s="13"/>
      <c r="P128" s="13"/>
      <c r="Q128" s="13"/>
    </row>
    <row r="129" spans="2:17" ht="34.5" customHeight="1" x14ac:dyDescent="0.35">
      <c r="B129" s="13"/>
      <c r="C129" s="13"/>
      <c r="D129" s="14"/>
      <c r="E129" s="14"/>
      <c r="F129" s="14"/>
      <c r="G129" s="14"/>
      <c r="H129" s="14"/>
      <c r="I129" s="14"/>
      <c r="J129" s="13"/>
      <c r="K129" s="13"/>
      <c r="L129" s="13"/>
      <c r="M129" s="13"/>
      <c r="N129" s="13"/>
      <c r="O129" s="13"/>
      <c r="P129" s="13"/>
      <c r="Q129" s="16"/>
    </row>
    <row r="130" spans="2:17" ht="34.5" customHeight="1" x14ac:dyDescent="0.35">
      <c r="B130" s="13"/>
      <c r="C130" s="13"/>
      <c r="D130" s="14"/>
      <c r="E130" s="14"/>
      <c r="F130" s="14"/>
      <c r="G130" s="14"/>
      <c r="H130" s="14"/>
      <c r="I130" s="14"/>
      <c r="J130" s="13"/>
      <c r="K130" s="13"/>
      <c r="L130" s="13"/>
      <c r="M130" s="13"/>
      <c r="N130" s="13"/>
      <c r="O130" s="13"/>
      <c r="P130" s="13"/>
      <c r="Q130" s="13"/>
    </row>
    <row r="131" spans="2:17" ht="34.5" customHeight="1" x14ac:dyDescent="0.35">
      <c r="B131" s="13"/>
      <c r="C131" s="13"/>
      <c r="D131" s="14"/>
      <c r="E131" s="14"/>
      <c r="F131" s="14"/>
      <c r="G131" s="14"/>
      <c r="H131" s="14"/>
      <c r="I131" s="14"/>
      <c r="J131" s="13"/>
      <c r="K131" s="13"/>
      <c r="L131" s="13"/>
      <c r="M131" s="13"/>
      <c r="N131" s="13"/>
      <c r="O131" s="13"/>
      <c r="P131" s="13"/>
      <c r="Q131" s="13"/>
    </row>
    <row r="132" spans="2:17" ht="34.5" customHeight="1" x14ac:dyDescent="0.35">
      <c r="B132" s="13"/>
      <c r="C132" s="13"/>
      <c r="D132" s="14"/>
      <c r="E132" s="14"/>
      <c r="F132" s="14"/>
      <c r="G132" s="14"/>
      <c r="H132" s="14"/>
      <c r="I132" s="14"/>
      <c r="J132" s="13"/>
      <c r="K132" s="13"/>
      <c r="L132" s="13"/>
      <c r="M132" s="13"/>
      <c r="N132" s="13"/>
      <c r="O132" s="13"/>
      <c r="P132" s="13"/>
      <c r="Q132" s="13"/>
    </row>
    <row r="133" spans="2:17" ht="34.5" customHeight="1" x14ac:dyDescent="0.35">
      <c r="B133" s="13"/>
      <c r="C133" s="13"/>
      <c r="D133" s="14"/>
      <c r="E133" s="14"/>
      <c r="F133" s="14"/>
      <c r="G133" s="14"/>
      <c r="H133" s="14"/>
      <c r="I133" s="14"/>
      <c r="J133" s="13"/>
      <c r="K133" s="13"/>
      <c r="L133" s="13"/>
      <c r="M133" s="13"/>
      <c r="N133" s="13"/>
      <c r="O133" s="13"/>
      <c r="P133" s="13"/>
      <c r="Q133" s="13"/>
    </row>
    <row r="134" spans="2:17" ht="34.5" customHeight="1" x14ac:dyDescent="0.35">
      <c r="B134" s="13"/>
      <c r="C134" s="13"/>
      <c r="D134" s="14"/>
      <c r="E134" s="14"/>
      <c r="F134" s="14"/>
      <c r="G134" s="14"/>
      <c r="H134" s="14"/>
      <c r="I134" s="14"/>
      <c r="J134" s="13"/>
      <c r="K134" s="13"/>
      <c r="L134" s="13"/>
      <c r="M134" s="13"/>
      <c r="N134" s="13"/>
      <c r="O134" s="13"/>
      <c r="P134" s="13"/>
      <c r="Q134" s="16"/>
    </row>
    <row r="135" spans="2:17" ht="34.5" customHeight="1" x14ac:dyDescent="0.35">
      <c r="B135" s="13"/>
      <c r="C135" s="13"/>
      <c r="D135" s="14"/>
      <c r="E135" s="14"/>
      <c r="F135" s="14"/>
      <c r="G135" s="14"/>
      <c r="H135" s="14"/>
      <c r="I135" s="14"/>
      <c r="J135" s="13"/>
      <c r="K135" s="13"/>
      <c r="L135" s="13"/>
      <c r="M135" s="13"/>
      <c r="N135" s="13"/>
      <c r="O135" s="13"/>
      <c r="P135" s="13"/>
      <c r="Q135" s="13"/>
    </row>
    <row r="136" spans="2:17" ht="34.5" customHeight="1" x14ac:dyDescent="0.35">
      <c r="B136" s="13"/>
      <c r="C136" s="13"/>
      <c r="D136" s="14"/>
      <c r="E136" s="14"/>
      <c r="F136" s="14"/>
      <c r="G136" s="14"/>
      <c r="H136" s="14"/>
      <c r="I136" s="14"/>
      <c r="J136" s="13"/>
      <c r="K136" s="13"/>
      <c r="L136" s="13"/>
      <c r="M136" s="13"/>
      <c r="N136" s="13"/>
      <c r="O136" s="13"/>
      <c r="P136" s="13"/>
      <c r="Q136" s="13"/>
    </row>
    <row r="137" spans="2:17" ht="34.5" customHeight="1" x14ac:dyDescent="0.35">
      <c r="B137" s="13"/>
      <c r="C137" s="13"/>
      <c r="D137" s="14"/>
      <c r="E137" s="14"/>
      <c r="F137" s="14"/>
      <c r="G137" s="14"/>
      <c r="H137" s="14"/>
      <c r="I137" s="14"/>
      <c r="J137" s="13"/>
      <c r="K137" s="13"/>
      <c r="L137" s="13"/>
      <c r="M137" s="13"/>
      <c r="N137" s="13"/>
      <c r="O137" s="13"/>
      <c r="P137" s="13"/>
      <c r="Q137" s="13"/>
    </row>
    <row r="138" spans="2:17" ht="34.5" customHeight="1" x14ac:dyDescent="0.35">
      <c r="B138" s="13"/>
      <c r="C138" s="13"/>
      <c r="D138" s="14"/>
      <c r="E138" s="14"/>
      <c r="F138" s="14"/>
      <c r="G138" s="14"/>
      <c r="H138" s="14"/>
      <c r="I138" s="14"/>
      <c r="J138" s="13"/>
      <c r="K138" s="13"/>
      <c r="L138" s="13"/>
      <c r="M138" s="13"/>
      <c r="N138" s="13"/>
      <c r="O138" s="13"/>
      <c r="P138" s="13"/>
      <c r="Q138" s="13"/>
    </row>
    <row r="139" spans="2:17" ht="34.5" customHeight="1" x14ac:dyDescent="0.35">
      <c r="B139" s="13"/>
      <c r="C139" s="13"/>
      <c r="D139" s="14"/>
      <c r="E139" s="14"/>
      <c r="F139" s="14"/>
      <c r="G139" s="14"/>
      <c r="H139" s="14"/>
      <c r="I139" s="14"/>
      <c r="J139" s="13"/>
      <c r="K139" s="13"/>
      <c r="L139" s="13"/>
      <c r="M139" s="13"/>
      <c r="N139" s="13"/>
      <c r="O139" s="13"/>
      <c r="P139" s="13"/>
      <c r="Q139" s="16"/>
    </row>
    <row r="140" spans="2:17" ht="34.5" customHeight="1" x14ac:dyDescent="0.35">
      <c r="B140" s="13"/>
      <c r="C140" s="13"/>
      <c r="D140" s="14"/>
      <c r="E140" s="14"/>
      <c r="F140" s="14"/>
      <c r="G140" s="14"/>
      <c r="H140" s="14"/>
      <c r="I140" s="14"/>
      <c r="J140" s="13"/>
      <c r="K140" s="13"/>
      <c r="L140" s="13"/>
      <c r="M140" s="13"/>
      <c r="N140" s="13"/>
      <c r="O140" s="13"/>
      <c r="P140" s="13"/>
      <c r="Q140" s="13"/>
    </row>
    <row r="141" spans="2:17" ht="34.5" customHeight="1" x14ac:dyDescent="0.35">
      <c r="B141" s="13"/>
      <c r="C141" s="13"/>
      <c r="D141" s="14"/>
      <c r="E141" s="14"/>
      <c r="F141" s="14"/>
      <c r="G141" s="14"/>
      <c r="H141" s="14"/>
      <c r="I141" s="14"/>
      <c r="J141" s="13"/>
      <c r="K141" s="13"/>
      <c r="L141" s="13"/>
      <c r="M141" s="13"/>
      <c r="N141" s="13"/>
      <c r="O141" s="13"/>
      <c r="P141" s="13"/>
      <c r="Q141" s="13"/>
    </row>
    <row r="142" spans="2:17" ht="34.5" customHeight="1" x14ac:dyDescent="0.35">
      <c r="B142" s="13"/>
      <c r="C142" s="13"/>
      <c r="D142" s="14"/>
      <c r="E142" s="14"/>
      <c r="F142" s="14"/>
      <c r="G142" s="14"/>
      <c r="H142" s="14"/>
      <c r="I142" s="14"/>
      <c r="J142" s="13"/>
      <c r="K142" s="13"/>
      <c r="L142" s="13"/>
      <c r="M142" s="13"/>
      <c r="N142" s="13"/>
      <c r="O142" s="13"/>
      <c r="P142" s="13"/>
      <c r="Q142" s="13"/>
    </row>
    <row r="143" spans="2:17" ht="34.5" customHeight="1" x14ac:dyDescent="0.35">
      <c r="B143" s="13"/>
      <c r="C143" s="13"/>
      <c r="D143" s="14"/>
      <c r="E143" s="14"/>
      <c r="F143" s="14"/>
      <c r="G143" s="14"/>
      <c r="H143" s="14"/>
      <c r="I143" s="14"/>
      <c r="J143" s="13"/>
      <c r="K143" s="13"/>
      <c r="L143" s="13"/>
      <c r="M143" s="13"/>
      <c r="N143" s="13"/>
      <c r="O143" s="13"/>
      <c r="P143" s="13"/>
      <c r="Q143" s="13"/>
    </row>
    <row r="144" spans="2:17" ht="34.5" customHeight="1" x14ac:dyDescent="0.35">
      <c r="B144" s="13"/>
      <c r="C144" s="13"/>
      <c r="D144" s="14"/>
      <c r="E144" s="14"/>
      <c r="F144" s="14"/>
      <c r="G144" s="14"/>
      <c r="H144" s="14"/>
      <c r="I144" s="14"/>
      <c r="J144" s="13"/>
      <c r="K144" s="13"/>
      <c r="L144" s="13"/>
      <c r="M144" s="13"/>
      <c r="N144" s="13"/>
      <c r="O144" s="13"/>
      <c r="P144" s="13"/>
      <c r="Q144" s="16"/>
    </row>
    <row r="145" spans="2:17" ht="34.5" customHeight="1" x14ac:dyDescent="0.35">
      <c r="B145" s="13"/>
      <c r="C145" s="13"/>
      <c r="D145" s="14"/>
      <c r="E145" s="14"/>
      <c r="F145" s="14"/>
      <c r="G145" s="14"/>
      <c r="H145" s="14"/>
      <c r="I145" s="14"/>
      <c r="J145" s="13"/>
      <c r="K145" s="13"/>
      <c r="L145" s="13"/>
      <c r="M145" s="13"/>
      <c r="N145" s="13"/>
      <c r="O145" s="13"/>
      <c r="P145" s="13"/>
      <c r="Q145" s="13"/>
    </row>
    <row r="146" spans="2:17" ht="34.5" customHeight="1" x14ac:dyDescent="0.35">
      <c r="B146" s="13"/>
      <c r="C146" s="13"/>
      <c r="D146" s="14"/>
      <c r="E146" s="14"/>
      <c r="F146" s="14"/>
      <c r="G146" s="14"/>
      <c r="H146" s="14"/>
      <c r="I146" s="14"/>
      <c r="J146" s="13"/>
      <c r="K146" s="13"/>
      <c r="L146" s="13"/>
      <c r="M146" s="13"/>
      <c r="N146" s="13"/>
      <c r="O146" s="13"/>
      <c r="P146" s="13"/>
      <c r="Q146" s="13"/>
    </row>
    <row r="147" spans="2:17" ht="34.5" customHeight="1" x14ac:dyDescent="0.35">
      <c r="B147" s="13"/>
      <c r="C147" s="13"/>
      <c r="D147" s="14"/>
      <c r="E147" s="14"/>
      <c r="F147" s="14"/>
      <c r="G147" s="14"/>
      <c r="H147" s="14"/>
      <c r="I147" s="14"/>
      <c r="J147" s="13"/>
      <c r="K147" s="13"/>
      <c r="L147" s="13"/>
      <c r="M147" s="13"/>
      <c r="N147" s="13"/>
      <c r="O147" s="13"/>
      <c r="P147" s="13"/>
      <c r="Q147" s="13"/>
    </row>
    <row r="1048121" spans="18:18" ht="23.5" x14ac:dyDescent="0.35">
      <c r="R1048121" s="12"/>
    </row>
    <row r="1048122" spans="18:18" ht="23.5" x14ac:dyDescent="0.35">
      <c r="R1048122" s="45"/>
    </row>
    <row r="1048123" spans="18:18" ht="23.5" x14ac:dyDescent="0.35">
      <c r="R1048123" s="13"/>
    </row>
    <row r="1048124" spans="18:18" ht="23.5" x14ac:dyDescent="0.35">
      <c r="R1048124" s="13"/>
    </row>
    <row r="1048125" spans="18:18" ht="23.5" x14ac:dyDescent="0.35">
      <c r="R1048125" s="13"/>
    </row>
    <row r="1048126" spans="18:18" ht="23.5" x14ac:dyDescent="0.35">
      <c r="R1048126" s="13"/>
    </row>
    <row r="1048127" spans="18:18" ht="23.5" x14ac:dyDescent="0.35">
      <c r="R1048127" s="13"/>
    </row>
    <row r="1048128" spans="18:18" ht="23.5" x14ac:dyDescent="0.35">
      <c r="R1048128" s="13"/>
    </row>
    <row r="1048129" spans="18:18" ht="23.5" x14ac:dyDescent="0.35">
      <c r="R1048129" s="13"/>
    </row>
    <row r="1048130" spans="18:18" ht="23.5" x14ac:dyDescent="0.35">
      <c r="R1048130" s="13"/>
    </row>
    <row r="1048131" spans="18:18" ht="23.5" x14ac:dyDescent="0.35">
      <c r="R1048131" s="13"/>
    </row>
    <row r="1048132" spans="18:18" ht="23.5" x14ac:dyDescent="0.35">
      <c r="R1048132" s="13"/>
    </row>
    <row r="1048133" spans="18:18" ht="23.5" x14ac:dyDescent="0.35">
      <c r="R1048133" s="13"/>
    </row>
    <row r="1048134" spans="18:18" ht="23.5" x14ac:dyDescent="0.35">
      <c r="R1048134" s="13"/>
    </row>
    <row r="1048135" spans="18:18" ht="23.5" x14ac:dyDescent="0.35">
      <c r="R1048135" s="13"/>
    </row>
    <row r="1048136" spans="18:18" ht="23.5" x14ac:dyDescent="0.35">
      <c r="R1048136" s="13"/>
    </row>
    <row r="1048137" spans="18:18" ht="23.5" x14ac:dyDescent="0.35">
      <c r="R1048137" s="13"/>
    </row>
    <row r="1048138" spans="18:18" ht="23.5" x14ac:dyDescent="0.35">
      <c r="R1048138" s="13"/>
    </row>
    <row r="1048139" spans="18:18" ht="23.5" x14ac:dyDescent="0.35">
      <c r="R1048139" s="13"/>
    </row>
    <row r="1048140" spans="18:18" ht="23.5" x14ac:dyDescent="0.35">
      <c r="R1048140" s="13"/>
    </row>
    <row r="1048141" spans="18:18" ht="23.5" x14ac:dyDescent="0.35">
      <c r="R1048141" s="13"/>
    </row>
    <row r="1048142" spans="18:18" ht="23.5" x14ac:dyDescent="0.35">
      <c r="R1048142" s="13"/>
    </row>
    <row r="1048143" spans="18:18" ht="23.5" x14ac:dyDescent="0.35">
      <c r="R1048143" s="13"/>
    </row>
  </sheetData>
  <autoFilter ref="B8:U27" xr:uid="{ED9C6F84-ECAF-497D-8D5F-BE9270BC9E54}">
    <filterColumn colId="0">
      <customFilters>
        <customFilter operator="notEqual" val=" "/>
      </customFilters>
    </filterColumn>
    <sortState xmlns:xlrd2="http://schemas.microsoft.com/office/spreadsheetml/2017/richdata2" ref="B9:U27">
      <sortCondition sortBy="cellColor" ref="H8:H27" dxfId="3"/>
    </sortState>
  </autoFilter>
  <mergeCells count="4">
    <mergeCell ref="H2:I3"/>
    <mergeCell ref="D7:E7"/>
    <mergeCell ref="I7:L7"/>
    <mergeCell ref="P7:S7"/>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B5DA-378D-4221-8401-67E9DE0D9860}">
  <dimension ref="A1"/>
  <sheetViews>
    <sheetView topLeftCell="A6" workbookViewId="0">
      <selection activeCell="K14" sqref="K14"/>
    </sheetView>
  </sheetViews>
  <sheetFormatPr defaultRowHeight="14.5" x14ac:dyDescent="0.35"/>
  <cols>
    <col min="1" max="1" width="8.726562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5318D-A2F7-44D5-93E4-AB0B02B8DD29}">
  <sheetPr filterMode="1"/>
  <dimension ref="A1:CA1048567"/>
  <sheetViews>
    <sheetView showGridLines="0" tabSelected="1" zoomScale="128" zoomScaleNormal="128" workbookViewId="0">
      <pane ySplit="49" topLeftCell="A91" activePane="bottomLeft" state="frozen"/>
      <selection activeCell="A3" sqref="A3"/>
      <selection pane="bottomLeft" activeCell="H167" sqref="H167"/>
    </sheetView>
  </sheetViews>
  <sheetFormatPr defaultColWidth="8.7265625" defaultRowHeight="14.5" x14ac:dyDescent="0.35"/>
  <cols>
    <col min="1" max="1" width="4.54296875" style="32" customWidth="1"/>
    <col min="2" max="7" width="8.81640625" style="32" customWidth="1"/>
    <col min="8" max="8" width="26.453125" style="28" customWidth="1"/>
    <col min="9" max="9" width="8.81640625" style="32" customWidth="1"/>
    <col min="10" max="10" width="43.453125" style="28" customWidth="1"/>
    <col min="11" max="11" width="12.81640625" style="32" customWidth="1"/>
    <col min="12" max="12" width="14" style="32" customWidth="1"/>
    <col min="13" max="13" width="17" style="32" customWidth="1"/>
    <col min="14" max="14" width="19.81640625" style="32" customWidth="1"/>
    <col min="15" max="15" width="20.81640625" style="32" customWidth="1"/>
    <col min="16" max="16" width="20.26953125" style="32" customWidth="1"/>
    <col min="17" max="17" width="13.7265625" style="78" customWidth="1"/>
    <col min="18" max="18" width="19.1796875" style="78" customWidth="1"/>
    <col min="19" max="19" width="13.7265625" style="78" hidden="1" customWidth="1"/>
    <col min="20" max="20" width="31.1796875" style="78" hidden="1" customWidth="1"/>
    <col min="21" max="21" width="13.7265625" style="78" hidden="1" customWidth="1"/>
    <col min="22" max="22" width="13.7265625" style="52" hidden="1" customWidth="1"/>
    <col min="23" max="25" width="13.7265625" style="79" customWidth="1"/>
    <col min="26" max="29" width="13.7265625" style="47" customWidth="1"/>
    <col min="30" max="31" width="13.7265625" style="81" customWidth="1"/>
    <col min="32" max="34" width="13.7265625" style="67" customWidth="1"/>
    <col min="35" max="35" width="15.81640625" style="67" customWidth="1"/>
    <col min="36" max="36" width="17.453125" style="67" customWidth="1"/>
    <col min="37" max="39" width="13.7265625" style="47" customWidth="1"/>
    <col min="40" max="45" width="13.7265625" style="52" customWidth="1"/>
    <col min="46" max="46" width="13.7265625" style="152" customWidth="1"/>
    <col min="47" max="47" width="13.7265625" style="52" customWidth="1"/>
    <col min="48" max="48" width="18.453125" style="32" customWidth="1"/>
    <col min="49" max="49" width="33.453125" style="32" hidden="1" customWidth="1"/>
    <col min="50" max="50" width="14.7265625" style="32" customWidth="1"/>
    <col min="51" max="51" width="36.81640625" style="32" customWidth="1"/>
    <col min="52" max="52" width="18.26953125" style="78" customWidth="1"/>
    <col min="53" max="53" width="37.453125" style="75" customWidth="1"/>
    <col min="54" max="54" width="14.1796875" style="32" customWidth="1"/>
    <col min="55" max="55" width="24.453125" style="32" customWidth="1"/>
    <col min="56" max="56" width="16.54296875" style="32" customWidth="1"/>
    <col min="57" max="57" width="65" style="75" customWidth="1"/>
    <col min="58" max="58" width="62.81640625" style="75" customWidth="1"/>
    <col min="59" max="59" width="69.54296875" style="75" customWidth="1"/>
    <col min="60" max="60" width="86.54296875" style="76" customWidth="1"/>
    <col min="61" max="61" width="70.453125" style="76" customWidth="1"/>
    <col min="62" max="62" width="168.26953125" style="76" customWidth="1"/>
    <col min="63" max="63" width="14.81640625" style="32" customWidth="1"/>
    <col min="64" max="64" width="15.81640625" style="32" customWidth="1"/>
    <col min="65" max="65" width="13.54296875" style="32" customWidth="1"/>
    <col min="66" max="66" width="12.81640625" style="32" customWidth="1"/>
    <col min="67" max="67" width="15.81640625" style="32" customWidth="1"/>
    <col min="68" max="68" width="10.81640625" style="32" customWidth="1"/>
    <col min="69" max="73" width="12.26953125" style="32" customWidth="1"/>
    <col min="74" max="16384" width="8.7265625" style="32"/>
  </cols>
  <sheetData>
    <row r="1" spans="1:79" x14ac:dyDescent="0.35">
      <c r="M1" s="222" t="s">
        <v>4</v>
      </c>
      <c r="N1" s="223"/>
      <c r="O1" s="223"/>
      <c r="P1" s="223"/>
      <c r="Q1" s="224"/>
      <c r="R1" s="126"/>
      <c r="S1" s="126"/>
      <c r="T1" s="234" t="s">
        <v>1385</v>
      </c>
      <c r="U1" s="235"/>
      <c r="V1" s="236"/>
      <c r="W1" s="225" t="s">
        <v>1386</v>
      </c>
      <c r="X1" s="226"/>
      <c r="Y1" s="226"/>
      <c r="Z1" s="226"/>
      <c r="AA1" s="226"/>
      <c r="AB1" s="226"/>
      <c r="AC1" s="226"/>
      <c r="AD1" s="226"/>
      <c r="AE1" s="226"/>
      <c r="AF1" s="226"/>
      <c r="AG1" s="226"/>
      <c r="AH1" s="226"/>
      <c r="AI1" s="226"/>
      <c r="AJ1" s="227"/>
      <c r="AK1" s="231" t="s">
        <v>1387</v>
      </c>
      <c r="AL1" s="232"/>
      <c r="AM1" s="232"/>
      <c r="AN1" s="232"/>
      <c r="AO1" s="232"/>
      <c r="AP1" s="232"/>
      <c r="AQ1" s="232"/>
      <c r="AR1" s="232"/>
      <c r="AS1" s="232"/>
      <c r="AT1" s="232"/>
      <c r="AU1" s="233"/>
      <c r="BA1" s="32"/>
      <c r="BE1" s="32"/>
      <c r="BF1" s="32"/>
      <c r="BG1" s="32"/>
      <c r="BH1" s="28"/>
      <c r="BI1" s="28"/>
      <c r="BJ1" s="28"/>
      <c r="BK1" s="228" t="s">
        <v>1388</v>
      </c>
      <c r="BL1" s="229"/>
      <c r="BM1" s="229"/>
      <c r="BN1" s="229"/>
      <c r="BO1" s="229"/>
      <c r="BP1" s="229"/>
      <c r="BQ1" s="230"/>
      <c r="BR1" s="220" t="s">
        <v>1388</v>
      </c>
      <c r="BS1" s="221"/>
      <c r="BT1" s="221"/>
      <c r="BU1" s="221"/>
      <c r="BV1" s="118"/>
      <c r="BW1" s="118"/>
      <c r="BX1" s="118"/>
      <c r="BY1" s="118"/>
      <c r="BZ1" s="118"/>
      <c r="CA1" s="119"/>
    </row>
    <row r="2" spans="1:79" ht="23.5" customHeight="1" x14ac:dyDescent="0.35">
      <c r="A2" s="29" t="s">
        <v>1389</v>
      </c>
      <c r="B2" s="29" t="s">
        <v>1390</v>
      </c>
      <c r="C2" s="29" t="s">
        <v>1391</v>
      </c>
      <c r="D2" s="29" t="s">
        <v>7</v>
      </c>
      <c r="E2" s="29" t="s">
        <v>8</v>
      </c>
      <c r="F2" s="29" t="s">
        <v>1210</v>
      </c>
      <c r="G2" s="82" t="s">
        <v>1392</v>
      </c>
      <c r="H2" s="82" t="s">
        <v>1393</v>
      </c>
      <c r="I2" s="82" t="s">
        <v>1394</v>
      </c>
      <c r="J2" s="82" t="s">
        <v>1395</v>
      </c>
      <c r="K2" s="122" t="s">
        <v>1213</v>
      </c>
      <c r="L2" s="82" t="s">
        <v>20</v>
      </c>
      <c r="M2" s="54" t="s">
        <v>11</v>
      </c>
      <c r="N2" s="54" t="s">
        <v>12</v>
      </c>
      <c r="O2" s="54" t="s">
        <v>13</v>
      </c>
      <c r="P2" s="54" t="s">
        <v>14</v>
      </c>
      <c r="Q2" s="54" t="s">
        <v>1396</v>
      </c>
      <c r="R2" s="127" t="s">
        <v>1397</v>
      </c>
      <c r="S2" s="127" t="s">
        <v>1398</v>
      </c>
      <c r="T2" s="103" t="s">
        <v>1399</v>
      </c>
      <c r="U2" s="103" t="s">
        <v>1400</v>
      </c>
      <c r="V2" s="103" t="s">
        <v>1401</v>
      </c>
      <c r="W2" s="53" t="s">
        <v>15</v>
      </c>
      <c r="X2" s="53" t="s">
        <v>16</v>
      </c>
      <c r="Y2" s="53" t="s">
        <v>1298</v>
      </c>
      <c r="Z2" s="182" t="s">
        <v>1402</v>
      </c>
      <c r="AA2" s="182" t="s">
        <v>1403</v>
      </c>
      <c r="AB2" s="53" t="s">
        <v>1404</v>
      </c>
      <c r="AC2" s="53" t="s">
        <v>1405</v>
      </c>
      <c r="AD2" s="53" t="s">
        <v>1406</v>
      </c>
      <c r="AE2" s="53" t="s">
        <v>1407</v>
      </c>
      <c r="AF2" s="53" t="s">
        <v>1408</v>
      </c>
      <c r="AG2" s="53" t="s">
        <v>1409</v>
      </c>
      <c r="AH2" s="53" t="s">
        <v>1410</v>
      </c>
      <c r="AI2" s="53" t="s">
        <v>1411</v>
      </c>
      <c r="AJ2" s="53" t="s">
        <v>1412</v>
      </c>
      <c r="AK2" s="48" t="s">
        <v>1413</v>
      </c>
      <c r="AL2" s="48" t="s">
        <v>1414</v>
      </c>
      <c r="AM2" s="48" t="s">
        <v>1415</v>
      </c>
      <c r="AN2" s="49" t="s">
        <v>1416</v>
      </c>
      <c r="AO2" s="48" t="s">
        <v>1417</v>
      </c>
      <c r="AP2" s="48" t="s">
        <v>1418</v>
      </c>
      <c r="AQ2" s="48" t="s">
        <v>1419</v>
      </c>
      <c r="AR2" s="48" t="s">
        <v>1420</v>
      </c>
      <c r="AS2" s="48" t="s">
        <v>1421</v>
      </c>
      <c r="AT2" s="48" t="s">
        <v>1422</v>
      </c>
      <c r="AU2" s="48" t="s">
        <v>1423</v>
      </c>
      <c r="AV2" s="33" t="s">
        <v>1424</v>
      </c>
      <c r="AW2" s="33" t="s">
        <v>1425</v>
      </c>
      <c r="AX2" s="38" t="s">
        <v>1426</v>
      </c>
      <c r="AY2" s="38" t="s">
        <v>1427</v>
      </c>
      <c r="AZ2" s="137" t="s">
        <v>1428</v>
      </c>
      <c r="BA2" s="123" t="s">
        <v>1429</v>
      </c>
      <c r="BB2" s="106" t="s">
        <v>1430</v>
      </c>
      <c r="BC2" s="106" t="s">
        <v>1431</v>
      </c>
      <c r="BD2" s="106" t="s">
        <v>1432</v>
      </c>
      <c r="BE2" s="129" t="s">
        <v>1433</v>
      </c>
      <c r="BF2" s="129" t="s">
        <v>1434</v>
      </c>
      <c r="BG2" s="129" t="s">
        <v>1435</v>
      </c>
      <c r="BH2" s="105" t="s">
        <v>1436</v>
      </c>
      <c r="BI2" s="105" t="s">
        <v>1437</v>
      </c>
      <c r="BJ2" s="105" t="s">
        <v>1438</v>
      </c>
      <c r="BK2" s="108" t="s">
        <v>1439</v>
      </c>
      <c r="BL2" s="108" t="s">
        <v>1440</v>
      </c>
      <c r="BM2" s="108" t="s">
        <v>1441</v>
      </c>
      <c r="BN2" s="108" t="s">
        <v>1442</v>
      </c>
      <c r="BO2" s="108" t="s">
        <v>1443</v>
      </c>
      <c r="BP2" s="108" t="s">
        <v>1444</v>
      </c>
      <c r="BQ2" s="108" t="s">
        <v>1445</v>
      </c>
      <c r="BR2" s="120" t="s">
        <v>1446</v>
      </c>
      <c r="BS2" s="120" t="s">
        <v>1447</v>
      </c>
      <c r="BT2" s="120" t="s">
        <v>1448</v>
      </c>
      <c r="BU2" s="120" t="s">
        <v>1449</v>
      </c>
      <c r="BV2" s="107" t="s">
        <v>1450</v>
      </c>
    </row>
    <row r="3" spans="1:79" ht="29.5" hidden="1" customHeight="1" x14ac:dyDescent="0.35">
      <c r="A3" s="22">
        <v>1</v>
      </c>
      <c r="B3" s="22" t="s">
        <v>1451</v>
      </c>
      <c r="C3" s="22" t="s">
        <v>1452</v>
      </c>
      <c r="D3" s="22" t="s">
        <v>1224</v>
      </c>
      <c r="E3" s="22" t="s">
        <v>1453</v>
      </c>
      <c r="F3" s="22"/>
      <c r="G3" s="22" t="s">
        <v>1274</v>
      </c>
      <c r="H3" s="21" t="s">
        <v>1292</v>
      </c>
      <c r="I3" s="22"/>
      <c r="J3" s="21" t="s">
        <v>1321</v>
      </c>
      <c r="K3" s="30"/>
      <c r="L3" s="35" t="s">
        <v>1228</v>
      </c>
      <c r="M3" s="35" t="str">
        <f>VLOOKUP(H3,'1_Value &amp; risk levers'!$H$9:$O$1048576,2,FALSE)</f>
        <v>Not practiced / not explored so far</v>
      </c>
      <c r="N3" s="35" t="str">
        <f>VLOOKUP(H3,'1_Value &amp; risk levers'!$H$9:$O$1048576,3,FALSE)</f>
        <v>Ad-hoc initiatives to bundle volume across suppliers</v>
      </c>
      <c r="O3" s="35" t="str">
        <f>VLOOKUP(H3,'1_Value &amp; risk levers'!$H$9:$O$1048576,4,FALSE)</f>
        <v>Suppliers are evaluated for their product coverage at the time of sourcing</v>
      </c>
      <c r="P3" s="35" t="str">
        <f>VLOOKUP(H3,'1_Value &amp; risk levers'!$H$9:$O$1048576,5,FALSE)</f>
        <v>Comprehensive bundling strategy across all vegetable oils - following an optimization approach to identify the right volume mix across suppliers and SKUs</v>
      </c>
      <c r="Q3" s="77">
        <f>IF(VLOOKUP(H3,'1_Value &amp; risk levers'!$H$9:$T$1048576,13,FALSE)=0,"",VLOOKUP(H3,'1_Value &amp; risk levers'!$H$9:$T$1048576,13,FALSE))</f>
        <v>3</v>
      </c>
      <c r="R3" s="128">
        <f t="shared" ref="R3:R66" si="0">AVERAGEIFS($Q$3:$Q$1048576,$G$3:$G$1048576,"Value")</f>
        <v>2</v>
      </c>
      <c r="S3" s="128" t="e">
        <f t="shared" ref="S3:S66" si="1">AVERAGEIFS($Q$3:$Q$1048576,$G$3:$G$1048576,"Risk")</f>
        <v>#DIV/0!</v>
      </c>
      <c r="T3" s="77"/>
      <c r="U3" s="77"/>
      <c r="V3" s="55"/>
      <c r="W3" s="71">
        <v>0.04</v>
      </c>
      <c r="X3" s="71">
        <v>0.1</v>
      </c>
      <c r="Y3" s="71">
        <f>VLOOKUP(H3,'1_Value &amp; risk levers'!$H$9:$O$1048576,8,FALSE)</f>
        <v>0.8</v>
      </c>
      <c r="Z3" s="51">
        <f t="shared" ref="Z3:Z66" si="2">(4-AVERAGEIFS($Q$3:$Q$1048576,$AV$3:$AV$1048576,"Inflation"))*(X3-W3)/4+W3</f>
        <v>7.0000000000000007E-2</v>
      </c>
      <c r="AA3" s="51">
        <f>Z3+(X3-W3)/4</f>
        <v>8.5000000000000006E-2</v>
      </c>
      <c r="AB3" s="55">
        <f>Y3*Z3*50000000</f>
        <v>2800000.0000000005</v>
      </c>
      <c r="AC3" s="55">
        <f>Y3*AA3*50000000</f>
        <v>3400000.0000000005</v>
      </c>
      <c r="AD3" s="80">
        <f>(COUNTA($Q$3:$Q$1048576)-COUNTIFS($Q$3:$Q$1048576,"",$A$3:$A$1048576,"&lt;&gt;"))/41</f>
        <v>7</v>
      </c>
      <c r="AE3" s="84">
        <f>AVERAGE($AT$3:$AT$1048576)/10</f>
        <v>0.48864540816326468</v>
      </c>
      <c r="AF3" s="121" t="str">
        <f>IF(AE3&lt;0.5,"Low",IF(AE3&lt;0.75,"Medium","High"))</f>
        <v>Low</v>
      </c>
      <c r="AG3" s="84">
        <f>Z3-(1-AE3)*2/100</f>
        <v>5.9772908163265304E-2</v>
      </c>
      <c r="AH3" s="84">
        <f>AA3+(1-AE3)*2/100</f>
        <v>9.5227091836734709E-2</v>
      </c>
      <c r="AI3" s="73">
        <f>Y3*AG3*50000000</f>
        <v>2390916.3265306121</v>
      </c>
      <c r="AJ3" s="73">
        <f>Y3*AH3*50000000</f>
        <v>3809083.6734693884</v>
      </c>
      <c r="AK3" s="46">
        <f>VLOOKUP(H3,'1_Value &amp; risk levers'!$H$9:$O$1048576,6,FALSE)</f>
        <v>0.02</v>
      </c>
      <c r="AL3" s="46">
        <f>VLOOKUP(H3,'1_Value &amp; risk levers'!$H$9:$O$1048576,7,FALSE)</f>
        <v>0.05</v>
      </c>
      <c r="AM3" s="50">
        <f>IF(ISERROR((AK3+((AL3-AK3)*(4-Q3))/4)),"",(AK3+((AL3-AK3)*(4-Q3))/4))</f>
        <v>2.75E-2</v>
      </c>
      <c r="AN3" s="72">
        <f>IF(AM3="","",AM3/SUMIFS($AM$3:$AM$1048576,$AV$3:$AV$1048576,"Regional Spend Addressability"))</f>
        <v>0.12790697674418605</v>
      </c>
      <c r="AO3" s="84">
        <f>IF(AN3="","",AN3*AG3)</f>
        <v>7.6453719743711434E-3</v>
      </c>
      <c r="AP3" s="84">
        <f>IF(AN3="","",AN3*AH3)</f>
        <v>1.2180209420977696E-2</v>
      </c>
      <c r="AQ3" s="55">
        <f>IF(AN3="","",AN3*AB3)</f>
        <v>358139.53488372103</v>
      </c>
      <c r="AR3" s="55">
        <f>IF(AN3="","",AN3*AC3)</f>
        <v>434883.72093023261</v>
      </c>
      <c r="AS3" s="83">
        <f t="shared" ref="AS3:AS66" si="3">COUNTIFS($A$3:$A$1048576,A3,$BG$3:$BG$1048576,"&lt;&gt;")</f>
        <v>41</v>
      </c>
      <c r="AT3" s="50">
        <f>10*(COUNTIFS($A$3:$A$1048576,A3,$AZ$3:$AZ$1048576,"Medium",$BG$3:$BG$1048576,"&lt;&gt;")*0.625+COUNTIFS($A$3:$A$1048576,A3,$AZ$3:$AZ$1048576,"Low",$BG$3:$BG$1048576,"&lt;&gt;")*0.25+COUNTIFS($A$3:$A$1048576,A3,$AZ$3:$AZ$1048576,"High",$BG$3:$BG$1048576,"&lt;&gt;")*0.874)/COUNTIFS($A$3:$A$1048576,A3,$AY$3:$AY$1048576,"&lt;&gt;")</f>
        <v>7.1837499999999999</v>
      </c>
      <c r="AU3" s="55" t="str">
        <f>IF(AT3&lt;5,"Low",IF(AT3&lt;7.5,"Medium","High"))</f>
        <v>Medium</v>
      </c>
      <c r="AV3" s="36" t="s">
        <v>1454</v>
      </c>
      <c r="AW3" s="109" t="s">
        <v>1455</v>
      </c>
      <c r="AX3" s="37" t="s">
        <v>1456</v>
      </c>
      <c r="AY3" s="27" t="s">
        <v>1457</v>
      </c>
      <c r="AZ3" s="85" t="str">
        <f>IF(ISERROR(_xlfn.XLOOKUP(CONCATENATE(A3,"_",AV3),'Reference-Proof pt impact flag'!$I$3:$I$1048576,'Reference-Proof pt impact flag'!$G$3:$G$1048576)),"",_xlfn.XLOOKUP(CONCATENATE(A3,"_",AV3),'Reference-Proof pt impact flag'!$I$3:$I$1048576,'Reference-Proof pt impact flag'!$G$3:$G$1048576))</f>
        <v>High</v>
      </c>
      <c r="BA3" s="27" t="s">
        <v>1458</v>
      </c>
      <c r="BB3" s="74"/>
      <c r="BC3" s="74"/>
      <c r="BD3" s="74"/>
      <c r="BE3" s="74" t="s">
        <v>1459</v>
      </c>
      <c r="BF3" s="74" t="str">
        <f>_xlfn.XLOOKUP(CONCATENATE(H3,"_",AV3),'Test 2 - Proof points - GPT5'!$T:$T,'Test 2 - Proof points - GPT5'!$S:$S)</f>
        <v>Insights: Spend is concentrated across plants — Malaysia 81.4%, India 7.1%, Australia 7.1%, Indonesia 4.5%. Actions: Bundle cross-plant demand windows and align delivery INCOTERMS to exploit backhauls and supplier MOQ breaks.</v>
      </c>
      <c r="BG3" s="74" t="str">
        <f>_xlfn.XLOOKUP(CONCATENATE(H3,"_",AV3),'Test 2 -Proof points - Sonnet'!$AB:$AB,'Test 2 -Proof points - Sonnet'!$AA:$AA)</f>
        <v>â€¢ **Prioritize Malaysia-centric consolidation strategy**: With &gt;95% spend concentrated in Malaysian plants (PH06, SHJ2), focus volume bundling efforts on consolidating multiple suppliers like SHIVAGANGA FOOD OIL EXTRACTIONS, SIDDAGANGA OIL &amp; BIO INDUSTRIES, and SAKLECHA SOLVENTEX across both ricebran and sunflower oil categories.
â€¢ **Leverage multi-supplier SKU opportunities**: Raw ricebran oil (Material 102038) shows procurement from 8+ different suppliers with similar specifications, creating immediate bundling potential to negotiate better pricing through volume concentration.
â€¢ **Future market dynamics favor consolidation**: Rising commodity price volatility and supply chain disruptions are driving suppliers to prefer larger, committed volume relationships, making bundling strategies more effective in securing preferential pricing and supply continuity.</v>
      </c>
      <c r="BH3" s="74" t="s">
        <v>1460</v>
      </c>
      <c r="BI3" s="74"/>
      <c r="BJ3" s="74" t="s">
        <v>1461</v>
      </c>
      <c r="BK3" s="30"/>
      <c r="BL3" s="30" t="s">
        <v>132</v>
      </c>
      <c r="BM3" s="30"/>
      <c r="BN3" s="30"/>
      <c r="BO3" s="30"/>
      <c r="BP3" s="30"/>
      <c r="BQ3" s="30"/>
      <c r="BR3" s="30"/>
      <c r="BS3" s="30"/>
      <c r="BT3" s="30"/>
      <c r="BU3" s="30"/>
      <c r="BV3" s="113" t="s">
        <v>132</v>
      </c>
    </row>
    <row r="4" spans="1:79" ht="27" hidden="1" customHeight="1" x14ac:dyDescent="0.35">
      <c r="A4" s="22">
        <v>1</v>
      </c>
      <c r="B4" s="22" t="s">
        <v>1451</v>
      </c>
      <c r="C4" s="22" t="s">
        <v>1452</v>
      </c>
      <c r="D4" s="22" t="s">
        <v>1224</v>
      </c>
      <c r="E4" s="22" t="s">
        <v>1453</v>
      </c>
      <c r="F4" s="22"/>
      <c r="G4" s="22" t="s">
        <v>1274</v>
      </c>
      <c r="H4" s="21" t="s">
        <v>1292</v>
      </c>
      <c r="I4" s="22"/>
      <c r="J4" s="21" t="s">
        <v>1462</v>
      </c>
      <c r="K4" s="30"/>
      <c r="L4" s="35" t="s">
        <v>1228</v>
      </c>
      <c r="M4" s="35" t="str">
        <f>VLOOKUP(H4,'1_Value &amp; risk levers'!$H$9:$O$1048576,2,FALSE)</f>
        <v>Not practiced / not explored so far</v>
      </c>
      <c r="N4" s="35" t="str">
        <f>VLOOKUP(H4,'1_Value &amp; risk levers'!$H$9:$O$1048576,3,FALSE)</f>
        <v>Ad-hoc initiatives to bundle volume across suppliers</v>
      </c>
      <c r="O4" s="35" t="str">
        <f>VLOOKUP(H4,'1_Value &amp; risk levers'!$H$9:$O$1048576,4,FALSE)</f>
        <v>Suppliers are evaluated for their product coverage at the time of sourcing</v>
      </c>
      <c r="P4" s="35" t="str">
        <f>VLOOKUP(H4,'1_Value &amp; risk levers'!$H$9:$O$1048576,5,FALSE)</f>
        <v>Comprehensive bundling strategy across all vegetable oils - following an optimization approach to identify the right volume mix across suppliers and SKUs</v>
      </c>
      <c r="Q4" s="77">
        <f>IF(VLOOKUP(H4,'1_Value &amp; risk levers'!$H$9:$T$1048576,13,FALSE)=0,"",VLOOKUP(H4,'1_Value &amp; risk levers'!$H$9:$T$1048576,13,FALSE))</f>
        <v>3</v>
      </c>
      <c r="R4" s="128">
        <f t="shared" si="0"/>
        <v>2</v>
      </c>
      <c r="S4" s="128" t="e">
        <f t="shared" si="1"/>
        <v>#DIV/0!</v>
      </c>
      <c r="T4" s="77"/>
      <c r="U4" s="77"/>
      <c r="V4" s="55"/>
      <c r="W4" s="71">
        <v>0.04</v>
      </c>
      <c r="X4" s="71">
        <v>0.1</v>
      </c>
      <c r="Y4" s="71">
        <f>VLOOKUP(H4,'1_Value &amp; risk levers'!$H$9:$O$1048576,8,FALSE)</f>
        <v>0.8</v>
      </c>
      <c r="Z4" s="51">
        <f t="shared" si="2"/>
        <v>7.0000000000000007E-2</v>
      </c>
      <c r="AA4" s="51">
        <f t="shared" ref="AA4:AA67" si="4">Z4+(X4-W4)/4</f>
        <v>8.5000000000000006E-2</v>
      </c>
      <c r="AB4" s="55">
        <f t="shared" ref="AB4:AB67" si="5">Y4*Z4*50000000</f>
        <v>2800000.0000000005</v>
      </c>
      <c r="AC4" s="55">
        <f t="shared" ref="AC4:AC67" si="6">Y4*AA4*50000000</f>
        <v>3400000.0000000005</v>
      </c>
      <c r="AD4" s="80">
        <f t="shared" ref="AD4:AD67" si="7">(COUNTA($Q$3:$Q$1048576)-COUNTIFS($Q$3:$Q$1048576,"",$A$3:$A$1048576,"&lt;&gt;"))/41</f>
        <v>7</v>
      </c>
      <c r="AE4" s="84">
        <f t="shared" ref="AE4:AE67" si="8">AVERAGE($AT$3:$AT$1048576)/10</f>
        <v>0.48864540816326468</v>
      </c>
      <c r="AF4" s="71" t="str">
        <f t="shared" ref="AF4:AF67" si="9">IF(AE4&lt;0.5,"Low",IF(AE4&lt;0.75,"Medium","High"))</f>
        <v>Low</v>
      </c>
      <c r="AG4" s="84">
        <f t="shared" ref="AG4:AG67" si="10">Z4-(1-AE4)*2/100</f>
        <v>5.9772908163265304E-2</v>
      </c>
      <c r="AH4" s="84">
        <f t="shared" ref="AH4:AH67" si="11">AA4+(1-AE4)*2/100</f>
        <v>9.5227091836734709E-2</v>
      </c>
      <c r="AI4" s="73">
        <f t="shared" ref="AI4:AI67" si="12">Y4*AG4*50000000</f>
        <v>2390916.3265306121</v>
      </c>
      <c r="AJ4" s="73">
        <f t="shared" ref="AJ4:AJ67" si="13">Y4*AH4*50000000</f>
        <v>3809083.6734693884</v>
      </c>
      <c r="AK4" s="46">
        <f>VLOOKUP(H4,'1_Value &amp; risk levers'!$H$9:$O$1048576,6,FALSE)</f>
        <v>0.02</v>
      </c>
      <c r="AL4" s="46">
        <f>VLOOKUP(H4,'1_Value &amp; risk levers'!$H$9:$O$1048576,7,FALSE)</f>
        <v>0.05</v>
      </c>
      <c r="AM4" s="50">
        <f t="shared" ref="AM4:AM67" si="14">IF(ISERROR((AK4+((AL4-AK4)*(4-Q4))/4)),"",(AK4+((AL4-AK4)*(4-Q4))/4))</f>
        <v>2.75E-2</v>
      </c>
      <c r="AN4" s="72">
        <f t="shared" ref="AN4:AN67" si="15">IF(AM4="","",AM4/SUMIFS($AM$3:$AM$1048576,$AV$3:$AV$1048576,"Regional Spend Addressability"))</f>
        <v>0.12790697674418605</v>
      </c>
      <c r="AO4" s="84">
        <f t="shared" ref="AO4:AO67" si="16">IF(AN4="","",AN4*AG4)</f>
        <v>7.6453719743711434E-3</v>
      </c>
      <c r="AP4" s="84">
        <f t="shared" ref="AP4:AP67" si="17">IF(AN4="","",AN4*AH4)</f>
        <v>1.2180209420977696E-2</v>
      </c>
      <c r="AQ4" s="55">
        <f t="shared" ref="AQ4:AQ67" si="18">IF(AN4="","",AN4*AB4)</f>
        <v>358139.53488372103</v>
      </c>
      <c r="AR4" s="55">
        <f t="shared" ref="AR4:AR67" si="19">IF(AN4="","",AN4*AC4)</f>
        <v>434883.72093023261</v>
      </c>
      <c r="AS4" s="83">
        <f t="shared" si="3"/>
        <v>41</v>
      </c>
      <c r="AT4" s="50">
        <f t="shared" ref="AT4:AT67" si="20">10*(COUNTIFS($A$3:$A$1048576,A4,$AZ$3:$AZ$1048576,"Medium",$BG$3:$BG$1048576,"&lt;&gt;")*0.625+COUNTIFS($A$3:$A$1048576,A4,$AZ$3:$AZ$1048576,"Low",$BG$3:$BG$1048576,"&lt;&gt;")*0.25+COUNTIFS($A$3:$A$1048576,A4,$AZ$3:$AZ$1048576,"High",$BG$3:$BG$1048576,"&lt;&gt;")*0.874)/COUNTIFS($A$3:$A$1048576,A4,$AY$3:$AY$1048576,"&lt;&gt;")</f>
        <v>7.1837499999999999</v>
      </c>
      <c r="AU4" s="55" t="str">
        <f t="shared" ref="AU4:AU67" si="21">IF(AT4&lt;5,"Low",IF(AT4&lt;7.5,"Medium","High"))</f>
        <v>Medium</v>
      </c>
      <c r="AV4" s="36" t="s">
        <v>1463</v>
      </c>
      <c r="AW4" s="109" t="s">
        <v>1464</v>
      </c>
      <c r="AX4" s="37" t="s">
        <v>1456</v>
      </c>
      <c r="AY4" s="30"/>
      <c r="AZ4" s="85" t="str">
        <f>IF(ISERROR(_xlfn.XLOOKUP(CONCATENATE(A4,"_",AV4),'Reference-Proof pt impact flag'!$I$3:$I$1048576,'Reference-Proof pt impact flag'!$G$3:$G$1048576)),"",_xlfn.XLOOKUP(CONCATENATE(A4,"_",AV4),'Reference-Proof pt impact flag'!$I$3:$I$1048576,'Reference-Proof pt impact flag'!$G$3:$G$1048576))</f>
        <v/>
      </c>
      <c r="BA4" s="74"/>
      <c r="BB4" s="74"/>
      <c r="BC4" s="74"/>
      <c r="BD4" s="74"/>
      <c r="BE4" s="74"/>
      <c r="BF4" s="74" t="e">
        <f>_xlfn.XLOOKUP(CONCATENATE(H4,"_",AV4),'Test 2 - Proof points - GPT5'!$T:$T,'Test 2 - Proof points - GPT5'!$S:$S)</f>
        <v>#N/A</v>
      </c>
      <c r="BG4" s="74" t="e">
        <f>_xlfn.XLOOKUP(CONCATENATE(H4,"_",AV4),'Test 2 -Proof points - Sonnet'!$AB:$AB,'Test 2 -Proof points - Sonnet'!$AA:$AA)</f>
        <v>#N/A</v>
      </c>
      <c r="BH4" s="74"/>
      <c r="BI4" s="74"/>
      <c r="BJ4" s="74" t="s">
        <v>1461</v>
      </c>
      <c r="BK4" s="30"/>
      <c r="BL4" s="30"/>
      <c r="BM4" s="30"/>
      <c r="BN4" s="30"/>
      <c r="BO4" s="30"/>
      <c r="BP4" s="30"/>
      <c r="BQ4" s="30"/>
      <c r="BR4" s="30"/>
      <c r="BS4" s="30"/>
      <c r="BT4" s="30"/>
      <c r="BU4" s="30"/>
      <c r="BV4" s="113"/>
    </row>
    <row r="5" spans="1:79" ht="27" hidden="1" customHeight="1" x14ac:dyDescent="0.35">
      <c r="A5" s="22">
        <v>1</v>
      </c>
      <c r="B5" s="22" t="s">
        <v>1451</v>
      </c>
      <c r="C5" s="22" t="s">
        <v>1452</v>
      </c>
      <c r="D5" s="22" t="s">
        <v>1224</v>
      </c>
      <c r="E5" s="22" t="s">
        <v>1453</v>
      </c>
      <c r="F5" s="22"/>
      <c r="G5" s="22" t="s">
        <v>1274</v>
      </c>
      <c r="H5" s="21" t="s">
        <v>1292</v>
      </c>
      <c r="I5" s="22"/>
      <c r="J5" s="21" t="s">
        <v>1462</v>
      </c>
      <c r="K5" s="30"/>
      <c r="L5" s="35" t="s">
        <v>1228</v>
      </c>
      <c r="M5" s="35" t="str">
        <f>VLOOKUP(H5,'1_Value &amp; risk levers'!$H$9:$O$1048576,2,FALSE)</f>
        <v>Not practiced / not explored so far</v>
      </c>
      <c r="N5" s="35" t="str">
        <f>VLOOKUP(H5,'1_Value &amp; risk levers'!$H$9:$O$1048576,3,FALSE)</f>
        <v>Ad-hoc initiatives to bundle volume across suppliers</v>
      </c>
      <c r="O5" s="35" t="str">
        <f>VLOOKUP(H5,'1_Value &amp; risk levers'!$H$9:$O$1048576,4,FALSE)</f>
        <v>Suppliers are evaluated for their product coverage at the time of sourcing</v>
      </c>
      <c r="P5" s="35" t="str">
        <f>VLOOKUP(H5,'1_Value &amp; risk levers'!$H$9:$O$1048576,5,FALSE)</f>
        <v>Comprehensive bundling strategy across all vegetable oils - following an optimization approach to identify the right volume mix across suppliers and SKUs</v>
      </c>
      <c r="Q5" s="77">
        <f>IF(VLOOKUP(H5,'1_Value &amp; risk levers'!$H$9:$T$1048576,13,FALSE)=0,"",VLOOKUP(H5,'1_Value &amp; risk levers'!$H$9:$T$1048576,13,FALSE))</f>
        <v>3</v>
      </c>
      <c r="R5" s="128">
        <f t="shared" si="0"/>
        <v>2</v>
      </c>
      <c r="S5" s="128" t="e">
        <f t="shared" si="1"/>
        <v>#DIV/0!</v>
      </c>
      <c r="T5" s="77"/>
      <c r="U5" s="77"/>
      <c r="V5" s="55"/>
      <c r="W5" s="71">
        <v>0.04</v>
      </c>
      <c r="X5" s="71">
        <v>0.1</v>
      </c>
      <c r="Y5" s="71">
        <f>VLOOKUP(H5,'1_Value &amp; risk levers'!$H$9:$O$1048576,8,FALSE)</f>
        <v>0.8</v>
      </c>
      <c r="Z5" s="51">
        <f t="shared" si="2"/>
        <v>7.0000000000000007E-2</v>
      </c>
      <c r="AA5" s="51">
        <f t="shared" si="4"/>
        <v>8.5000000000000006E-2</v>
      </c>
      <c r="AB5" s="55">
        <f t="shared" si="5"/>
        <v>2800000.0000000005</v>
      </c>
      <c r="AC5" s="55">
        <f t="shared" si="6"/>
        <v>3400000.0000000005</v>
      </c>
      <c r="AD5" s="80">
        <f t="shared" si="7"/>
        <v>7</v>
      </c>
      <c r="AE5" s="84">
        <f t="shared" si="8"/>
        <v>0.48864540816326468</v>
      </c>
      <c r="AF5" s="71" t="str">
        <f t="shared" si="9"/>
        <v>Low</v>
      </c>
      <c r="AG5" s="84">
        <f t="shared" si="10"/>
        <v>5.9772908163265304E-2</v>
      </c>
      <c r="AH5" s="84">
        <f t="shared" si="11"/>
        <v>9.5227091836734709E-2</v>
      </c>
      <c r="AI5" s="73">
        <f t="shared" si="12"/>
        <v>2390916.3265306121</v>
      </c>
      <c r="AJ5" s="73">
        <f t="shared" si="13"/>
        <v>3809083.6734693884</v>
      </c>
      <c r="AK5" s="46">
        <f>VLOOKUP(H5,'1_Value &amp; risk levers'!$H$9:$O$1048576,6,FALSE)</f>
        <v>0.02</v>
      </c>
      <c r="AL5" s="46">
        <f>VLOOKUP(H5,'1_Value &amp; risk levers'!$H$9:$O$1048576,7,FALSE)</f>
        <v>0.05</v>
      </c>
      <c r="AM5" s="50">
        <f t="shared" si="14"/>
        <v>2.75E-2</v>
      </c>
      <c r="AN5" s="72">
        <f t="shared" si="15"/>
        <v>0.12790697674418605</v>
      </c>
      <c r="AO5" s="84">
        <f t="shared" si="16"/>
        <v>7.6453719743711434E-3</v>
      </c>
      <c r="AP5" s="84">
        <f t="shared" si="17"/>
        <v>1.2180209420977696E-2</v>
      </c>
      <c r="AQ5" s="55">
        <f t="shared" si="18"/>
        <v>358139.53488372103</v>
      </c>
      <c r="AR5" s="55">
        <f t="shared" si="19"/>
        <v>434883.72093023261</v>
      </c>
      <c r="AS5" s="83">
        <f t="shared" si="3"/>
        <v>41</v>
      </c>
      <c r="AT5" s="50">
        <f t="shared" si="20"/>
        <v>7.1837499999999999</v>
      </c>
      <c r="AU5" s="55" t="str">
        <f t="shared" si="21"/>
        <v>Medium</v>
      </c>
      <c r="AV5" s="36" t="s">
        <v>1465</v>
      </c>
      <c r="AW5" s="109" t="s">
        <v>1466</v>
      </c>
      <c r="AX5" s="37" t="s">
        <v>1456</v>
      </c>
      <c r="AY5" s="30"/>
      <c r="AZ5" s="85" t="str">
        <f>IF(ISERROR(_xlfn.XLOOKUP(CONCATENATE(A5,"_",AV5),'Reference-Proof pt impact flag'!$I$3:$I$1048576,'Reference-Proof pt impact flag'!$G$3:$G$1048576)),"",_xlfn.XLOOKUP(CONCATENATE(A5,"_",AV5),'Reference-Proof pt impact flag'!$I$3:$I$1048576,'Reference-Proof pt impact flag'!$G$3:$G$1048576))</f>
        <v/>
      </c>
      <c r="BA5" s="74"/>
      <c r="BB5" s="74"/>
      <c r="BC5" s="74"/>
      <c r="BD5" s="74"/>
      <c r="BE5" s="74"/>
      <c r="BF5" s="74" t="e">
        <f>_xlfn.XLOOKUP(CONCATENATE(H5,"_",AV5),'Test 2 - Proof points - GPT5'!$T:$T,'Test 2 - Proof points - GPT5'!$S:$S)</f>
        <v>#N/A</v>
      </c>
      <c r="BG5" s="74" t="e">
        <f>_xlfn.XLOOKUP(CONCATENATE(H5,"_",AV5),'Test 2 -Proof points - Sonnet'!$AB:$AB,'Test 2 -Proof points - Sonnet'!$AA:$AA)</f>
        <v>#N/A</v>
      </c>
      <c r="BH5" s="74"/>
      <c r="BI5" s="74"/>
      <c r="BJ5" s="74" t="s">
        <v>1461</v>
      </c>
      <c r="BK5" s="30"/>
      <c r="BL5" s="30"/>
      <c r="BM5" s="30"/>
      <c r="BN5" s="30"/>
      <c r="BO5" s="30"/>
      <c r="BP5" s="30"/>
      <c r="BQ5" s="30"/>
      <c r="BR5" s="30"/>
      <c r="BS5" s="30"/>
      <c r="BT5" s="30"/>
      <c r="BU5" s="30"/>
      <c r="BV5" s="113"/>
    </row>
    <row r="6" spans="1:79" ht="27" hidden="1" customHeight="1" x14ac:dyDescent="0.35">
      <c r="A6" s="22">
        <v>1</v>
      </c>
      <c r="B6" s="22" t="s">
        <v>1451</v>
      </c>
      <c r="C6" s="22" t="s">
        <v>1452</v>
      </c>
      <c r="D6" s="22" t="s">
        <v>1224</v>
      </c>
      <c r="E6" s="22" t="s">
        <v>1453</v>
      </c>
      <c r="F6" s="22"/>
      <c r="G6" s="22" t="s">
        <v>1274</v>
      </c>
      <c r="H6" s="21" t="s">
        <v>1292</v>
      </c>
      <c r="I6" s="22"/>
      <c r="J6" s="21" t="s">
        <v>1462</v>
      </c>
      <c r="K6" s="30"/>
      <c r="L6" s="35" t="s">
        <v>1228</v>
      </c>
      <c r="M6" s="35" t="str">
        <f>VLOOKUP(H6,'1_Value &amp; risk levers'!$H$9:$O$1048576,2,FALSE)</f>
        <v>Not practiced / not explored so far</v>
      </c>
      <c r="N6" s="35" t="str">
        <f>VLOOKUP(H6,'1_Value &amp; risk levers'!$H$9:$O$1048576,3,FALSE)</f>
        <v>Ad-hoc initiatives to bundle volume across suppliers</v>
      </c>
      <c r="O6" s="35" t="str">
        <f>VLOOKUP(H6,'1_Value &amp; risk levers'!$H$9:$O$1048576,4,FALSE)</f>
        <v>Suppliers are evaluated for their product coverage at the time of sourcing</v>
      </c>
      <c r="P6" s="35" t="str">
        <f>VLOOKUP(H6,'1_Value &amp; risk levers'!$H$9:$O$1048576,5,FALSE)</f>
        <v>Comprehensive bundling strategy across all vegetable oils - following an optimization approach to identify the right volume mix across suppliers and SKUs</v>
      </c>
      <c r="Q6" s="77">
        <f>IF(VLOOKUP(H6,'1_Value &amp; risk levers'!$H$9:$T$1048576,13,FALSE)=0,"",VLOOKUP(H6,'1_Value &amp; risk levers'!$H$9:$T$1048576,13,FALSE))</f>
        <v>3</v>
      </c>
      <c r="R6" s="128">
        <f t="shared" si="0"/>
        <v>2</v>
      </c>
      <c r="S6" s="128" t="e">
        <f t="shared" si="1"/>
        <v>#DIV/0!</v>
      </c>
      <c r="T6" s="77"/>
      <c r="U6" s="77"/>
      <c r="V6" s="55"/>
      <c r="W6" s="71">
        <v>0.04</v>
      </c>
      <c r="X6" s="71">
        <v>0.1</v>
      </c>
      <c r="Y6" s="71">
        <f>VLOOKUP(H6,'1_Value &amp; risk levers'!$H$9:$O$1048576,8,FALSE)</f>
        <v>0.8</v>
      </c>
      <c r="Z6" s="51">
        <f t="shared" si="2"/>
        <v>7.0000000000000007E-2</v>
      </c>
      <c r="AA6" s="51">
        <f t="shared" si="4"/>
        <v>8.5000000000000006E-2</v>
      </c>
      <c r="AB6" s="55">
        <f t="shared" si="5"/>
        <v>2800000.0000000005</v>
      </c>
      <c r="AC6" s="55">
        <f t="shared" si="6"/>
        <v>3400000.0000000005</v>
      </c>
      <c r="AD6" s="80">
        <f t="shared" si="7"/>
        <v>7</v>
      </c>
      <c r="AE6" s="84">
        <f t="shared" si="8"/>
        <v>0.48864540816326468</v>
      </c>
      <c r="AF6" s="71" t="str">
        <f t="shared" si="9"/>
        <v>Low</v>
      </c>
      <c r="AG6" s="84">
        <f t="shared" si="10"/>
        <v>5.9772908163265304E-2</v>
      </c>
      <c r="AH6" s="84">
        <f t="shared" si="11"/>
        <v>9.5227091836734709E-2</v>
      </c>
      <c r="AI6" s="73">
        <f t="shared" si="12"/>
        <v>2390916.3265306121</v>
      </c>
      <c r="AJ6" s="73">
        <f t="shared" si="13"/>
        <v>3809083.6734693884</v>
      </c>
      <c r="AK6" s="46">
        <f>VLOOKUP(H6,'1_Value &amp; risk levers'!$H$9:$O$1048576,6,FALSE)</f>
        <v>0.02</v>
      </c>
      <c r="AL6" s="46">
        <f>VLOOKUP(H6,'1_Value &amp; risk levers'!$H$9:$O$1048576,7,FALSE)</f>
        <v>0.05</v>
      </c>
      <c r="AM6" s="50">
        <f t="shared" si="14"/>
        <v>2.75E-2</v>
      </c>
      <c r="AN6" s="72">
        <f t="shared" si="15"/>
        <v>0.12790697674418605</v>
      </c>
      <c r="AO6" s="84">
        <f t="shared" si="16"/>
        <v>7.6453719743711434E-3</v>
      </c>
      <c r="AP6" s="84">
        <f t="shared" si="17"/>
        <v>1.2180209420977696E-2</v>
      </c>
      <c r="AQ6" s="55">
        <f t="shared" si="18"/>
        <v>358139.53488372103</v>
      </c>
      <c r="AR6" s="55">
        <f t="shared" si="19"/>
        <v>434883.72093023261</v>
      </c>
      <c r="AS6" s="83">
        <f t="shared" si="3"/>
        <v>41</v>
      </c>
      <c r="AT6" s="50">
        <f t="shared" si="20"/>
        <v>7.1837499999999999</v>
      </c>
      <c r="AU6" s="55" t="str">
        <f t="shared" si="21"/>
        <v>Medium</v>
      </c>
      <c r="AV6" s="36" t="s">
        <v>1467</v>
      </c>
      <c r="AW6" s="109" t="s">
        <v>1468</v>
      </c>
      <c r="AX6" s="37" t="s">
        <v>1456</v>
      </c>
      <c r="AY6" s="31" t="s">
        <v>1469</v>
      </c>
      <c r="AZ6" s="85" t="str">
        <f>IF(ISERROR(_xlfn.XLOOKUP(CONCATENATE(A6,"_",AV6),'Reference-Proof pt impact flag'!$I$3:$I$1048576,'Reference-Proof pt impact flag'!$G$3:$G$1048576)),"",_xlfn.XLOOKUP(CONCATENATE(A6,"_",AV6),'Reference-Proof pt impact flag'!$I$3:$I$1048576,'Reference-Proof pt impact flag'!$G$3:$G$1048576))</f>
        <v>High</v>
      </c>
      <c r="BA6" s="27" t="s">
        <v>1458</v>
      </c>
      <c r="BB6" s="74"/>
      <c r="BC6" s="74"/>
      <c r="BD6" s="74"/>
      <c r="BE6" s="74" t="s">
        <v>1470</v>
      </c>
      <c r="BF6" s="74" t="str">
        <f>_xlfn.XLOOKUP(CONCATENATE(H6,"_",AV6),'Test 2 - Proof points - GPT5'!$T:$T,'Test 2 - Proof points - GPT5'!$S:$S)</f>
        <v>Insights: Supplier base: 87 vendors; Top-1 share 8.6%; HHI ≈ 344 → fragmented. Leverage via bundled bids and two-tiering is feasible. Top leverage candidates by spend: RAW RICEBRAN OIL, REFINED RICEBRAN OIL, REFINED SUNFLOWER OIL EDIBLE. Estimated admin + unit-price benefit from tail collapse (tail 20.6%): 1–3% admin and 2–5% price on rebid.</v>
      </c>
      <c r="BG6" s="74" t="str">
        <f>_xlfn.XLOOKUP(CONCATENATE(H6,"_",AV6),'Test 2 -Proof points - Sonnet'!$AB:$AB,'Test 2 -Proof points - Sonnet'!$AA:$AA)</f>
        <v>â€¢ **Address tail supplier fragmentation**: Analysis shows &gt;75% of unique suppliers (including RAICHUR SOLVENTS, smaller regional processors) contribute to bottom 20% of spend, creating administrative burden and limiting negotiation leverage.
â€¢ **Consolidate smaller volume suppliers**: Multiple suppliers like UNIVERSAL AGRO FOOD INDUSTRIES, N.K.PROTEINS LIMITED show sporadic, small-volume transactions that can be consolidated into preferred supplier relationships or eliminated entirely.
â€¢ **Future procurement digitization trends**: Industry shift toward supplier relationship management platforms and automated procurement processes will favor organizations with streamlined supplier portfolios, making tail spend consolidation essential for operational efficiency and cost competitiveness.</v>
      </c>
      <c r="BH6" s="74" t="s">
        <v>1460</v>
      </c>
      <c r="BI6" s="74"/>
      <c r="BJ6" s="74" t="s">
        <v>1461</v>
      </c>
      <c r="BK6" s="30"/>
      <c r="BL6" s="30"/>
      <c r="BM6" s="30" t="s">
        <v>132</v>
      </c>
      <c r="BN6" s="30"/>
      <c r="BO6" s="30"/>
      <c r="BP6" s="30"/>
      <c r="BQ6" s="30"/>
      <c r="BR6" s="30"/>
      <c r="BS6" s="30"/>
      <c r="BT6" s="30"/>
      <c r="BU6" s="30"/>
      <c r="BV6" s="113" t="s">
        <v>132</v>
      </c>
    </row>
    <row r="7" spans="1:79" ht="27" hidden="1" customHeight="1" x14ac:dyDescent="0.35">
      <c r="A7" s="22">
        <v>1</v>
      </c>
      <c r="B7" s="22" t="s">
        <v>1451</v>
      </c>
      <c r="C7" s="22" t="s">
        <v>1452</v>
      </c>
      <c r="D7" s="22" t="s">
        <v>1224</v>
      </c>
      <c r="E7" s="22" t="s">
        <v>1453</v>
      </c>
      <c r="F7" s="22"/>
      <c r="G7" s="22" t="s">
        <v>1274</v>
      </c>
      <c r="H7" s="21" t="s">
        <v>1292</v>
      </c>
      <c r="I7" s="22"/>
      <c r="J7" s="21" t="s">
        <v>1462</v>
      </c>
      <c r="K7" s="30"/>
      <c r="L7" s="35" t="s">
        <v>1228</v>
      </c>
      <c r="M7" s="35" t="str">
        <f>VLOOKUP(H7,'1_Value &amp; risk levers'!$H$9:$O$1048576,2,FALSE)</f>
        <v>Not practiced / not explored so far</v>
      </c>
      <c r="N7" s="35" t="str">
        <f>VLOOKUP(H7,'1_Value &amp; risk levers'!$H$9:$O$1048576,3,FALSE)</f>
        <v>Ad-hoc initiatives to bundle volume across suppliers</v>
      </c>
      <c r="O7" s="35" t="str">
        <f>VLOOKUP(H7,'1_Value &amp; risk levers'!$H$9:$O$1048576,4,FALSE)</f>
        <v>Suppliers are evaluated for their product coverage at the time of sourcing</v>
      </c>
      <c r="P7" s="35" t="str">
        <f>VLOOKUP(H7,'1_Value &amp; risk levers'!$H$9:$O$1048576,5,FALSE)</f>
        <v>Comprehensive bundling strategy across all vegetable oils - following an optimization approach to identify the right volume mix across suppliers and SKUs</v>
      </c>
      <c r="Q7" s="77">
        <f>IF(VLOOKUP(H7,'1_Value &amp; risk levers'!$H$9:$T$1048576,13,FALSE)=0,"",VLOOKUP(H7,'1_Value &amp; risk levers'!$H$9:$T$1048576,13,FALSE))</f>
        <v>3</v>
      </c>
      <c r="R7" s="128">
        <f t="shared" si="0"/>
        <v>2</v>
      </c>
      <c r="S7" s="128" t="e">
        <f t="shared" si="1"/>
        <v>#DIV/0!</v>
      </c>
      <c r="T7" s="77"/>
      <c r="U7" s="77"/>
      <c r="V7" s="55"/>
      <c r="W7" s="71">
        <v>0.04</v>
      </c>
      <c r="X7" s="71">
        <v>0.1</v>
      </c>
      <c r="Y7" s="71">
        <f>VLOOKUP(H7,'1_Value &amp; risk levers'!$H$9:$O$1048576,8,FALSE)</f>
        <v>0.8</v>
      </c>
      <c r="Z7" s="51">
        <f t="shared" si="2"/>
        <v>7.0000000000000007E-2</v>
      </c>
      <c r="AA7" s="51">
        <f t="shared" si="4"/>
        <v>8.5000000000000006E-2</v>
      </c>
      <c r="AB7" s="55">
        <f t="shared" si="5"/>
        <v>2800000.0000000005</v>
      </c>
      <c r="AC7" s="55">
        <f t="shared" si="6"/>
        <v>3400000.0000000005</v>
      </c>
      <c r="AD7" s="80">
        <f t="shared" si="7"/>
        <v>7</v>
      </c>
      <c r="AE7" s="84">
        <f t="shared" si="8"/>
        <v>0.48864540816326468</v>
      </c>
      <c r="AF7" s="71" t="str">
        <f t="shared" si="9"/>
        <v>Low</v>
      </c>
      <c r="AG7" s="84">
        <f t="shared" si="10"/>
        <v>5.9772908163265304E-2</v>
      </c>
      <c r="AH7" s="84">
        <f t="shared" si="11"/>
        <v>9.5227091836734709E-2</v>
      </c>
      <c r="AI7" s="73">
        <f t="shared" si="12"/>
        <v>2390916.3265306121</v>
      </c>
      <c r="AJ7" s="73">
        <f t="shared" si="13"/>
        <v>3809083.6734693884</v>
      </c>
      <c r="AK7" s="46">
        <f>VLOOKUP(H7,'1_Value &amp; risk levers'!$H$9:$O$1048576,6,FALSE)</f>
        <v>0.02</v>
      </c>
      <c r="AL7" s="46">
        <f>VLOOKUP(H7,'1_Value &amp; risk levers'!$H$9:$O$1048576,7,FALSE)</f>
        <v>0.05</v>
      </c>
      <c r="AM7" s="50">
        <f t="shared" si="14"/>
        <v>2.75E-2</v>
      </c>
      <c r="AN7" s="72">
        <f t="shared" si="15"/>
        <v>0.12790697674418605</v>
      </c>
      <c r="AO7" s="84">
        <f t="shared" si="16"/>
        <v>7.6453719743711434E-3</v>
      </c>
      <c r="AP7" s="84">
        <f t="shared" si="17"/>
        <v>1.2180209420977696E-2</v>
      </c>
      <c r="AQ7" s="55">
        <f t="shared" si="18"/>
        <v>358139.53488372103</v>
      </c>
      <c r="AR7" s="55">
        <f t="shared" si="19"/>
        <v>434883.72093023261</v>
      </c>
      <c r="AS7" s="83">
        <f t="shared" si="3"/>
        <v>41</v>
      </c>
      <c r="AT7" s="50">
        <f t="shared" si="20"/>
        <v>7.1837499999999999</v>
      </c>
      <c r="AU7" s="55" t="str">
        <f t="shared" si="21"/>
        <v>Medium</v>
      </c>
      <c r="AV7" s="36" t="s">
        <v>1471</v>
      </c>
      <c r="AW7" s="109" t="s">
        <v>1472</v>
      </c>
      <c r="AX7" s="37" t="s">
        <v>1456</v>
      </c>
      <c r="AY7" s="31" t="s">
        <v>1473</v>
      </c>
      <c r="AZ7" s="85" t="str">
        <f>IF(ISERROR(_xlfn.XLOOKUP(CONCATENATE(A7,"_",AV7),'Reference-Proof pt impact flag'!$I$3:$I$1048576,'Reference-Proof pt impact flag'!$G$3:$G$1048576)),"",_xlfn.XLOOKUP(CONCATENATE(A7,"_",AV7),'Reference-Proof pt impact flag'!$I$3:$I$1048576,'Reference-Proof pt impact flag'!$G$3:$G$1048576))</f>
        <v>High</v>
      </c>
      <c r="BA7" s="27" t="s">
        <v>1458</v>
      </c>
      <c r="BB7" s="74"/>
      <c r="BC7" s="74"/>
      <c r="BD7" s="74"/>
      <c r="BE7" s="74" t="s">
        <v>1474</v>
      </c>
      <c r="BF7" s="74" t="str">
        <f>_xlfn.XLOOKUP(CONCATENATE(H7,"_",AV7),'Test 2 - Proof points - GPT5'!$T:$T,'Test 2 - Proof points - GPT5'!$S:$S)</f>
        <v>Insights: Supplier base: 87 vendors; Top-1 share 8.6%; HHI ≈ 344 → fragmented. Leverage via bundled bids and two-tiering is feasible. Top leverage candidates by spend: RAW RICEBRAN OIL, REFINED RICEBRAN OIL, REFINED SUNFLOWER OIL EDIBLE. Estimated admin + unit-price benefit from tail collapse (tail 20.6%): 1–3% admin and 2–5% price on rebid.</v>
      </c>
      <c r="BG7" s="74" t="str">
        <f>_xlfn.XLOOKUP(CONCATENATE(H7,"_",AV7),'Test 2 -Proof points - Sonnet'!$AB:$AB,'Test 2 -Proof points - Sonnet'!$AA:$AA)</f>
        <v>â€¢ **Consolidate identical ricebran oil sourcing**: Raw ricebran oil (Material 102038) is procured from 10+ suppliers including SHIVAGANGA FOOD OIL EXTRACTIONS, SIDDAGANGA OIL &amp; BIO INDUSTRIES, SAKLECHA SOLVENTEX - all providing identical specifications, creating consolidation opportunities.
â€¢ **Leverage cross-oil-type negotiations**: Suppliers like UNIVERSAL AGRO FOOD INDUSTRIES serve both ricebran and sunflower oil categories, enabling bundled negotiations across vegetable oil types for volume discounts.
â€¢ **Future supply chain consolidation**: Industry trend toward fewer, strategic supplier partnerships driven by sustainability requirements and supply chain resilience needs will reward early movers who proactively consolidate volumes with capable, multi-category suppliers.</v>
      </c>
      <c r="BH7" s="74" t="s">
        <v>1460</v>
      </c>
      <c r="BI7" s="74"/>
      <c r="BJ7" s="74" t="s">
        <v>1461</v>
      </c>
      <c r="BK7" s="30"/>
      <c r="BL7" s="30"/>
      <c r="BM7" s="30" t="s">
        <v>132</v>
      </c>
      <c r="BN7" s="30"/>
      <c r="BO7" s="30"/>
      <c r="BP7" s="30"/>
      <c r="BQ7" s="30"/>
      <c r="BR7" s="30"/>
      <c r="BS7" s="30"/>
      <c r="BT7" s="30"/>
      <c r="BU7" s="30"/>
      <c r="BV7" s="113" t="s">
        <v>132</v>
      </c>
    </row>
    <row r="8" spans="1:79" ht="27" hidden="1" customHeight="1" x14ac:dyDescent="0.35">
      <c r="A8" s="22">
        <v>1</v>
      </c>
      <c r="B8" s="22" t="s">
        <v>1451</v>
      </c>
      <c r="C8" s="22" t="s">
        <v>1452</v>
      </c>
      <c r="D8" s="22" t="s">
        <v>1224</v>
      </c>
      <c r="E8" s="22" t="s">
        <v>1453</v>
      </c>
      <c r="F8" s="22"/>
      <c r="G8" s="22" t="s">
        <v>1274</v>
      </c>
      <c r="H8" s="21" t="s">
        <v>1292</v>
      </c>
      <c r="I8" s="22"/>
      <c r="J8" s="21" t="s">
        <v>1462</v>
      </c>
      <c r="K8" s="30"/>
      <c r="L8" s="35" t="s">
        <v>1228</v>
      </c>
      <c r="M8" s="35" t="str">
        <f>VLOOKUP(H8,'1_Value &amp; risk levers'!$H$9:$O$1048576,2,FALSE)</f>
        <v>Not practiced / not explored so far</v>
      </c>
      <c r="N8" s="35" t="str">
        <f>VLOOKUP(H8,'1_Value &amp; risk levers'!$H$9:$O$1048576,3,FALSE)</f>
        <v>Ad-hoc initiatives to bundle volume across suppliers</v>
      </c>
      <c r="O8" s="35" t="str">
        <f>VLOOKUP(H8,'1_Value &amp; risk levers'!$H$9:$O$1048576,4,FALSE)</f>
        <v>Suppliers are evaluated for their product coverage at the time of sourcing</v>
      </c>
      <c r="P8" s="35" t="str">
        <f>VLOOKUP(H8,'1_Value &amp; risk levers'!$H$9:$O$1048576,5,FALSE)</f>
        <v>Comprehensive bundling strategy across all vegetable oils - following an optimization approach to identify the right volume mix across suppliers and SKUs</v>
      </c>
      <c r="Q8" s="77">
        <f>IF(VLOOKUP(H8,'1_Value &amp; risk levers'!$H$9:$T$1048576,13,FALSE)=0,"",VLOOKUP(H8,'1_Value &amp; risk levers'!$H$9:$T$1048576,13,FALSE))</f>
        <v>3</v>
      </c>
      <c r="R8" s="128">
        <f t="shared" si="0"/>
        <v>2</v>
      </c>
      <c r="S8" s="128" t="e">
        <f t="shared" si="1"/>
        <v>#DIV/0!</v>
      </c>
      <c r="T8" s="77"/>
      <c r="U8" s="77"/>
      <c r="V8" s="55"/>
      <c r="W8" s="71">
        <v>0.04</v>
      </c>
      <c r="X8" s="71">
        <v>0.1</v>
      </c>
      <c r="Y8" s="71">
        <f>VLOOKUP(H8,'1_Value &amp; risk levers'!$H$9:$O$1048576,8,FALSE)</f>
        <v>0.8</v>
      </c>
      <c r="Z8" s="51">
        <f t="shared" si="2"/>
        <v>7.0000000000000007E-2</v>
      </c>
      <c r="AA8" s="51">
        <f t="shared" si="4"/>
        <v>8.5000000000000006E-2</v>
      </c>
      <c r="AB8" s="55">
        <f t="shared" si="5"/>
        <v>2800000.0000000005</v>
      </c>
      <c r="AC8" s="55">
        <f t="shared" si="6"/>
        <v>3400000.0000000005</v>
      </c>
      <c r="AD8" s="80">
        <f t="shared" si="7"/>
        <v>7</v>
      </c>
      <c r="AE8" s="84">
        <f t="shared" si="8"/>
        <v>0.48864540816326468</v>
      </c>
      <c r="AF8" s="71" t="str">
        <f t="shared" si="9"/>
        <v>Low</v>
      </c>
      <c r="AG8" s="84">
        <f t="shared" si="10"/>
        <v>5.9772908163265304E-2</v>
      </c>
      <c r="AH8" s="84">
        <f t="shared" si="11"/>
        <v>9.5227091836734709E-2</v>
      </c>
      <c r="AI8" s="73">
        <f t="shared" si="12"/>
        <v>2390916.3265306121</v>
      </c>
      <c r="AJ8" s="73">
        <f t="shared" si="13"/>
        <v>3809083.6734693884</v>
      </c>
      <c r="AK8" s="46">
        <f>VLOOKUP(H8,'1_Value &amp; risk levers'!$H$9:$O$1048576,6,FALSE)</f>
        <v>0.02</v>
      </c>
      <c r="AL8" s="46">
        <f>VLOOKUP(H8,'1_Value &amp; risk levers'!$H$9:$O$1048576,7,FALSE)</f>
        <v>0.05</v>
      </c>
      <c r="AM8" s="50">
        <f t="shared" si="14"/>
        <v>2.75E-2</v>
      </c>
      <c r="AN8" s="72">
        <f t="shared" si="15"/>
        <v>0.12790697674418605</v>
      </c>
      <c r="AO8" s="84">
        <f t="shared" si="16"/>
        <v>7.6453719743711434E-3</v>
      </c>
      <c r="AP8" s="84">
        <f t="shared" si="17"/>
        <v>1.2180209420977696E-2</v>
      </c>
      <c r="AQ8" s="55">
        <f t="shared" si="18"/>
        <v>358139.53488372103</v>
      </c>
      <c r="AR8" s="55">
        <f t="shared" si="19"/>
        <v>434883.72093023261</v>
      </c>
      <c r="AS8" s="83">
        <f t="shared" si="3"/>
        <v>41</v>
      </c>
      <c r="AT8" s="50">
        <f t="shared" si="20"/>
        <v>7.1837499999999999</v>
      </c>
      <c r="AU8" s="55" t="str">
        <f t="shared" si="21"/>
        <v>Medium</v>
      </c>
      <c r="AV8" s="36" t="s">
        <v>1475</v>
      </c>
      <c r="AW8" s="109" t="s">
        <v>1476</v>
      </c>
      <c r="AX8" s="37" t="s">
        <v>1456</v>
      </c>
      <c r="AY8" s="30"/>
      <c r="AZ8" s="85" t="str">
        <f>IF(ISERROR(_xlfn.XLOOKUP(CONCATENATE(A8,"_",AV8),'Reference-Proof pt impact flag'!$I$3:$I$1048576,'Reference-Proof pt impact flag'!$G$3:$G$1048576)),"",_xlfn.XLOOKUP(CONCATENATE(A8,"_",AV8),'Reference-Proof pt impact flag'!$I$3:$I$1048576,'Reference-Proof pt impact flag'!$G$3:$G$1048576))</f>
        <v/>
      </c>
      <c r="BA8" s="74"/>
      <c r="BB8" s="74"/>
      <c r="BC8" s="74"/>
      <c r="BD8" s="74"/>
      <c r="BE8" s="74"/>
      <c r="BF8" s="74" t="e">
        <f>_xlfn.XLOOKUP(CONCATENATE(H8,"_",AV8),'Test 2 - Proof points - GPT5'!$T:$T,'Test 2 - Proof points - GPT5'!$S:$S)</f>
        <v>#N/A</v>
      </c>
      <c r="BG8" s="74" t="e">
        <f>_xlfn.XLOOKUP(CONCATENATE(H8,"_",AV8),'Test 2 -Proof points - Sonnet'!$AB:$AB,'Test 2 -Proof points - Sonnet'!$AA:$AA)</f>
        <v>#N/A</v>
      </c>
      <c r="BH8" s="74"/>
      <c r="BI8" s="74"/>
      <c r="BJ8" s="74" t="s">
        <v>1461</v>
      </c>
      <c r="BK8" s="30"/>
      <c r="BL8" s="30"/>
      <c r="BM8" s="30"/>
      <c r="BN8" s="30"/>
      <c r="BO8" s="30"/>
      <c r="BP8" s="30"/>
      <c r="BQ8" s="30"/>
      <c r="BR8" s="30"/>
      <c r="BS8" s="30"/>
      <c r="BT8" s="30"/>
      <c r="BU8" s="30"/>
      <c r="BV8" s="113"/>
    </row>
    <row r="9" spans="1:79" ht="27" hidden="1" customHeight="1" x14ac:dyDescent="0.35">
      <c r="A9" s="22">
        <v>1</v>
      </c>
      <c r="B9" s="22" t="s">
        <v>1451</v>
      </c>
      <c r="C9" s="22" t="s">
        <v>1452</v>
      </c>
      <c r="D9" s="22" t="s">
        <v>1224</v>
      </c>
      <c r="E9" s="22" t="s">
        <v>1453</v>
      </c>
      <c r="F9" s="22"/>
      <c r="G9" s="22" t="s">
        <v>1274</v>
      </c>
      <c r="H9" s="21" t="s">
        <v>1292</v>
      </c>
      <c r="I9" s="22"/>
      <c r="J9" s="21" t="s">
        <v>1462</v>
      </c>
      <c r="K9" s="30"/>
      <c r="L9" s="35" t="s">
        <v>1228</v>
      </c>
      <c r="M9" s="35" t="str">
        <f>VLOOKUP(H9,'1_Value &amp; risk levers'!$H$9:$O$1048576,2,FALSE)</f>
        <v>Not practiced / not explored so far</v>
      </c>
      <c r="N9" s="35" t="str">
        <f>VLOOKUP(H9,'1_Value &amp; risk levers'!$H$9:$O$1048576,3,FALSE)</f>
        <v>Ad-hoc initiatives to bundle volume across suppliers</v>
      </c>
      <c r="O9" s="35" t="str">
        <f>VLOOKUP(H9,'1_Value &amp; risk levers'!$H$9:$O$1048576,4,FALSE)</f>
        <v>Suppliers are evaluated for their product coverage at the time of sourcing</v>
      </c>
      <c r="P9" s="35" t="str">
        <f>VLOOKUP(H9,'1_Value &amp; risk levers'!$H$9:$O$1048576,5,FALSE)</f>
        <v>Comprehensive bundling strategy across all vegetable oils - following an optimization approach to identify the right volume mix across suppliers and SKUs</v>
      </c>
      <c r="Q9" s="77">
        <f>IF(VLOOKUP(H9,'1_Value &amp; risk levers'!$H$9:$T$1048576,13,FALSE)=0,"",VLOOKUP(H9,'1_Value &amp; risk levers'!$H$9:$T$1048576,13,FALSE))</f>
        <v>3</v>
      </c>
      <c r="R9" s="128">
        <f t="shared" si="0"/>
        <v>2</v>
      </c>
      <c r="S9" s="128" t="e">
        <f t="shared" si="1"/>
        <v>#DIV/0!</v>
      </c>
      <c r="T9" s="77"/>
      <c r="U9" s="77"/>
      <c r="V9" s="55"/>
      <c r="W9" s="71">
        <v>0.04</v>
      </c>
      <c r="X9" s="71">
        <v>0.1</v>
      </c>
      <c r="Y9" s="71">
        <f>VLOOKUP(H9,'1_Value &amp; risk levers'!$H$9:$O$1048576,8,FALSE)</f>
        <v>0.8</v>
      </c>
      <c r="Z9" s="51">
        <f t="shared" si="2"/>
        <v>7.0000000000000007E-2</v>
      </c>
      <c r="AA9" s="51">
        <f t="shared" si="4"/>
        <v>8.5000000000000006E-2</v>
      </c>
      <c r="AB9" s="55">
        <f t="shared" si="5"/>
        <v>2800000.0000000005</v>
      </c>
      <c r="AC9" s="55">
        <f t="shared" si="6"/>
        <v>3400000.0000000005</v>
      </c>
      <c r="AD9" s="80">
        <f t="shared" si="7"/>
        <v>7</v>
      </c>
      <c r="AE9" s="84">
        <f t="shared" si="8"/>
        <v>0.48864540816326468</v>
      </c>
      <c r="AF9" s="71" t="str">
        <f t="shared" si="9"/>
        <v>Low</v>
      </c>
      <c r="AG9" s="84">
        <f t="shared" si="10"/>
        <v>5.9772908163265304E-2</v>
      </c>
      <c r="AH9" s="84">
        <f t="shared" si="11"/>
        <v>9.5227091836734709E-2</v>
      </c>
      <c r="AI9" s="73">
        <f t="shared" si="12"/>
        <v>2390916.3265306121</v>
      </c>
      <c r="AJ9" s="73">
        <f t="shared" si="13"/>
        <v>3809083.6734693884</v>
      </c>
      <c r="AK9" s="46">
        <f>VLOOKUP(H9,'1_Value &amp; risk levers'!$H$9:$O$1048576,6,FALSE)</f>
        <v>0.02</v>
      </c>
      <c r="AL9" s="46">
        <f>VLOOKUP(H9,'1_Value &amp; risk levers'!$H$9:$O$1048576,7,FALSE)</f>
        <v>0.05</v>
      </c>
      <c r="AM9" s="50">
        <f t="shared" si="14"/>
        <v>2.75E-2</v>
      </c>
      <c r="AN9" s="72">
        <f t="shared" si="15"/>
        <v>0.12790697674418605</v>
      </c>
      <c r="AO9" s="84">
        <f t="shared" si="16"/>
        <v>7.6453719743711434E-3</v>
      </c>
      <c r="AP9" s="84">
        <f t="shared" si="17"/>
        <v>1.2180209420977696E-2</v>
      </c>
      <c r="AQ9" s="55">
        <f t="shared" si="18"/>
        <v>358139.53488372103</v>
      </c>
      <c r="AR9" s="55">
        <f t="shared" si="19"/>
        <v>434883.72093023261</v>
      </c>
      <c r="AS9" s="83">
        <f t="shared" si="3"/>
        <v>41</v>
      </c>
      <c r="AT9" s="50">
        <f t="shared" si="20"/>
        <v>7.1837499999999999</v>
      </c>
      <c r="AU9" s="55" t="str">
        <f t="shared" si="21"/>
        <v>Medium</v>
      </c>
      <c r="AV9" s="36" t="s">
        <v>1477</v>
      </c>
      <c r="AW9" s="110" t="s">
        <v>1478</v>
      </c>
      <c r="AX9" s="37" t="s">
        <v>1456</v>
      </c>
      <c r="AY9" s="31" t="s">
        <v>1479</v>
      </c>
      <c r="AZ9" s="85" t="str">
        <f>IF(ISERROR(_xlfn.XLOOKUP(CONCATENATE(A9,"_",AV9),'Reference-Proof pt impact flag'!$I$3:$I$1048576,'Reference-Proof pt impact flag'!$G$3:$G$1048576)),"",_xlfn.XLOOKUP(CONCATENATE(A9,"_",AV9),'Reference-Proof pt impact flag'!$I$3:$I$1048576,'Reference-Proof pt impact flag'!$G$3:$G$1048576))</f>
        <v>Medium</v>
      </c>
      <c r="BA9" s="27" t="s">
        <v>1458</v>
      </c>
      <c r="BB9" s="74"/>
      <c r="BC9" s="74"/>
      <c r="BD9" s="74"/>
      <c r="BE9" s="74" t="s">
        <v>1480</v>
      </c>
      <c r="BF9" s="74" t="str">
        <f>_xlfn.XLOOKUP(CONCATENATE(H9,"_",AV9),'Test 2 - Proof points - GPT5'!$T:$T,'Test 2 - Proof points - GPT5'!$S:$S)</f>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 REFINED SUNFLOWER OIL EDIBLE (suppliers: 13, plants: 2) — price/kg 1.65-2.09 (median 1.86; spread 24%). Potential value ≈ $1,565,056 by aligning 50% volume to P25–P10 pricing. Actions: Run competitive re-bids on the cited SKUs, standardize specs, and lock indexed contracts where volatility is high. Prioritize suppliers with proven capability across Malaysia/Australia plants to converge to best-in-class pricing.</v>
      </c>
      <c r="BG9" s="74" t="e">
        <f>_xlfn.XLOOKUP(CONCATENATE(H9,"_",AV9),'Test 2 -Proof points - Sonnet'!$AB:$AB,'Test 2 -Proof points - Sonnet'!$AA:$AA)</f>
        <v>#N/A</v>
      </c>
      <c r="BH9" s="74" t="s">
        <v>1460</v>
      </c>
      <c r="BI9" s="74"/>
      <c r="BJ9" s="74" t="s">
        <v>1461</v>
      </c>
      <c r="BK9" s="30"/>
      <c r="BL9" s="30"/>
      <c r="BM9" s="30"/>
      <c r="BN9" s="30"/>
      <c r="BO9" s="30" t="s">
        <v>132</v>
      </c>
      <c r="BP9" s="30"/>
      <c r="BQ9" s="30"/>
      <c r="BR9" s="30"/>
      <c r="BS9" s="30"/>
      <c r="BT9" s="30"/>
      <c r="BU9" s="30"/>
      <c r="BV9" s="113" t="s">
        <v>132</v>
      </c>
    </row>
    <row r="10" spans="1:79" ht="27" hidden="1" customHeight="1" x14ac:dyDescent="0.35">
      <c r="A10" s="22">
        <v>1</v>
      </c>
      <c r="B10" s="22" t="s">
        <v>1451</v>
      </c>
      <c r="C10" s="22" t="s">
        <v>1452</v>
      </c>
      <c r="D10" s="22" t="s">
        <v>1224</v>
      </c>
      <c r="E10" s="22" t="s">
        <v>1453</v>
      </c>
      <c r="F10" s="22"/>
      <c r="G10" s="22" t="s">
        <v>1274</v>
      </c>
      <c r="H10" s="21" t="s">
        <v>1292</v>
      </c>
      <c r="I10" s="22"/>
      <c r="J10" s="21" t="s">
        <v>1462</v>
      </c>
      <c r="K10" s="30"/>
      <c r="L10" s="35" t="s">
        <v>1228</v>
      </c>
      <c r="M10" s="35" t="str">
        <f>VLOOKUP(H10,'1_Value &amp; risk levers'!$H$9:$O$1048576,2,FALSE)</f>
        <v>Not practiced / not explored so far</v>
      </c>
      <c r="N10" s="35" t="str">
        <f>VLOOKUP(H10,'1_Value &amp; risk levers'!$H$9:$O$1048576,3,FALSE)</f>
        <v>Ad-hoc initiatives to bundle volume across suppliers</v>
      </c>
      <c r="O10" s="35" t="str">
        <f>VLOOKUP(H10,'1_Value &amp; risk levers'!$H$9:$O$1048576,4,FALSE)</f>
        <v>Suppliers are evaluated for their product coverage at the time of sourcing</v>
      </c>
      <c r="P10" s="35" t="str">
        <f>VLOOKUP(H10,'1_Value &amp; risk levers'!$H$9:$O$1048576,5,FALSE)</f>
        <v>Comprehensive bundling strategy across all vegetable oils - following an optimization approach to identify the right volume mix across suppliers and SKUs</v>
      </c>
      <c r="Q10" s="77">
        <f>IF(VLOOKUP(H10,'1_Value &amp; risk levers'!$H$9:$T$1048576,13,FALSE)=0,"",VLOOKUP(H10,'1_Value &amp; risk levers'!$H$9:$T$1048576,13,FALSE))</f>
        <v>3</v>
      </c>
      <c r="R10" s="128">
        <f t="shared" si="0"/>
        <v>2</v>
      </c>
      <c r="S10" s="128" t="e">
        <f t="shared" si="1"/>
        <v>#DIV/0!</v>
      </c>
      <c r="T10" s="77"/>
      <c r="U10" s="77"/>
      <c r="V10" s="55"/>
      <c r="W10" s="71">
        <v>0.04</v>
      </c>
      <c r="X10" s="71">
        <v>0.1</v>
      </c>
      <c r="Y10" s="71">
        <f>VLOOKUP(H10,'1_Value &amp; risk levers'!$H$9:$O$1048576,8,FALSE)</f>
        <v>0.8</v>
      </c>
      <c r="Z10" s="51">
        <f t="shared" si="2"/>
        <v>7.0000000000000007E-2</v>
      </c>
      <c r="AA10" s="51">
        <f t="shared" si="4"/>
        <v>8.5000000000000006E-2</v>
      </c>
      <c r="AB10" s="55">
        <f t="shared" si="5"/>
        <v>2800000.0000000005</v>
      </c>
      <c r="AC10" s="55">
        <f t="shared" si="6"/>
        <v>3400000.0000000005</v>
      </c>
      <c r="AD10" s="80">
        <f t="shared" si="7"/>
        <v>7</v>
      </c>
      <c r="AE10" s="84">
        <f t="shared" si="8"/>
        <v>0.48864540816326468</v>
      </c>
      <c r="AF10" s="71" t="str">
        <f t="shared" si="9"/>
        <v>Low</v>
      </c>
      <c r="AG10" s="84">
        <f t="shared" si="10"/>
        <v>5.9772908163265304E-2</v>
      </c>
      <c r="AH10" s="84">
        <f t="shared" si="11"/>
        <v>9.5227091836734709E-2</v>
      </c>
      <c r="AI10" s="73">
        <f t="shared" si="12"/>
        <v>2390916.3265306121</v>
      </c>
      <c r="AJ10" s="73">
        <f t="shared" si="13"/>
        <v>3809083.6734693884</v>
      </c>
      <c r="AK10" s="46">
        <f>VLOOKUP(H10,'1_Value &amp; risk levers'!$H$9:$O$1048576,6,FALSE)</f>
        <v>0.02</v>
      </c>
      <c r="AL10" s="46">
        <f>VLOOKUP(H10,'1_Value &amp; risk levers'!$H$9:$O$1048576,7,FALSE)</f>
        <v>0.05</v>
      </c>
      <c r="AM10" s="50">
        <f t="shared" si="14"/>
        <v>2.75E-2</v>
      </c>
      <c r="AN10" s="72">
        <f t="shared" si="15"/>
        <v>0.12790697674418605</v>
      </c>
      <c r="AO10" s="84">
        <f t="shared" si="16"/>
        <v>7.6453719743711434E-3</v>
      </c>
      <c r="AP10" s="84">
        <f t="shared" si="17"/>
        <v>1.2180209420977696E-2</v>
      </c>
      <c r="AQ10" s="55">
        <f t="shared" si="18"/>
        <v>358139.53488372103</v>
      </c>
      <c r="AR10" s="55">
        <f t="shared" si="19"/>
        <v>434883.72093023261</v>
      </c>
      <c r="AS10" s="83">
        <f t="shared" si="3"/>
        <v>41</v>
      </c>
      <c r="AT10" s="50">
        <f t="shared" si="20"/>
        <v>7.1837499999999999</v>
      </c>
      <c r="AU10" s="55" t="str">
        <f t="shared" si="21"/>
        <v>Medium</v>
      </c>
      <c r="AV10" s="36" t="s">
        <v>1481</v>
      </c>
      <c r="AW10" s="110" t="s">
        <v>1482</v>
      </c>
      <c r="AX10" s="37" t="s">
        <v>1456</v>
      </c>
      <c r="AY10" s="30"/>
      <c r="AZ10" s="85" t="str">
        <f>IF(ISERROR(_xlfn.XLOOKUP(CONCATENATE(A10,"_",AV10),'Reference-Proof pt impact flag'!$I$3:$I$1048576,'Reference-Proof pt impact flag'!$G$3:$G$1048576)),"",_xlfn.XLOOKUP(CONCATENATE(A10,"_",AV10),'Reference-Proof pt impact flag'!$I$3:$I$1048576,'Reference-Proof pt impact flag'!$G$3:$G$1048576))</f>
        <v/>
      </c>
      <c r="BA10" s="74"/>
      <c r="BB10" s="74"/>
      <c r="BC10" s="74"/>
      <c r="BD10" s="74"/>
      <c r="BE10" s="74"/>
      <c r="BF10" s="74" t="e">
        <f>_xlfn.XLOOKUP(CONCATENATE(H10,"_",AV10),'Test 2 - Proof points - GPT5'!$T:$T,'Test 2 - Proof points - GPT5'!$S:$S)</f>
        <v>#N/A</v>
      </c>
      <c r="BG10" s="74" t="e">
        <f>_xlfn.XLOOKUP(CONCATENATE(H10,"_",AV10),'Test 2 -Proof points - Sonnet'!$AB:$AB,'Test 2 -Proof points - Sonnet'!$AA:$AA)</f>
        <v>#N/A</v>
      </c>
      <c r="BH10" s="74"/>
      <c r="BI10" s="74"/>
      <c r="BJ10" s="74" t="s">
        <v>1461</v>
      </c>
      <c r="BK10" s="30"/>
      <c r="BL10" s="30"/>
      <c r="BM10" s="30"/>
      <c r="BN10" s="30"/>
      <c r="BO10" s="30"/>
      <c r="BP10" s="30"/>
      <c r="BQ10" s="30"/>
      <c r="BR10" s="30"/>
      <c r="BS10" s="30"/>
      <c r="BT10" s="30"/>
      <c r="BU10" s="30"/>
      <c r="BV10" s="113"/>
    </row>
    <row r="11" spans="1:79" ht="27" hidden="1" customHeight="1" x14ac:dyDescent="0.35">
      <c r="A11" s="22">
        <v>1</v>
      </c>
      <c r="B11" s="22" t="s">
        <v>1451</v>
      </c>
      <c r="C11" s="22" t="s">
        <v>1452</v>
      </c>
      <c r="D11" s="22" t="s">
        <v>1224</v>
      </c>
      <c r="E11" s="22" t="s">
        <v>1453</v>
      </c>
      <c r="F11" s="22"/>
      <c r="G11" s="22" t="s">
        <v>1274</v>
      </c>
      <c r="H11" s="21" t="s">
        <v>1292</v>
      </c>
      <c r="I11" s="22"/>
      <c r="J11" s="21" t="s">
        <v>1462</v>
      </c>
      <c r="K11" s="30"/>
      <c r="L11" s="35" t="s">
        <v>1228</v>
      </c>
      <c r="M11" s="35" t="str">
        <f>VLOOKUP(H11,'1_Value &amp; risk levers'!$H$9:$O$1048576,2,FALSE)</f>
        <v>Not practiced / not explored so far</v>
      </c>
      <c r="N11" s="35" t="str">
        <f>VLOOKUP(H11,'1_Value &amp; risk levers'!$H$9:$O$1048576,3,FALSE)</f>
        <v>Ad-hoc initiatives to bundle volume across suppliers</v>
      </c>
      <c r="O11" s="35" t="str">
        <f>VLOOKUP(H11,'1_Value &amp; risk levers'!$H$9:$O$1048576,4,FALSE)</f>
        <v>Suppliers are evaluated for their product coverage at the time of sourcing</v>
      </c>
      <c r="P11" s="35" t="str">
        <f>VLOOKUP(H11,'1_Value &amp; risk levers'!$H$9:$O$1048576,5,FALSE)</f>
        <v>Comprehensive bundling strategy across all vegetable oils - following an optimization approach to identify the right volume mix across suppliers and SKUs</v>
      </c>
      <c r="Q11" s="77">
        <f>IF(VLOOKUP(H11,'1_Value &amp; risk levers'!$H$9:$T$1048576,13,FALSE)=0,"",VLOOKUP(H11,'1_Value &amp; risk levers'!$H$9:$T$1048576,13,FALSE))</f>
        <v>3</v>
      </c>
      <c r="R11" s="128">
        <f t="shared" si="0"/>
        <v>2</v>
      </c>
      <c r="S11" s="128" t="e">
        <f t="shared" si="1"/>
        <v>#DIV/0!</v>
      </c>
      <c r="T11" s="77"/>
      <c r="U11" s="77"/>
      <c r="V11" s="55"/>
      <c r="W11" s="71">
        <v>0.04</v>
      </c>
      <c r="X11" s="71">
        <v>0.1</v>
      </c>
      <c r="Y11" s="71">
        <f>VLOOKUP(H11,'1_Value &amp; risk levers'!$H$9:$O$1048576,8,FALSE)</f>
        <v>0.8</v>
      </c>
      <c r="Z11" s="51">
        <f t="shared" si="2"/>
        <v>7.0000000000000007E-2</v>
      </c>
      <c r="AA11" s="51">
        <f t="shared" si="4"/>
        <v>8.5000000000000006E-2</v>
      </c>
      <c r="AB11" s="55">
        <f t="shared" si="5"/>
        <v>2800000.0000000005</v>
      </c>
      <c r="AC11" s="55">
        <f t="shared" si="6"/>
        <v>3400000.0000000005</v>
      </c>
      <c r="AD11" s="80">
        <f t="shared" si="7"/>
        <v>7</v>
      </c>
      <c r="AE11" s="84">
        <f t="shared" si="8"/>
        <v>0.48864540816326468</v>
      </c>
      <c r="AF11" s="71" t="str">
        <f t="shared" si="9"/>
        <v>Low</v>
      </c>
      <c r="AG11" s="84">
        <f t="shared" si="10"/>
        <v>5.9772908163265304E-2</v>
      </c>
      <c r="AH11" s="84">
        <f t="shared" si="11"/>
        <v>9.5227091836734709E-2</v>
      </c>
      <c r="AI11" s="73">
        <f t="shared" si="12"/>
        <v>2390916.3265306121</v>
      </c>
      <c r="AJ11" s="73">
        <f t="shared" si="13"/>
        <v>3809083.6734693884</v>
      </c>
      <c r="AK11" s="46">
        <f>VLOOKUP(H11,'1_Value &amp; risk levers'!$H$9:$O$1048576,6,FALSE)</f>
        <v>0.02</v>
      </c>
      <c r="AL11" s="46">
        <f>VLOOKUP(H11,'1_Value &amp; risk levers'!$H$9:$O$1048576,7,FALSE)</f>
        <v>0.05</v>
      </c>
      <c r="AM11" s="50">
        <f t="shared" si="14"/>
        <v>2.75E-2</v>
      </c>
      <c r="AN11" s="72">
        <f t="shared" si="15"/>
        <v>0.12790697674418605</v>
      </c>
      <c r="AO11" s="84">
        <f t="shared" si="16"/>
        <v>7.6453719743711434E-3</v>
      </c>
      <c r="AP11" s="84">
        <f t="shared" si="17"/>
        <v>1.2180209420977696E-2</v>
      </c>
      <c r="AQ11" s="55">
        <f t="shared" si="18"/>
        <v>358139.53488372103</v>
      </c>
      <c r="AR11" s="55">
        <f t="shared" si="19"/>
        <v>434883.72093023261</v>
      </c>
      <c r="AS11" s="83">
        <f t="shared" si="3"/>
        <v>41</v>
      </c>
      <c r="AT11" s="50">
        <f t="shared" si="20"/>
        <v>7.1837499999999999</v>
      </c>
      <c r="AU11" s="55" t="str">
        <f t="shared" si="21"/>
        <v>Medium</v>
      </c>
      <c r="AV11" s="36" t="s">
        <v>1483</v>
      </c>
      <c r="AW11" s="110" t="s">
        <v>1484</v>
      </c>
      <c r="AX11" s="37" t="s">
        <v>1456</v>
      </c>
      <c r="AY11" s="27" t="s">
        <v>1485</v>
      </c>
      <c r="AZ11" s="85" t="str">
        <f>IF(ISERROR(_xlfn.XLOOKUP(CONCATENATE(A11,"_",AV11),'Reference-Proof pt impact flag'!$I$3:$I$1048576,'Reference-Proof pt impact flag'!$G$3:$G$1048576)),"",_xlfn.XLOOKUP(CONCATENATE(A11,"_",AV11),'Reference-Proof pt impact flag'!$I$3:$I$1048576,'Reference-Proof pt impact flag'!$G$3:$G$1048576))</f>
        <v>Medium</v>
      </c>
      <c r="BA11" s="27" t="s">
        <v>1458</v>
      </c>
      <c r="BB11" s="74"/>
      <c r="BC11" s="74"/>
      <c r="BD11" s="74"/>
      <c r="BE11" s="74"/>
      <c r="BF11" s="74" t="str">
        <f>_xlfn.XLOOKUP(CONCATENATE(H11,"_",AV11),'Test 2 - Proof points - GPT5'!$T:$T,'Test 2 - Proof points - GPT5'!$S:$S)</f>
        <v>Insights: Avg spend/supplier benchmarks (client distribution): Q1 $255,687, Median $723,229, Q3 $1,830,514. 22 suppliers sit above Q3, owning 74.6% of spend; tail (&lt;1%) is 20.6% across 61 suppliers. Supplier base: 87 vendors; Top-1 share 8.6%; HHI ≈ 344 → fragmented. Leverage via bundled bids and two-tiering is feasible. Actions: Set target portfolio — strategic (top decile), preferred (Q2–Q3), and transactional (tail). Rebalance volumes to cap any single-supplier share at ≤35% and collapse long tail via cataloging/frameworks.</v>
      </c>
      <c r="BG11" s="74" t="str">
        <f>_xlfn.XLOOKUP(CONCATENATE(H11,"_",AV11),'Test 2 -Proof points - Sonnet'!$AB:$AB,'Test 2 -Proof points - Sonnet'!$AA:$AA)</f>
        <v>â€¢ **Optimize supplier portfolio efficiency**: Current average spend per supplier appears below industry median for food ingredient procurement, indicating potential over-fragmentation in supplier base management.
â€¢ **Focus on strategic supplier relationships**: Top suppliers like SHIVAGANGA and SIDDAGANGA represent higher-value partnerships that align with industry best practices for concentrated strategic sourcing relationships.
â€¢ **Future procurement digitization demands**: Industry evolution toward integrated supplier ecosystems and automated procurement platforms will favor organizations with optimized supplier portfolios, making current consolidation efforts essential for maintaining competitive procurement operations and reducing administrative overhead costs.</v>
      </c>
      <c r="BH11" s="74" t="s">
        <v>1460</v>
      </c>
      <c r="BI11" s="74"/>
      <c r="BJ11" s="74" t="s">
        <v>1461</v>
      </c>
      <c r="BK11" s="30"/>
      <c r="BL11" s="30"/>
      <c r="BM11" s="30"/>
      <c r="BN11" s="30"/>
      <c r="BO11" s="30"/>
      <c r="BP11" s="30"/>
      <c r="BQ11" s="30"/>
      <c r="BR11" s="30"/>
      <c r="BS11" s="30"/>
      <c r="BT11" s="30"/>
      <c r="BU11" s="30"/>
      <c r="BV11" s="113" t="s">
        <v>132</v>
      </c>
    </row>
    <row r="12" spans="1:79" ht="27" hidden="1" customHeight="1" x14ac:dyDescent="0.35">
      <c r="A12" s="22">
        <v>1</v>
      </c>
      <c r="B12" s="22" t="s">
        <v>1451</v>
      </c>
      <c r="C12" s="22" t="s">
        <v>1452</v>
      </c>
      <c r="D12" s="22" t="s">
        <v>1224</v>
      </c>
      <c r="E12" s="22" t="s">
        <v>1453</v>
      </c>
      <c r="F12" s="22"/>
      <c r="G12" s="22" t="s">
        <v>1274</v>
      </c>
      <c r="H12" s="21" t="s">
        <v>1292</v>
      </c>
      <c r="I12" s="22"/>
      <c r="J12" s="21" t="s">
        <v>1462</v>
      </c>
      <c r="K12" s="30"/>
      <c r="L12" s="35" t="s">
        <v>1228</v>
      </c>
      <c r="M12" s="35" t="str">
        <f>VLOOKUP(H12,'1_Value &amp; risk levers'!$H$9:$O$1048576,2,FALSE)</f>
        <v>Not practiced / not explored so far</v>
      </c>
      <c r="N12" s="35" t="str">
        <f>VLOOKUP(H12,'1_Value &amp; risk levers'!$H$9:$O$1048576,3,FALSE)</f>
        <v>Ad-hoc initiatives to bundle volume across suppliers</v>
      </c>
      <c r="O12" s="35" t="str">
        <f>VLOOKUP(H12,'1_Value &amp; risk levers'!$H$9:$O$1048576,4,FALSE)</f>
        <v>Suppliers are evaluated for their product coverage at the time of sourcing</v>
      </c>
      <c r="P12" s="35" t="str">
        <f>VLOOKUP(H12,'1_Value &amp; risk levers'!$H$9:$O$1048576,5,FALSE)</f>
        <v>Comprehensive bundling strategy across all vegetable oils - following an optimization approach to identify the right volume mix across suppliers and SKUs</v>
      </c>
      <c r="Q12" s="77">
        <f>IF(VLOOKUP(H12,'1_Value &amp; risk levers'!$H$9:$T$1048576,13,FALSE)=0,"",VLOOKUP(H12,'1_Value &amp; risk levers'!$H$9:$T$1048576,13,FALSE))</f>
        <v>3</v>
      </c>
      <c r="R12" s="128">
        <f t="shared" si="0"/>
        <v>2</v>
      </c>
      <c r="S12" s="128" t="e">
        <f t="shared" si="1"/>
        <v>#DIV/0!</v>
      </c>
      <c r="T12" s="77"/>
      <c r="U12" s="77"/>
      <c r="V12" s="55"/>
      <c r="W12" s="71">
        <v>0.04</v>
      </c>
      <c r="X12" s="71">
        <v>0.1</v>
      </c>
      <c r="Y12" s="71">
        <f>VLOOKUP(H12,'1_Value &amp; risk levers'!$H$9:$O$1048576,8,FALSE)</f>
        <v>0.8</v>
      </c>
      <c r="Z12" s="51">
        <f t="shared" si="2"/>
        <v>7.0000000000000007E-2</v>
      </c>
      <c r="AA12" s="51">
        <f t="shared" si="4"/>
        <v>8.5000000000000006E-2</v>
      </c>
      <c r="AB12" s="55">
        <f t="shared" si="5"/>
        <v>2800000.0000000005</v>
      </c>
      <c r="AC12" s="55">
        <f t="shared" si="6"/>
        <v>3400000.0000000005</v>
      </c>
      <c r="AD12" s="80">
        <f t="shared" si="7"/>
        <v>7</v>
      </c>
      <c r="AE12" s="84">
        <f t="shared" si="8"/>
        <v>0.48864540816326468</v>
      </c>
      <c r="AF12" s="71" t="str">
        <f t="shared" si="9"/>
        <v>Low</v>
      </c>
      <c r="AG12" s="84">
        <f t="shared" si="10"/>
        <v>5.9772908163265304E-2</v>
      </c>
      <c r="AH12" s="84">
        <f t="shared" si="11"/>
        <v>9.5227091836734709E-2</v>
      </c>
      <c r="AI12" s="73">
        <f t="shared" si="12"/>
        <v>2390916.3265306121</v>
      </c>
      <c r="AJ12" s="73">
        <f t="shared" si="13"/>
        <v>3809083.6734693884</v>
      </c>
      <c r="AK12" s="46">
        <f>VLOOKUP(H12,'1_Value &amp; risk levers'!$H$9:$O$1048576,6,FALSE)</f>
        <v>0.02</v>
      </c>
      <c r="AL12" s="46">
        <f>VLOOKUP(H12,'1_Value &amp; risk levers'!$H$9:$O$1048576,7,FALSE)</f>
        <v>0.05</v>
      </c>
      <c r="AM12" s="50">
        <f t="shared" si="14"/>
        <v>2.75E-2</v>
      </c>
      <c r="AN12" s="72">
        <f t="shared" si="15"/>
        <v>0.12790697674418605</v>
      </c>
      <c r="AO12" s="84">
        <f t="shared" si="16"/>
        <v>7.6453719743711434E-3</v>
      </c>
      <c r="AP12" s="84">
        <f t="shared" si="17"/>
        <v>1.2180209420977696E-2</v>
      </c>
      <c r="AQ12" s="55">
        <f t="shared" si="18"/>
        <v>358139.53488372103</v>
      </c>
      <c r="AR12" s="55">
        <f t="shared" si="19"/>
        <v>434883.72093023261</v>
      </c>
      <c r="AS12" s="83">
        <f t="shared" si="3"/>
        <v>41</v>
      </c>
      <c r="AT12" s="50">
        <f t="shared" si="20"/>
        <v>7.1837499999999999</v>
      </c>
      <c r="AU12" s="55" t="str">
        <f t="shared" si="21"/>
        <v>Medium</v>
      </c>
      <c r="AV12" s="36" t="s">
        <v>1486</v>
      </c>
      <c r="AW12" s="110" t="s">
        <v>1487</v>
      </c>
      <c r="AX12" s="37" t="s">
        <v>1456</v>
      </c>
      <c r="AY12" s="30"/>
      <c r="AZ12" s="85" t="str">
        <f>IF(ISERROR(_xlfn.XLOOKUP(CONCATENATE(A12,"_",AV12),'Reference-Proof pt impact flag'!$I$3:$I$1048576,'Reference-Proof pt impact flag'!$G$3:$G$1048576)),"",_xlfn.XLOOKUP(CONCATENATE(A12,"_",AV12),'Reference-Proof pt impact flag'!$I$3:$I$1048576,'Reference-Proof pt impact flag'!$G$3:$G$1048576))</f>
        <v/>
      </c>
      <c r="BA12" s="74"/>
      <c r="BB12" s="74"/>
      <c r="BC12" s="74"/>
      <c r="BD12" s="74"/>
      <c r="BE12" s="74"/>
      <c r="BF12" s="74" t="e">
        <f>_xlfn.XLOOKUP(CONCATENATE(H12,"_",AV12),'Test 2 - Proof points - GPT5'!$T:$T,'Test 2 - Proof points - GPT5'!$S:$S)</f>
        <v>#N/A</v>
      </c>
      <c r="BG12" s="74" t="e">
        <f>_xlfn.XLOOKUP(CONCATENATE(H12,"_",AV12),'Test 2 -Proof points - Sonnet'!$AB:$AB,'Test 2 -Proof points - Sonnet'!$AA:$AA)</f>
        <v>#N/A</v>
      </c>
      <c r="BH12" s="74"/>
      <c r="BI12" s="74"/>
      <c r="BJ12" s="74" t="s">
        <v>1461</v>
      </c>
      <c r="BK12" s="30"/>
      <c r="BL12" s="30"/>
      <c r="BM12" s="30"/>
      <c r="BN12" s="30"/>
      <c r="BO12" s="30"/>
      <c r="BP12" s="30"/>
      <c r="BQ12" s="30"/>
      <c r="BR12" s="30"/>
      <c r="BS12" s="30"/>
      <c r="BT12" s="30"/>
      <c r="BU12" s="30"/>
      <c r="BV12" s="113"/>
    </row>
    <row r="13" spans="1:79" ht="27" hidden="1" customHeight="1" x14ac:dyDescent="0.35">
      <c r="A13" s="22">
        <v>1</v>
      </c>
      <c r="B13" s="22" t="s">
        <v>1451</v>
      </c>
      <c r="C13" s="22" t="s">
        <v>1452</v>
      </c>
      <c r="D13" s="22" t="s">
        <v>1224</v>
      </c>
      <c r="E13" s="22" t="s">
        <v>1453</v>
      </c>
      <c r="F13" s="22"/>
      <c r="G13" s="22" t="s">
        <v>1274</v>
      </c>
      <c r="H13" s="21" t="s">
        <v>1292</v>
      </c>
      <c r="I13" s="22"/>
      <c r="J13" s="21" t="s">
        <v>1462</v>
      </c>
      <c r="K13" s="30"/>
      <c r="L13" s="35" t="s">
        <v>1228</v>
      </c>
      <c r="M13" s="35" t="str">
        <f>VLOOKUP(H13,'1_Value &amp; risk levers'!$H$9:$O$1048576,2,FALSE)</f>
        <v>Not practiced / not explored so far</v>
      </c>
      <c r="N13" s="35" t="str">
        <f>VLOOKUP(H13,'1_Value &amp; risk levers'!$H$9:$O$1048576,3,FALSE)</f>
        <v>Ad-hoc initiatives to bundle volume across suppliers</v>
      </c>
      <c r="O13" s="35" t="str">
        <f>VLOOKUP(H13,'1_Value &amp; risk levers'!$H$9:$O$1048576,4,FALSE)</f>
        <v>Suppliers are evaluated for their product coverage at the time of sourcing</v>
      </c>
      <c r="P13" s="35" t="str">
        <f>VLOOKUP(H13,'1_Value &amp; risk levers'!$H$9:$O$1048576,5,FALSE)</f>
        <v>Comprehensive bundling strategy across all vegetable oils - following an optimization approach to identify the right volume mix across suppliers and SKUs</v>
      </c>
      <c r="Q13" s="77">
        <f>IF(VLOOKUP(H13,'1_Value &amp; risk levers'!$H$9:$T$1048576,13,FALSE)=0,"",VLOOKUP(H13,'1_Value &amp; risk levers'!$H$9:$T$1048576,13,FALSE))</f>
        <v>3</v>
      </c>
      <c r="R13" s="128">
        <f t="shared" si="0"/>
        <v>2</v>
      </c>
      <c r="S13" s="128" t="e">
        <f t="shared" si="1"/>
        <v>#DIV/0!</v>
      </c>
      <c r="T13" s="77"/>
      <c r="U13" s="77"/>
      <c r="V13" s="55"/>
      <c r="W13" s="71">
        <v>0.04</v>
      </c>
      <c r="X13" s="71">
        <v>0.1</v>
      </c>
      <c r="Y13" s="71">
        <f>VLOOKUP(H13,'1_Value &amp; risk levers'!$H$9:$O$1048576,8,FALSE)</f>
        <v>0.8</v>
      </c>
      <c r="Z13" s="51">
        <f t="shared" si="2"/>
        <v>7.0000000000000007E-2</v>
      </c>
      <c r="AA13" s="51">
        <f t="shared" si="4"/>
        <v>8.5000000000000006E-2</v>
      </c>
      <c r="AB13" s="55">
        <f t="shared" si="5"/>
        <v>2800000.0000000005</v>
      </c>
      <c r="AC13" s="55">
        <f t="shared" si="6"/>
        <v>3400000.0000000005</v>
      </c>
      <c r="AD13" s="80">
        <f t="shared" si="7"/>
        <v>7</v>
      </c>
      <c r="AE13" s="84">
        <f t="shared" si="8"/>
        <v>0.48864540816326468</v>
      </c>
      <c r="AF13" s="71" t="str">
        <f t="shared" si="9"/>
        <v>Low</v>
      </c>
      <c r="AG13" s="84">
        <f t="shared" si="10"/>
        <v>5.9772908163265304E-2</v>
      </c>
      <c r="AH13" s="84">
        <f t="shared" si="11"/>
        <v>9.5227091836734709E-2</v>
      </c>
      <c r="AI13" s="73">
        <f t="shared" si="12"/>
        <v>2390916.3265306121</v>
      </c>
      <c r="AJ13" s="73">
        <f t="shared" si="13"/>
        <v>3809083.6734693884</v>
      </c>
      <c r="AK13" s="46">
        <f>VLOOKUP(H13,'1_Value &amp; risk levers'!$H$9:$O$1048576,6,FALSE)</f>
        <v>0.02</v>
      </c>
      <c r="AL13" s="46">
        <f>VLOOKUP(H13,'1_Value &amp; risk levers'!$H$9:$O$1048576,7,FALSE)</f>
        <v>0.05</v>
      </c>
      <c r="AM13" s="50">
        <f t="shared" si="14"/>
        <v>2.75E-2</v>
      </c>
      <c r="AN13" s="72">
        <f t="shared" si="15"/>
        <v>0.12790697674418605</v>
      </c>
      <c r="AO13" s="84">
        <f t="shared" si="16"/>
        <v>7.6453719743711434E-3</v>
      </c>
      <c r="AP13" s="84">
        <f t="shared" si="17"/>
        <v>1.2180209420977696E-2</v>
      </c>
      <c r="AQ13" s="55">
        <f t="shared" si="18"/>
        <v>358139.53488372103</v>
      </c>
      <c r="AR13" s="55">
        <f t="shared" si="19"/>
        <v>434883.72093023261</v>
      </c>
      <c r="AS13" s="83">
        <f t="shared" si="3"/>
        <v>41</v>
      </c>
      <c r="AT13" s="50">
        <f t="shared" si="20"/>
        <v>7.1837499999999999</v>
      </c>
      <c r="AU13" s="55" t="str">
        <f t="shared" si="21"/>
        <v>Medium</v>
      </c>
      <c r="AV13" s="36" t="s">
        <v>1488</v>
      </c>
      <c r="AW13" s="110" t="s">
        <v>1489</v>
      </c>
      <c r="AX13" s="37" t="s">
        <v>1456</v>
      </c>
      <c r="AY13" s="30"/>
      <c r="AZ13" s="85" t="str">
        <f>IF(ISERROR(_xlfn.XLOOKUP(CONCATENATE(A13,"_",AV13),'Reference-Proof pt impact flag'!$I$3:$I$1048576,'Reference-Proof pt impact flag'!$G$3:$G$1048576)),"",_xlfn.XLOOKUP(CONCATENATE(A13,"_",AV13),'Reference-Proof pt impact flag'!$I$3:$I$1048576,'Reference-Proof pt impact flag'!$G$3:$G$1048576))</f>
        <v/>
      </c>
      <c r="BA13" s="74"/>
      <c r="BB13" s="74"/>
      <c r="BC13" s="74"/>
      <c r="BD13" s="74"/>
      <c r="BE13" s="74"/>
      <c r="BF13" s="74" t="e">
        <f>_xlfn.XLOOKUP(CONCATENATE(H13,"_",AV13),'Test 2 - Proof points - GPT5'!$T:$T,'Test 2 - Proof points - GPT5'!$S:$S)</f>
        <v>#N/A</v>
      </c>
      <c r="BG13" s="74" t="e">
        <f>_xlfn.XLOOKUP(CONCATENATE(H13,"_",AV13),'Test 2 -Proof points - Sonnet'!$AB:$AB,'Test 2 -Proof points - Sonnet'!$AA:$AA)</f>
        <v>#N/A</v>
      </c>
      <c r="BH13" s="74"/>
      <c r="BI13" s="74"/>
      <c r="BJ13" s="74" t="s">
        <v>1461</v>
      </c>
      <c r="BK13" s="30"/>
      <c r="BL13" s="30"/>
      <c r="BM13" s="30"/>
      <c r="BN13" s="30"/>
      <c r="BO13" s="30"/>
      <c r="BP13" s="30"/>
      <c r="BQ13" s="30"/>
      <c r="BR13" s="30"/>
      <c r="BS13" s="30"/>
      <c r="BT13" s="30"/>
      <c r="BU13" s="30"/>
      <c r="BV13" s="113"/>
    </row>
    <row r="14" spans="1:79" ht="27" hidden="1" customHeight="1" x14ac:dyDescent="0.35">
      <c r="A14" s="22">
        <v>1</v>
      </c>
      <c r="B14" s="22" t="s">
        <v>1451</v>
      </c>
      <c r="C14" s="22" t="s">
        <v>1452</v>
      </c>
      <c r="D14" s="22" t="s">
        <v>1224</v>
      </c>
      <c r="E14" s="22" t="s">
        <v>1453</v>
      </c>
      <c r="F14" s="22"/>
      <c r="G14" s="22" t="s">
        <v>1274</v>
      </c>
      <c r="H14" s="21" t="s">
        <v>1292</v>
      </c>
      <c r="I14" s="22"/>
      <c r="J14" s="21" t="s">
        <v>1462</v>
      </c>
      <c r="K14" s="30"/>
      <c r="L14" s="35" t="s">
        <v>1228</v>
      </c>
      <c r="M14" s="35" t="str">
        <f>VLOOKUP(H14,'1_Value &amp; risk levers'!$H$9:$O$1048576,2,FALSE)</f>
        <v>Not practiced / not explored so far</v>
      </c>
      <c r="N14" s="35" t="str">
        <f>VLOOKUP(H14,'1_Value &amp; risk levers'!$H$9:$O$1048576,3,FALSE)</f>
        <v>Ad-hoc initiatives to bundle volume across suppliers</v>
      </c>
      <c r="O14" s="35" t="str">
        <f>VLOOKUP(H14,'1_Value &amp; risk levers'!$H$9:$O$1048576,4,FALSE)</f>
        <v>Suppliers are evaluated for their product coverage at the time of sourcing</v>
      </c>
      <c r="P14" s="35" t="str">
        <f>VLOOKUP(H14,'1_Value &amp; risk levers'!$H$9:$O$1048576,5,FALSE)</f>
        <v>Comprehensive bundling strategy across all vegetable oils - following an optimization approach to identify the right volume mix across suppliers and SKUs</v>
      </c>
      <c r="Q14" s="77">
        <f>IF(VLOOKUP(H14,'1_Value &amp; risk levers'!$H$9:$T$1048576,13,FALSE)=0,"",VLOOKUP(H14,'1_Value &amp; risk levers'!$H$9:$T$1048576,13,FALSE))</f>
        <v>3</v>
      </c>
      <c r="R14" s="128">
        <f t="shared" si="0"/>
        <v>2</v>
      </c>
      <c r="S14" s="128" t="e">
        <f t="shared" si="1"/>
        <v>#DIV/0!</v>
      </c>
      <c r="T14" s="77"/>
      <c r="U14" s="77"/>
      <c r="V14" s="55"/>
      <c r="W14" s="71">
        <v>0.04</v>
      </c>
      <c r="X14" s="71">
        <v>0.1</v>
      </c>
      <c r="Y14" s="71">
        <f>VLOOKUP(H14,'1_Value &amp; risk levers'!$H$9:$O$1048576,8,FALSE)</f>
        <v>0.8</v>
      </c>
      <c r="Z14" s="51">
        <f t="shared" si="2"/>
        <v>7.0000000000000007E-2</v>
      </c>
      <c r="AA14" s="51">
        <f t="shared" si="4"/>
        <v>8.5000000000000006E-2</v>
      </c>
      <c r="AB14" s="55">
        <f t="shared" si="5"/>
        <v>2800000.0000000005</v>
      </c>
      <c r="AC14" s="55">
        <f t="shared" si="6"/>
        <v>3400000.0000000005</v>
      </c>
      <c r="AD14" s="80">
        <f t="shared" si="7"/>
        <v>7</v>
      </c>
      <c r="AE14" s="84">
        <f t="shared" si="8"/>
        <v>0.48864540816326468</v>
      </c>
      <c r="AF14" s="71" t="str">
        <f t="shared" si="9"/>
        <v>Low</v>
      </c>
      <c r="AG14" s="84">
        <f t="shared" si="10"/>
        <v>5.9772908163265304E-2</v>
      </c>
      <c r="AH14" s="84">
        <f t="shared" si="11"/>
        <v>9.5227091836734709E-2</v>
      </c>
      <c r="AI14" s="73">
        <f t="shared" si="12"/>
        <v>2390916.3265306121</v>
      </c>
      <c r="AJ14" s="73">
        <f t="shared" si="13"/>
        <v>3809083.6734693884</v>
      </c>
      <c r="AK14" s="46">
        <f>VLOOKUP(H14,'1_Value &amp; risk levers'!$H$9:$O$1048576,6,FALSE)</f>
        <v>0.02</v>
      </c>
      <c r="AL14" s="46">
        <f>VLOOKUP(H14,'1_Value &amp; risk levers'!$H$9:$O$1048576,7,FALSE)</f>
        <v>0.05</v>
      </c>
      <c r="AM14" s="50">
        <f t="shared" si="14"/>
        <v>2.75E-2</v>
      </c>
      <c r="AN14" s="72">
        <f t="shared" si="15"/>
        <v>0.12790697674418605</v>
      </c>
      <c r="AO14" s="84">
        <f t="shared" si="16"/>
        <v>7.6453719743711434E-3</v>
      </c>
      <c r="AP14" s="84">
        <f t="shared" si="17"/>
        <v>1.2180209420977696E-2</v>
      </c>
      <c r="AQ14" s="55">
        <f t="shared" si="18"/>
        <v>358139.53488372103</v>
      </c>
      <c r="AR14" s="55">
        <f t="shared" si="19"/>
        <v>434883.72093023261</v>
      </c>
      <c r="AS14" s="83">
        <f t="shared" si="3"/>
        <v>41</v>
      </c>
      <c r="AT14" s="50">
        <f t="shared" si="20"/>
        <v>7.1837499999999999</v>
      </c>
      <c r="AU14" s="55" t="str">
        <f t="shared" si="21"/>
        <v>Medium</v>
      </c>
      <c r="AV14" s="36" t="s">
        <v>1490</v>
      </c>
      <c r="AW14" s="110" t="s">
        <v>1491</v>
      </c>
      <c r="AX14" s="37" t="s">
        <v>1456</v>
      </c>
      <c r="AY14" s="30"/>
      <c r="AZ14" s="85" t="str">
        <f>IF(ISERROR(_xlfn.XLOOKUP(CONCATENATE(A14,"_",AV14),'Reference-Proof pt impact flag'!$I$3:$I$1048576,'Reference-Proof pt impact flag'!$G$3:$G$1048576)),"",_xlfn.XLOOKUP(CONCATENATE(A14,"_",AV14),'Reference-Proof pt impact flag'!$I$3:$I$1048576,'Reference-Proof pt impact flag'!$G$3:$G$1048576))</f>
        <v/>
      </c>
      <c r="BA14" s="74"/>
      <c r="BB14" s="74"/>
      <c r="BC14" s="74"/>
      <c r="BD14" s="74"/>
      <c r="BE14" s="74"/>
      <c r="BF14" s="74" t="e">
        <f>_xlfn.XLOOKUP(CONCATENATE(H14,"_",AV14),'Test 2 - Proof points - GPT5'!$T:$T,'Test 2 - Proof points - GPT5'!$S:$S)</f>
        <v>#N/A</v>
      </c>
      <c r="BG14" s="74" t="e">
        <f>_xlfn.XLOOKUP(CONCATENATE(H14,"_",AV14),'Test 2 -Proof points - Sonnet'!$AB:$AB,'Test 2 -Proof points - Sonnet'!$AA:$AA)</f>
        <v>#N/A</v>
      </c>
      <c r="BH14" s="74"/>
      <c r="BI14" s="74"/>
      <c r="BJ14" s="74" t="s">
        <v>1461</v>
      </c>
      <c r="BK14" s="30"/>
      <c r="BL14" s="30"/>
      <c r="BM14" s="30"/>
      <c r="BN14" s="30"/>
      <c r="BO14" s="30"/>
      <c r="BP14" s="30"/>
      <c r="BQ14" s="30"/>
      <c r="BR14" s="30"/>
      <c r="BS14" s="30"/>
      <c r="BT14" s="30"/>
      <c r="BU14" s="30"/>
      <c r="BV14" s="113"/>
    </row>
    <row r="15" spans="1:79" ht="27" hidden="1" customHeight="1" x14ac:dyDescent="0.35">
      <c r="A15" s="22">
        <v>1</v>
      </c>
      <c r="B15" s="22" t="s">
        <v>1451</v>
      </c>
      <c r="C15" s="22" t="s">
        <v>1452</v>
      </c>
      <c r="D15" s="22" t="s">
        <v>1224</v>
      </c>
      <c r="E15" s="22" t="s">
        <v>1453</v>
      </c>
      <c r="F15" s="22"/>
      <c r="G15" s="22" t="s">
        <v>1274</v>
      </c>
      <c r="H15" s="21" t="s">
        <v>1292</v>
      </c>
      <c r="I15" s="22"/>
      <c r="J15" s="21" t="s">
        <v>1462</v>
      </c>
      <c r="K15" s="30"/>
      <c r="L15" s="35" t="s">
        <v>1228</v>
      </c>
      <c r="M15" s="35" t="str">
        <f>VLOOKUP(H15,'1_Value &amp; risk levers'!$H$9:$O$1048576,2,FALSE)</f>
        <v>Not practiced / not explored so far</v>
      </c>
      <c r="N15" s="35" t="str">
        <f>VLOOKUP(H15,'1_Value &amp; risk levers'!$H$9:$O$1048576,3,FALSE)</f>
        <v>Ad-hoc initiatives to bundle volume across suppliers</v>
      </c>
      <c r="O15" s="35" t="str">
        <f>VLOOKUP(H15,'1_Value &amp; risk levers'!$H$9:$O$1048576,4,FALSE)</f>
        <v>Suppliers are evaluated for their product coverage at the time of sourcing</v>
      </c>
      <c r="P15" s="35" t="str">
        <f>VLOOKUP(H15,'1_Value &amp; risk levers'!$H$9:$O$1048576,5,FALSE)</f>
        <v>Comprehensive bundling strategy across all vegetable oils - following an optimization approach to identify the right volume mix across suppliers and SKUs</v>
      </c>
      <c r="Q15" s="77">
        <f>IF(VLOOKUP(H15,'1_Value &amp; risk levers'!$H$9:$T$1048576,13,FALSE)=0,"",VLOOKUP(H15,'1_Value &amp; risk levers'!$H$9:$T$1048576,13,FALSE))</f>
        <v>3</v>
      </c>
      <c r="R15" s="128">
        <f t="shared" si="0"/>
        <v>2</v>
      </c>
      <c r="S15" s="128" t="e">
        <f t="shared" si="1"/>
        <v>#DIV/0!</v>
      </c>
      <c r="T15" s="77"/>
      <c r="U15" s="77"/>
      <c r="V15" s="55"/>
      <c r="W15" s="71">
        <v>0.04</v>
      </c>
      <c r="X15" s="71">
        <v>0.1</v>
      </c>
      <c r="Y15" s="71">
        <f>VLOOKUP(H15,'1_Value &amp; risk levers'!$H$9:$O$1048576,8,FALSE)</f>
        <v>0.8</v>
      </c>
      <c r="Z15" s="51">
        <f t="shared" si="2"/>
        <v>7.0000000000000007E-2</v>
      </c>
      <c r="AA15" s="51">
        <f t="shared" si="4"/>
        <v>8.5000000000000006E-2</v>
      </c>
      <c r="AB15" s="55">
        <f t="shared" si="5"/>
        <v>2800000.0000000005</v>
      </c>
      <c r="AC15" s="55">
        <f t="shared" si="6"/>
        <v>3400000.0000000005</v>
      </c>
      <c r="AD15" s="80">
        <f t="shared" si="7"/>
        <v>7</v>
      </c>
      <c r="AE15" s="84">
        <f t="shared" si="8"/>
        <v>0.48864540816326468</v>
      </c>
      <c r="AF15" s="71" t="str">
        <f t="shared" si="9"/>
        <v>Low</v>
      </c>
      <c r="AG15" s="84">
        <f t="shared" si="10"/>
        <v>5.9772908163265304E-2</v>
      </c>
      <c r="AH15" s="84">
        <f t="shared" si="11"/>
        <v>9.5227091836734709E-2</v>
      </c>
      <c r="AI15" s="73">
        <f t="shared" si="12"/>
        <v>2390916.3265306121</v>
      </c>
      <c r="AJ15" s="73">
        <f t="shared" si="13"/>
        <v>3809083.6734693884</v>
      </c>
      <c r="AK15" s="46">
        <f>VLOOKUP(H15,'1_Value &amp; risk levers'!$H$9:$O$1048576,6,FALSE)</f>
        <v>0.02</v>
      </c>
      <c r="AL15" s="46">
        <f>VLOOKUP(H15,'1_Value &amp; risk levers'!$H$9:$O$1048576,7,FALSE)</f>
        <v>0.05</v>
      </c>
      <c r="AM15" s="50">
        <f t="shared" si="14"/>
        <v>2.75E-2</v>
      </c>
      <c r="AN15" s="72">
        <f t="shared" si="15"/>
        <v>0.12790697674418605</v>
      </c>
      <c r="AO15" s="84">
        <f t="shared" si="16"/>
        <v>7.6453719743711434E-3</v>
      </c>
      <c r="AP15" s="84">
        <f t="shared" si="17"/>
        <v>1.2180209420977696E-2</v>
      </c>
      <c r="AQ15" s="55">
        <f t="shared" si="18"/>
        <v>358139.53488372103</v>
      </c>
      <c r="AR15" s="55">
        <f t="shared" si="19"/>
        <v>434883.72093023261</v>
      </c>
      <c r="AS15" s="83">
        <f t="shared" si="3"/>
        <v>41</v>
      </c>
      <c r="AT15" s="50">
        <f t="shared" si="20"/>
        <v>7.1837499999999999</v>
      </c>
      <c r="AU15" s="55" t="str">
        <f t="shared" si="21"/>
        <v>Medium</v>
      </c>
      <c r="AV15" s="34" t="s">
        <v>1492</v>
      </c>
      <c r="AW15" s="111"/>
      <c r="AX15" s="30" t="s">
        <v>1493</v>
      </c>
      <c r="AY15" s="30"/>
      <c r="AZ15" s="85" t="str">
        <f>IF(ISERROR(_xlfn.XLOOKUP(CONCATENATE(A15,"_",AV15),'Reference-Proof pt impact flag'!$I$3:$I$1048576,'Reference-Proof pt impact flag'!$G$3:$G$1048576)),"",_xlfn.XLOOKUP(CONCATENATE(A15,"_",AV15),'Reference-Proof pt impact flag'!$I$3:$I$1048576,'Reference-Proof pt impact flag'!$G$3:$G$1048576))</f>
        <v/>
      </c>
      <c r="BA15" s="74"/>
      <c r="BB15" s="74"/>
      <c r="BC15" s="74"/>
      <c r="BD15" s="74"/>
      <c r="BE15" s="74"/>
      <c r="BF15" s="74" t="e">
        <f>_xlfn.XLOOKUP(CONCATENATE(H15,"_",AV15),'Test 2 - Proof points - GPT5'!$T:$T,'Test 2 - Proof points - GPT5'!$S:$S)</f>
        <v>#N/A</v>
      </c>
      <c r="BG15" s="74" t="e">
        <f>_xlfn.XLOOKUP(CONCATENATE(H15,"_",AV15),'Test 2 -Proof points - Sonnet'!$AB:$AB,'Test 2 -Proof points - Sonnet'!$AA:$AA)</f>
        <v>#N/A</v>
      </c>
      <c r="BH15" s="74"/>
      <c r="BI15" s="74"/>
      <c r="BJ15" s="74" t="s">
        <v>1461</v>
      </c>
      <c r="BK15" s="30"/>
      <c r="BL15" s="30"/>
      <c r="BM15" s="30"/>
      <c r="BN15" s="30"/>
      <c r="BO15" s="30"/>
      <c r="BP15" s="30"/>
      <c r="BQ15" s="30"/>
      <c r="BR15" s="30"/>
      <c r="BS15" s="30"/>
      <c r="BT15" s="30"/>
      <c r="BU15" s="30"/>
      <c r="BV15" s="113"/>
    </row>
    <row r="16" spans="1:79" ht="27" hidden="1" customHeight="1" x14ac:dyDescent="0.35">
      <c r="A16" s="22">
        <v>1</v>
      </c>
      <c r="B16" s="22" t="s">
        <v>1451</v>
      </c>
      <c r="C16" s="22" t="s">
        <v>1452</v>
      </c>
      <c r="D16" s="22" t="s">
        <v>1224</v>
      </c>
      <c r="E16" s="22" t="s">
        <v>1453</v>
      </c>
      <c r="F16" s="22"/>
      <c r="G16" s="22" t="s">
        <v>1274</v>
      </c>
      <c r="H16" s="21" t="s">
        <v>1292</v>
      </c>
      <c r="I16" s="22"/>
      <c r="J16" s="21" t="s">
        <v>1462</v>
      </c>
      <c r="K16" s="30"/>
      <c r="L16" s="35" t="s">
        <v>1228</v>
      </c>
      <c r="M16" s="35" t="str">
        <f>VLOOKUP(H16,'1_Value &amp; risk levers'!$H$9:$O$1048576,2,FALSE)</f>
        <v>Not practiced / not explored so far</v>
      </c>
      <c r="N16" s="35" t="str">
        <f>VLOOKUP(H16,'1_Value &amp; risk levers'!$H$9:$O$1048576,3,FALSE)</f>
        <v>Ad-hoc initiatives to bundle volume across suppliers</v>
      </c>
      <c r="O16" s="35" t="str">
        <f>VLOOKUP(H16,'1_Value &amp; risk levers'!$H$9:$O$1048576,4,FALSE)</f>
        <v>Suppliers are evaluated for their product coverage at the time of sourcing</v>
      </c>
      <c r="P16" s="35" t="str">
        <f>VLOOKUP(H16,'1_Value &amp; risk levers'!$H$9:$O$1048576,5,FALSE)</f>
        <v>Comprehensive bundling strategy across all vegetable oils - following an optimization approach to identify the right volume mix across suppliers and SKUs</v>
      </c>
      <c r="Q16" s="77">
        <f>IF(VLOOKUP(H16,'1_Value &amp; risk levers'!$H$9:$T$1048576,13,FALSE)=0,"",VLOOKUP(H16,'1_Value &amp; risk levers'!$H$9:$T$1048576,13,FALSE))</f>
        <v>3</v>
      </c>
      <c r="R16" s="128">
        <f t="shared" si="0"/>
        <v>2</v>
      </c>
      <c r="S16" s="128" t="e">
        <f t="shared" si="1"/>
        <v>#DIV/0!</v>
      </c>
      <c r="T16" s="77"/>
      <c r="U16" s="77"/>
      <c r="V16" s="55"/>
      <c r="W16" s="71">
        <v>0.04</v>
      </c>
      <c r="X16" s="71">
        <v>0.1</v>
      </c>
      <c r="Y16" s="71">
        <f>VLOOKUP(H16,'1_Value &amp; risk levers'!$H$9:$O$1048576,8,FALSE)</f>
        <v>0.8</v>
      </c>
      <c r="Z16" s="51">
        <f t="shared" si="2"/>
        <v>7.0000000000000007E-2</v>
      </c>
      <c r="AA16" s="51">
        <f t="shared" si="4"/>
        <v>8.5000000000000006E-2</v>
      </c>
      <c r="AB16" s="55">
        <f t="shared" si="5"/>
        <v>2800000.0000000005</v>
      </c>
      <c r="AC16" s="55">
        <f t="shared" si="6"/>
        <v>3400000.0000000005</v>
      </c>
      <c r="AD16" s="80">
        <f t="shared" si="7"/>
        <v>7</v>
      </c>
      <c r="AE16" s="84">
        <f t="shared" si="8"/>
        <v>0.48864540816326468</v>
      </c>
      <c r="AF16" s="71" t="str">
        <f t="shared" si="9"/>
        <v>Low</v>
      </c>
      <c r="AG16" s="84">
        <f t="shared" si="10"/>
        <v>5.9772908163265304E-2</v>
      </c>
      <c r="AH16" s="84">
        <f t="shared" si="11"/>
        <v>9.5227091836734709E-2</v>
      </c>
      <c r="AI16" s="73">
        <f t="shared" si="12"/>
        <v>2390916.3265306121</v>
      </c>
      <c r="AJ16" s="73">
        <f t="shared" si="13"/>
        <v>3809083.6734693884</v>
      </c>
      <c r="AK16" s="46">
        <f>VLOOKUP(H16,'1_Value &amp; risk levers'!$H$9:$O$1048576,6,FALSE)</f>
        <v>0.02</v>
      </c>
      <c r="AL16" s="46">
        <f>VLOOKUP(H16,'1_Value &amp; risk levers'!$H$9:$O$1048576,7,FALSE)</f>
        <v>0.05</v>
      </c>
      <c r="AM16" s="50">
        <f t="shared" si="14"/>
        <v>2.75E-2</v>
      </c>
      <c r="AN16" s="72">
        <f t="shared" si="15"/>
        <v>0.12790697674418605</v>
      </c>
      <c r="AO16" s="84">
        <f t="shared" si="16"/>
        <v>7.6453719743711434E-3</v>
      </c>
      <c r="AP16" s="84">
        <f t="shared" si="17"/>
        <v>1.2180209420977696E-2</v>
      </c>
      <c r="AQ16" s="55">
        <f t="shared" si="18"/>
        <v>358139.53488372103</v>
      </c>
      <c r="AR16" s="55">
        <f t="shared" si="19"/>
        <v>434883.72093023261</v>
      </c>
      <c r="AS16" s="83">
        <f t="shared" si="3"/>
        <v>41</v>
      </c>
      <c r="AT16" s="50">
        <f t="shared" si="20"/>
        <v>7.1837499999999999</v>
      </c>
      <c r="AU16" s="55" t="str">
        <f t="shared" si="21"/>
        <v>Medium</v>
      </c>
      <c r="AV16" s="34" t="s">
        <v>1494</v>
      </c>
      <c r="AW16" s="111"/>
      <c r="AX16" s="30" t="s">
        <v>1493</v>
      </c>
      <c r="AY16" s="30"/>
      <c r="AZ16" s="85" t="str">
        <f>IF(ISERROR(_xlfn.XLOOKUP(CONCATENATE(A16,"_",AV16),'Reference-Proof pt impact flag'!$I$3:$I$1048576,'Reference-Proof pt impact flag'!$G$3:$G$1048576)),"",_xlfn.XLOOKUP(CONCATENATE(A16,"_",AV16),'Reference-Proof pt impact flag'!$I$3:$I$1048576,'Reference-Proof pt impact flag'!$G$3:$G$1048576))</f>
        <v/>
      </c>
      <c r="BA16" s="74"/>
      <c r="BB16" s="74"/>
      <c r="BC16" s="74"/>
      <c r="BD16" s="74"/>
      <c r="BE16" s="74"/>
      <c r="BF16" s="74" t="e">
        <f>_xlfn.XLOOKUP(CONCATENATE(H16,"_",AV16),'Test 2 - Proof points - GPT5'!$T:$T,'Test 2 - Proof points - GPT5'!$S:$S)</f>
        <v>#N/A</v>
      </c>
      <c r="BG16" s="74" t="e">
        <f>_xlfn.XLOOKUP(CONCATENATE(H16,"_",AV16),'Test 2 -Proof points - Sonnet'!$AB:$AB,'Test 2 -Proof points - Sonnet'!$AA:$AA)</f>
        <v>#N/A</v>
      </c>
      <c r="BH16" s="74"/>
      <c r="BI16" s="74"/>
      <c r="BJ16" s="74" t="s">
        <v>1461</v>
      </c>
      <c r="BK16" s="30"/>
      <c r="BL16" s="30"/>
      <c r="BM16" s="30"/>
      <c r="BN16" s="30"/>
      <c r="BO16" s="30"/>
      <c r="BP16" s="30"/>
      <c r="BQ16" s="30"/>
      <c r="BR16" s="30"/>
      <c r="BS16" s="30"/>
      <c r="BT16" s="30"/>
      <c r="BU16" s="30"/>
      <c r="BV16" s="113"/>
    </row>
    <row r="17" spans="1:74" ht="27" hidden="1" customHeight="1" x14ac:dyDescent="0.35">
      <c r="A17" s="22">
        <v>1</v>
      </c>
      <c r="B17" s="22" t="s">
        <v>1451</v>
      </c>
      <c r="C17" s="22" t="s">
        <v>1452</v>
      </c>
      <c r="D17" s="22" t="s">
        <v>1224</v>
      </c>
      <c r="E17" s="22" t="s">
        <v>1453</v>
      </c>
      <c r="F17" s="22"/>
      <c r="G17" s="22" t="s">
        <v>1274</v>
      </c>
      <c r="H17" s="21" t="s">
        <v>1292</v>
      </c>
      <c r="I17" s="22"/>
      <c r="J17" s="21" t="s">
        <v>1462</v>
      </c>
      <c r="K17" s="30"/>
      <c r="L17" s="35" t="s">
        <v>1228</v>
      </c>
      <c r="M17" s="35" t="str">
        <f>VLOOKUP(H17,'1_Value &amp; risk levers'!$H$9:$O$1048576,2,FALSE)</f>
        <v>Not practiced / not explored so far</v>
      </c>
      <c r="N17" s="35" t="str">
        <f>VLOOKUP(H17,'1_Value &amp; risk levers'!$H$9:$O$1048576,3,FALSE)</f>
        <v>Ad-hoc initiatives to bundle volume across suppliers</v>
      </c>
      <c r="O17" s="35" t="str">
        <f>VLOOKUP(H17,'1_Value &amp; risk levers'!$H$9:$O$1048576,4,FALSE)</f>
        <v>Suppliers are evaluated for their product coverage at the time of sourcing</v>
      </c>
      <c r="P17" s="35" t="str">
        <f>VLOOKUP(H17,'1_Value &amp; risk levers'!$H$9:$O$1048576,5,FALSE)</f>
        <v>Comprehensive bundling strategy across all vegetable oils - following an optimization approach to identify the right volume mix across suppliers and SKUs</v>
      </c>
      <c r="Q17" s="77">
        <f>IF(VLOOKUP(H17,'1_Value &amp; risk levers'!$H$9:$T$1048576,13,FALSE)=0,"",VLOOKUP(H17,'1_Value &amp; risk levers'!$H$9:$T$1048576,13,FALSE))</f>
        <v>3</v>
      </c>
      <c r="R17" s="128">
        <f t="shared" si="0"/>
        <v>2</v>
      </c>
      <c r="S17" s="128" t="e">
        <f t="shared" si="1"/>
        <v>#DIV/0!</v>
      </c>
      <c r="T17" s="77"/>
      <c r="U17" s="77"/>
      <c r="V17" s="55"/>
      <c r="W17" s="71">
        <v>0.04</v>
      </c>
      <c r="X17" s="71">
        <v>0.1</v>
      </c>
      <c r="Y17" s="71">
        <f>VLOOKUP(H17,'1_Value &amp; risk levers'!$H$9:$O$1048576,8,FALSE)</f>
        <v>0.8</v>
      </c>
      <c r="Z17" s="51">
        <f t="shared" si="2"/>
        <v>7.0000000000000007E-2</v>
      </c>
      <c r="AA17" s="51">
        <f t="shared" si="4"/>
        <v>8.5000000000000006E-2</v>
      </c>
      <c r="AB17" s="55">
        <f t="shared" si="5"/>
        <v>2800000.0000000005</v>
      </c>
      <c r="AC17" s="55">
        <f t="shared" si="6"/>
        <v>3400000.0000000005</v>
      </c>
      <c r="AD17" s="80">
        <f t="shared" si="7"/>
        <v>7</v>
      </c>
      <c r="AE17" s="84">
        <f t="shared" si="8"/>
        <v>0.48864540816326468</v>
      </c>
      <c r="AF17" s="71" t="str">
        <f t="shared" si="9"/>
        <v>Low</v>
      </c>
      <c r="AG17" s="84">
        <f t="shared" si="10"/>
        <v>5.9772908163265304E-2</v>
      </c>
      <c r="AH17" s="84">
        <f t="shared" si="11"/>
        <v>9.5227091836734709E-2</v>
      </c>
      <c r="AI17" s="73">
        <f t="shared" si="12"/>
        <v>2390916.3265306121</v>
      </c>
      <c r="AJ17" s="73">
        <f t="shared" si="13"/>
        <v>3809083.6734693884</v>
      </c>
      <c r="AK17" s="46">
        <f>VLOOKUP(H17,'1_Value &amp; risk levers'!$H$9:$O$1048576,6,FALSE)</f>
        <v>0.02</v>
      </c>
      <c r="AL17" s="46">
        <f>VLOOKUP(H17,'1_Value &amp; risk levers'!$H$9:$O$1048576,7,FALSE)</f>
        <v>0.05</v>
      </c>
      <c r="AM17" s="50">
        <f t="shared" si="14"/>
        <v>2.75E-2</v>
      </c>
      <c r="AN17" s="72">
        <f t="shared" si="15"/>
        <v>0.12790697674418605</v>
      </c>
      <c r="AO17" s="84">
        <f t="shared" si="16"/>
        <v>7.6453719743711434E-3</v>
      </c>
      <c r="AP17" s="84">
        <f t="shared" si="17"/>
        <v>1.2180209420977696E-2</v>
      </c>
      <c r="AQ17" s="55">
        <f t="shared" si="18"/>
        <v>358139.53488372103</v>
      </c>
      <c r="AR17" s="55">
        <f t="shared" si="19"/>
        <v>434883.72093023261</v>
      </c>
      <c r="AS17" s="83">
        <f t="shared" si="3"/>
        <v>41</v>
      </c>
      <c r="AT17" s="50">
        <f t="shared" si="20"/>
        <v>7.1837499999999999</v>
      </c>
      <c r="AU17" s="55" t="str">
        <f t="shared" si="21"/>
        <v>Medium</v>
      </c>
      <c r="AV17" s="34" t="s">
        <v>1495</v>
      </c>
      <c r="AW17" s="111"/>
      <c r="AX17" s="30" t="s">
        <v>1493</v>
      </c>
      <c r="AY17" s="30"/>
      <c r="AZ17" s="85" t="str">
        <f>IF(ISERROR(_xlfn.XLOOKUP(CONCATENATE(A17,"_",AV17),'Reference-Proof pt impact flag'!$I$3:$I$1048576,'Reference-Proof pt impact flag'!$G$3:$G$1048576)),"",_xlfn.XLOOKUP(CONCATENATE(A17,"_",AV17),'Reference-Proof pt impact flag'!$I$3:$I$1048576,'Reference-Proof pt impact flag'!$G$3:$G$1048576))</f>
        <v/>
      </c>
      <c r="BA17" s="74"/>
      <c r="BB17" s="74"/>
      <c r="BC17" s="74"/>
      <c r="BD17" s="74"/>
      <c r="BE17" s="74"/>
      <c r="BF17" s="74" t="e">
        <f>_xlfn.XLOOKUP(CONCATENATE(H17,"_",AV17),'Test 2 - Proof points - GPT5'!$T:$T,'Test 2 - Proof points - GPT5'!$S:$S)</f>
        <v>#N/A</v>
      </c>
      <c r="BG17" s="74" t="e">
        <f>_xlfn.XLOOKUP(CONCATENATE(H17,"_",AV17),'Test 2 -Proof points - Sonnet'!$AB:$AB,'Test 2 -Proof points - Sonnet'!$AA:$AA)</f>
        <v>#N/A</v>
      </c>
      <c r="BH17" s="74"/>
      <c r="BI17" s="74"/>
      <c r="BJ17" s="74" t="s">
        <v>1461</v>
      </c>
      <c r="BK17" s="30"/>
      <c r="BL17" s="30"/>
      <c r="BM17" s="30"/>
      <c r="BN17" s="30"/>
      <c r="BO17" s="30"/>
      <c r="BP17" s="30"/>
      <c r="BQ17" s="30"/>
      <c r="BR17" s="30"/>
      <c r="BS17" s="30"/>
      <c r="BT17" s="30"/>
      <c r="BU17" s="30"/>
      <c r="BV17" s="113"/>
    </row>
    <row r="18" spans="1:74" ht="27" hidden="1" customHeight="1" x14ac:dyDescent="0.35">
      <c r="A18" s="22">
        <v>1</v>
      </c>
      <c r="B18" s="22" t="s">
        <v>1451</v>
      </c>
      <c r="C18" s="22" t="s">
        <v>1452</v>
      </c>
      <c r="D18" s="22" t="s">
        <v>1224</v>
      </c>
      <c r="E18" s="22" t="s">
        <v>1453</v>
      </c>
      <c r="F18" s="22"/>
      <c r="G18" s="22" t="s">
        <v>1274</v>
      </c>
      <c r="H18" s="21" t="s">
        <v>1292</v>
      </c>
      <c r="I18" s="22"/>
      <c r="J18" s="21" t="s">
        <v>1462</v>
      </c>
      <c r="K18" s="30"/>
      <c r="L18" s="35" t="s">
        <v>1228</v>
      </c>
      <c r="M18" s="35" t="str">
        <f>VLOOKUP(H18,'1_Value &amp; risk levers'!$H$9:$O$1048576,2,FALSE)</f>
        <v>Not practiced / not explored so far</v>
      </c>
      <c r="N18" s="35" t="str">
        <f>VLOOKUP(H18,'1_Value &amp; risk levers'!$H$9:$O$1048576,3,FALSE)</f>
        <v>Ad-hoc initiatives to bundle volume across suppliers</v>
      </c>
      <c r="O18" s="35" t="str">
        <f>VLOOKUP(H18,'1_Value &amp; risk levers'!$H$9:$O$1048576,4,FALSE)</f>
        <v>Suppliers are evaluated for their product coverage at the time of sourcing</v>
      </c>
      <c r="P18" s="35" t="str">
        <f>VLOOKUP(H18,'1_Value &amp; risk levers'!$H$9:$O$1048576,5,FALSE)</f>
        <v>Comprehensive bundling strategy across all vegetable oils - following an optimization approach to identify the right volume mix across suppliers and SKUs</v>
      </c>
      <c r="Q18" s="77">
        <f>IF(VLOOKUP(H18,'1_Value &amp; risk levers'!$H$9:$T$1048576,13,FALSE)=0,"",VLOOKUP(H18,'1_Value &amp; risk levers'!$H$9:$T$1048576,13,FALSE))</f>
        <v>3</v>
      </c>
      <c r="R18" s="128">
        <f t="shared" si="0"/>
        <v>2</v>
      </c>
      <c r="S18" s="128" t="e">
        <f t="shared" si="1"/>
        <v>#DIV/0!</v>
      </c>
      <c r="T18" s="77"/>
      <c r="U18" s="77"/>
      <c r="V18" s="55"/>
      <c r="W18" s="71">
        <v>0.04</v>
      </c>
      <c r="X18" s="71">
        <v>0.1</v>
      </c>
      <c r="Y18" s="71">
        <f>VLOOKUP(H18,'1_Value &amp; risk levers'!$H$9:$O$1048576,8,FALSE)</f>
        <v>0.8</v>
      </c>
      <c r="Z18" s="51">
        <f t="shared" si="2"/>
        <v>7.0000000000000007E-2</v>
      </c>
      <c r="AA18" s="51">
        <f t="shared" si="4"/>
        <v>8.5000000000000006E-2</v>
      </c>
      <c r="AB18" s="55">
        <f t="shared" si="5"/>
        <v>2800000.0000000005</v>
      </c>
      <c r="AC18" s="55">
        <f t="shared" si="6"/>
        <v>3400000.0000000005</v>
      </c>
      <c r="AD18" s="80">
        <f t="shared" si="7"/>
        <v>7</v>
      </c>
      <c r="AE18" s="84">
        <f t="shared" si="8"/>
        <v>0.48864540816326468</v>
      </c>
      <c r="AF18" s="71" t="str">
        <f t="shared" si="9"/>
        <v>Low</v>
      </c>
      <c r="AG18" s="84">
        <f t="shared" si="10"/>
        <v>5.9772908163265304E-2</v>
      </c>
      <c r="AH18" s="84">
        <f t="shared" si="11"/>
        <v>9.5227091836734709E-2</v>
      </c>
      <c r="AI18" s="73">
        <f t="shared" si="12"/>
        <v>2390916.3265306121</v>
      </c>
      <c r="AJ18" s="73">
        <f t="shared" si="13"/>
        <v>3809083.6734693884</v>
      </c>
      <c r="AK18" s="46">
        <f>VLOOKUP(H18,'1_Value &amp; risk levers'!$H$9:$O$1048576,6,FALSE)</f>
        <v>0.02</v>
      </c>
      <c r="AL18" s="46">
        <f>VLOOKUP(H18,'1_Value &amp; risk levers'!$H$9:$O$1048576,7,FALSE)</f>
        <v>0.05</v>
      </c>
      <c r="AM18" s="50">
        <f t="shared" si="14"/>
        <v>2.75E-2</v>
      </c>
      <c r="AN18" s="72">
        <f t="shared" si="15"/>
        <v>0.12790697674418605</v>
      </c>
      <c r="AO18" s="84">
        <f t="shared" si="16"/>
        <v>7.6453719743711434E-3</v>
      </c>
      <c r="AP18" s="84">
        <f t="shared" si="17"/>
        <v>1.2180209420977696E-2</v>
      </c>
      <c r="AQ18" s="55">
        <f t="shared" si="18"/>
        <v>358139.53488372103</v>
      </c>
      <c r="AR18" s="55">
        <f t="shared" si="19"/>
        <v>434883.72093023261</v>
      </c>
      <c r="AS18" s="83">
        <f t="shared" si="3"/>
        <v>41</v>
      </c>
      <c r="AT18" s="50">
        <f t="shared" si="20"/>
        <v>7.1837499999999999</v>
      </c>
      <c r="AU18" s="55" t="str">
        <f t="shared" si="21"/>
        <v>Medium</v>
      </c>
      <c r="AV18" s="34" t="s">
        <v>1496</v>
      </c>
      <c r="AW18" s="111"/>
      <c r="AX18" s="30" t="s">
        <v>1493</v>
      </c>
      <c r="AY18" s="27" t="s">
        <v>1497</v>
      </c>
      <c r="AZ18" s="85" t="str">
        <f>IF(ISERROR(_xlfn.XLOOKUP(CONCATENATE(A18,"_",AV18),'Reference-Proof pt impact flag'!$I$3:$I$1048576,'Reference-Proof pt impact flag'!$G$3:$G$1048576)),"",_xlfn.XLOOKUP(CONCATENATE(A18,"_",AV18),'Reference-Proof pt impact flag'!$I$3:$I$1048576,'Reference-Proof pt impact flag'!$G$3:$G$1048576))</f>
        <v>Medium</v>
      </c>
      <c r="BA18" s="27" t="s">
        <v>1458</v>
      </c>
      <c r="BB18" s="74"/>
      <c r="BC18" s="74"/>
      <c r="BD18" s="74"/>
      <c r="BE18" s="74" t="s">
        <v>1498</v>
      </c>
      <c r="BF18" s="74" t="str">
        <f>_xlfn.XLOOKUP(CONCATENATE(H18,"_",AV18),'Test 2 - Proof points - GPT5'!$T:$T,'Test 2 - Proof points - GPT5'!$S:$S)</f>
        <v>Market view: Sunflower oil consolidation rating global ≈ 2/5 | Asia ≈ 2/5 | 2025 supply 12.5 MMT vs demand 9.93 MMT → oversupply. Actions: Time multi-round RFPs to harvest near-term oversupply; maintain optionality with at least one Black Sea and one SE Asia origin where feasible.</v>
      </c>
      <c r="BG18" s="74" t="str">
        <f>_xlfn.XLOOKUP(CONCATENATE(H18,"_",AV18),'Test 2 -Proof points - Sonnet'!$AB:$AB,'Test 2 -Proof points - Sonnet'!$AA:$AA)</f>
        <v>â€¢ **Leverage industry consolidation trends**: Indian vegetable oil processing sector experiencing significant consolidation with medium-rating players (rating 2-3 on 5-point scale) across palm oil, soybean oil, and sunflower oil categories, creating opportunities for stronger negotiation positions with consolidated suppliers.
â€¢ **Capitalize on supplier capacity expansion**: Market consolidation driving suppliers to expand processing capabilities and geographical reach, enabling volume bundling opportunities across multiple oil types and regions.
â€¢ **Future consolidation acceleration**: Increasing regulatory requirements for food safety and sustainability certifications are accelerating market consolidation toward fewer, more capable suppliers, making early strategic partnerships with consolidating suppliers critical for long-term supply security and cost optimization.</v>
      </c>
      <c r="BH18" s="74" t="s">
        <v>1460</v>
      </c>
      <c r="BI18" s="74"/>
      <c r="BJ18" s="74" t="s">
        <v>1461</v>
      </c>
      <c r="BK18" s="30"/>
      <c r="BL18" s="30"/>
      <c r="BM18" s="30" t="s">
        <v>132</v>
      </c>
      <c r="BN18" s="30"/>
      <c r="BO18" s="30"/>
      <c r="BP18" s="30"/>
      <c r="BQ18" s="30"/>
      <c r="BR18" s="30"/>
      <c r="BS18" s="30"/>
      <c r="BT18" s="30"/>
      <c r="BU18" s="30"/>
      <c r="BV18" s="113" t="s">
        <v>132</v>
      </c>
    </row>
    <row r="19" spans="1:74" ht="27" hidden="1" customHeight="1" x14ac:dyDescent="0.35">
      <c r="A19" s="22">
        <v>1</v>
      </c>
      <c r="B19" s="22" t="s">
        <v>1451</v>
      </c>
      <c r="C19" s="22" t="s">
        <v>1452</v>
      </c>
      <c r="D19" s="22" t="s">
        <v>1224</v>
      </c>
      <c r="E19" s="22" t="s">
        <v>1453</v>
      </c>
      <c r="F19" s="22"/>
      <c r="G19" s="22" t="s">
        <v>1274</v>
      </c>
      <c r="H19" s="21" t="s">
        <v>1292</v>
      </c>
      <c r="I19" s="22"/>
      <c r="J19" s="21" t="s">
        <v>1462</v>
      </c>
      <c r="K19" s="30"/>
      <c r="L19" s="35" t="s">
        <v>1228</v>
      </c>
      <c r="M19" s="35" t="str">
        <f>VLOOKUP(H19,'1_Value &amp; risk levers'!$H$9:$O$1048576,2,FALSE)</f>
        <v>Not practiced / not explored so far</v>
      </c>
      <c r="N19" s="35" t="str">
        <f>VLOOKUP(H19,'1_Value &amp; risk levers'!$H$9:$O$1048576,3,FALSE)</f>
        <v>Ad-hoc initiatives to bundle volume across suppliers</v>
      </c>
      <c r="O19" s="35" t="str">
        <f>VLOOKUP(H19,'1_Value &amp; risk levers'!$H$9:$O$1048576,4,FALSE)</f>
        <v>Suppliers are evaluated for their product coverage at the time of sourcing</v>
      </c>
      <c r="P19" s="35" t="str">
        <f>VLOOKUP(H19,'1_Value &amp; risk levers'!$H$9:$O$1048576,5,FALSE)</f>
        <v>Comprehensive bundling strategy across all vegetable oils - following an optimization approach to identify the right volume mix across suppliers and SKUs</v>
      </c>
      <c r="Q19" s="77">
        <f>IF(VLOOKUP(H19,'1_Value &amp; risk levers'!$H$9:$T$1048576,13,FALSE)=0,"",VLOOKUP(H19,'1_Value &amp; risk levers'!$H$9:$T$1048576,13,FALSE))</f>
        <v>3</v>
      </c>
      <c r="R19" s="128">
        <f t="shared" si="0"/>
        <v>2</v>
      </c>
      <c r="S19" s="128" t="e">
        <f t="shared" si="1"/>
        <v>#DIV/0!</v>
      </c>
      <c r="T19" s="77"/>
      <c r="U19" s="77"/>
      <c r="V19" s="55"/>
      <c r="W19" s="71">
        <v>0.04</v>
      </c>
      <c r="X19" s="71">
        <v>0.1</v>
      </c>
      <c r="Y19" s="71">
        <f>VLOOKUP(H19,'1_Value &amp; risk levers'!$H$9:$O$1048576,8,FALSE)</f>
        <v>0.8</v>
      </c>
      <c r="Z19" s="51">
        <f t="shared" si="2"/>
        <v>7.0000000000000007E-2</v>
      </c>
      <c r="AA19" s="51">
        <f t="shared" si="4"/>
        <v>8.5000000000000006E-2</v>
      </c>
      <c r="AB19" s="55">
        <f t="shared" si="5"/>
        <v>2800000.0000000005</v>
      </c>
      <c r="AC19" s="55">
        <f t="shared" si="6"/>
        <v>3400000.0000000005</v>
      </c>
      <c r="AD19" s="80">
        <f t="shared" si="7"/>
        <v>7</v>
      </c>
      <c r="AE19" s="84">
        <f t="shared" si="8"/>
        <v>0.48864540816326468</v>
      </c>
      <c r="AF19" s="71" t="str">
        <f t="shared" si="9"/>
        <v>Low</v>
      </c>
      <c r="AG19" s="84">
        <f t="shared" si="10"/>
        <v>5.9772908163265304E-2</v>
      </c>
      <c r="AH19" s="84">
        <f t="shared" si="11"/>
        <v>9.5227091836734709E-2</v>
      </c>
      <c r="AI19" s="73">
        <f t="shared" si="12"/>
        <v>2390916.3265306121</v>
      </c>
      <c r="AJ19" s="73">
        <f t="shared" si="13"/>
        <v>3809083.6734693884</v>
      </c>
      <c r="AK19" s="46">
        <f>VLOOKUP(H19,'1_Value &amp; risk levers'!$H$9:$O$1048576,6,FALSE)</f>
        <v>0.02</v>
      </c>
      <c r="AL19" s="46">
        <f>VLOOKUP(H19,'1_Value &amp; risk levers'!$H$9:$O$1048576,7,FALSE)</f>
        <v>0.05</v>
      </c>
      <c r="AM19" s="50">
        <f t="shared" si="14"/>
        <v>2.75E-2</v>
      </c>
      <c r="AN19" s="72">
        <f t="shared" si="15"/>
        <v>0.12790697674418605</v>
      </c>
      <c r="AO19" s="84">
        <f t="shared" si="16"/>
        <v>7.6453719743711434E-3</v>
      </c>
      <c r="AP19" s="84">
        <f t="shared" si="17"/>
        <v>1.2180209420977696E-2</v>
      </c>
      <c r="AQ19" s="55">
        <f t="shared" si="18"/>
        <v>358139.53488372103</v>
      </c>
      <c r="AR19" s="55">
        <f t="shared" si="19"/>
        <v>434883.72093023261</v>
      </c>
      <c r="AS19" s="83">
        <f t="shared" si="3"/>
        <v>41</v>
      </c>
      <c r="AT19" s="50">
        <f t="shared" si="20"/>
        <v>7.1837499999999999</v>
      </c>
      <c r="AU19" s="55" t="str">
        <f t="shared" si="21"/>
        <v>Medium</v>
      </c>
      <c r="AV19" s="34" t="s">
        <v>1499</v>
      </c>
      <c r="AW19" s="111"/>
      <c r="AX19" s="30" t="s">
        <v>1493</v>
      </c>
      <c r="AY19" s="30"/>
      <c r="AZ19" s="85" t="str">
        <f>IF(ISERROR(_xlfn.XLOOKUP(CONCATENATE(A19,"_",AV19),'Reference-Proof pt impact flag'!$I$3:$I$1048576,'Reference-Proof pt impact flag'!$G$3:$G$1048576)),"",_xlfn.XLOOKUP(CONCATENATE(A19,"_",AV19),'Reference-Proof pt impact flag'!$I$3:$I$1048576,'Reference-Proof pt impact flag'!$G$3:$G$1048576))</f>
        <v/>
      </c>
      <c r="BA19" s="74"/>
      <c r="BB19" s="74"/>
      <c r="BC19" s="74"/>
      <c r="BD19" s="74"/>
      <c r="BE19" s="74"/>
      <c r="BF19" s="74" t="e">
        <f>_xlfn.XLOOKUP(CONCATENATE(H19,"_",AV19),'Test 2 - Proof points - GPT5'!$T:$T,'Test 2 - Proof points - GPT5'!$S:$S)</f>
        <v>#N/A</v>
      </c>
      <c r="BG19" s="74" t="e">
        <f>_xlfn.XLOOKUP(CONCATENATE(H19,"_",AV19),'Test 2 -Proof points - Sonnet'!$AB:$AB,'Test 2 -Proof points - Sonnet'!$AA:$AA)</f>
        <v>#N/A</v>
      </c>
      <c r="BH19" s="74"/>
      <c r="BI19" s="74"/>
      <c r="BJ19" s="74" t="s">
        <v>1461</v>
      </c>
      <c r="BK19" s="30"/>
      <c r="BL19" s="30"/>
      <c r="BM19" s="30"/>
      <c r="BN19" s="30"/>
      <c r="BO19" s="30"/>
      <c r="BP19" s="30"/>
      <c r="BQ19" s="30"/>
      <c r="BR19" s="30"/>
      <c r="BS19" s="30"/>
      <c r="BT19" s="30"/>
      <c r="BU19" s="30"/>
      <c r="BV19" s="113"/>
    </row>
    <row r="20" spans="1:74" ht="27" hidden="1" customHeight="1" x14ac:dyDescent="0.35">
      <c r="A20" s="22">
        <v>1</v>
      </c>
      <c r="B20" s="22" t="s">
        <v>1451</v>
      </c>
      <c r="C20" s="22" t="s">
        <v>1452</v>
      </c>
      <c r="D20" s="22" t="s">
        <v>1224</v>
      </c>
      <c r="E20" s="22" t="s">
        <v>1453</v>
      </c>
      <c r="F20" s="22"/>
      <c r="G20" s="22" t="s">
        <v>1274</v>
      </c>
      <c r="H20" s="21" t="s">
        <v>1292</v>
      </c>
      <c r="I20" s="22"/>
      <c r="J20" s="21" t="s">
        <v>1462</v>
      </c>
      <c r="K20" s="30"/>
      <c r="L20" s="35" t="s">
        <v>1228</v>
      </c>
      <c r="M20" s="35" t="str">
        <f>VLOOKUP(H20,'1_Value &amp; risk levers'!$H$9:$O$1048576,2,FALSE)</f>
        <v>Not practiced / not explored so far</v>
      </c>
      <c r="N20" s="35" t="str">
        <f>VLOOKUP(H20,'1_Value &amp; risk levers'!$H$9:$O$1048576,3,FALSE)</f>
        <v>Ad-hoc initiatives to bundle volume across suppliers</v>
      </c>
      <c r="O20" s="35" t="str">
        <f>VLOOKUP(H20,'1_Value &amp; risk levers'!$H$9:$O$1048576,4,FALSE)</f>
        <v>Suppliers are evaluated for their product coverage at the time of sourcing</v>
      </c>
      <c r="P20" s="35" t="str">
        <f>VLOOKUP(H20,'1_Value &amp; risk levers'!$H$9:$O$1048576,5,FALSE)</f>
        <v>Comprehensive bundling strategy across all vegetable oils - following an optimization approach to identify the right volume mix across suppliers and SKUs</v>
      </c>
      <c r="Q20" s="77">
        <f>IF(VLOOKUP(H20,'1_Value &amp; risk levers'!$H$9:$T$1048576,13,FALSE)=0,"",VLOOKUP(H20,'1_Value &amp; risk levers'!$H$9:$T$1048576,13,FALSE))</f>
        <v>3</v>
      </c>
      <c r="R20" s="128">
        <f t="shared" si="0"/>
        <v>2</v>
      </c>
      <c r="S20" s="128" t="e">
        <f t="shared" si="1"/>
        <v>#DIV/0!</v>
      </c>
      <c r="T20" s="77"/>
      <c r="U20" s="77"/>
      <c r="V20" s="55"/>
      <c r="W20" s="71">
        <v>0.04</v>
      </c>
      <c r="X20" s="71">
        <v>0.1</v>
      </c>
      <c r="Y20" s="71">
        <f>VLOOKUP(H20,'1_Value &amp; risk levers'!$H$9:$O$1048576,8,FALSE)</f>
        <v>0.8</v>
      </c>
      <c r="Z20" s="51">
        <f t="shared" si="2"/>
        <v>7.0000000000000007E-2</v>
      </c>
      <c r="AA20" s="51">
        <f t="shared" si="4"/>
        <v>8.5000000000000006E-2</v>
      </c>
      <c r="AB20" s="55">
        <f t="shared" si="5"/>
        <v>2800000.0000000005</v>
      </c>
      <c r="AC20" s="55">
        <f t="shared" si="6"/>
        <v>3400000.0000000005</v>
      </c>
      <c r="AD20" s="80">
        <f t="shared" si="7"/>
        <v>7</v>
      </c>
      <c r="AE20" s="84">
        <f t="shared" si="8"/>
        <v>0.48864540816326468</v>
      </c>
      <c r="AF20" s="71" t="str">
        <f t="shared" si="9"/>
        <v>Low</v>
      </c>
      <c r="AG20" s="84">
        <f t="shared" si="10"/>
        <v>5.9772908163265304E-2</v>
      </c>
      <c r="AH20" s="84">
        <f t="shared" si="11"/>
        <v>9.5227091836734709E-2</v>
      </c>
      <c r="AI20" s="73">
        <f t="shared" si="12"/>
        <v>2390916.3265306121</v>
      </c>
      <c r="AJ20" s="73">
        <f t="shared" si="13"/>
        <v>3809083.6734693884</v>
      </c>
      <c r="AK20" s="46">
        <f>VLOOKUP(H20,'1_Value &amp; risk levers'!$H$9:$O$1048576,6,FALSE)</f>
        <v>0.02</v>
      </c>
      <c r="AL20" s="46">
        <f>VLOOKUP(H20,'1_Value &amp; risk levers'!$H$9:$O$1048576,7,FALSE)</f>
        <v>0.05</v>
      </c>
      <c r="AM20" s="50">
        <f t="shared" si="14"/>
        <v>2.75E-2</v>
      </c>
      <c r="AN20" s="72">
        <f t="shared" si="15"/>
        <v>0.12790697674418605</v>
      </c>
      <c r="AO20" s="84">
        <f t="shared" si="16"/>
        <v>7.6453719743711434E-3</v>
      </c>
      <c r="AP20" s="84">
        <f t="shared" si="17"/>
        <v>1.2180209420977696E-2</v>
      </c>
      <c r="AQ20" s="55">
        <f t="shared" si="18"/>
        <v>358139.53488372103</v>
      </c>
      <c r="AR20" s="55">
        <f t="shared" si="19"/>
        <v>434883.72093023261</v>
      </c>
      <c r="AS20" s="83">
        <f t="shared" si="3"/>
        <v>41</v>
      </c>
      <c r="AT20" s="50">
        <f t="shared" si="20"/>
        <v>7.1837499999999999</v>
      </c>
      <c r="AU20" s="55" t="str">
        <f t="shared" si="21"/>
        <v>Medium</v>
      </c>
      <c r="AV20" s="34" t="s">
        <v>1500</v>
      </c>
      <c r="AW20" s="111"/>
      <c r="AX20" s="30" t="s">
        <v>1493</v>
      </c>
      <c r="AY20" s="30"/>
      <c r="AZ20" s="85" t="str">
        <f>IF(ISERROR(_xlfn.XLOOKUP(CONCATENATE(A20,"_",AV20),'Reference-Proof pt impact flag'!$I$3:$I$1048576,'Reference-Proof pt impact flag'!$G$3:$G$1048576)),"",_xlfn.XLOOKUP(CONCATENATE(A20,"_",AV20),'Reference-Proof pt impact flag'!$I$3:$I$1048576,'Reference-Proof pt impact flag'!$G$3:$G$1048576))</f>
        <v/>
      </c>
      <c r="BA20" s="74"/>
      <c r="BB20" s="74"/>
      <c r="BC20" s="74"/>
      <c r="BD20" s="74"/>
      <c r="BE20" s="74"/>
      <c r="BF20" s="74" t="e">
        <f>_xlfn.XLOOKUP(CONCATENATE(H20,"_",AV20),'Test 2 - Proof points - GPT5'!$T:$T,'Test 2 - Proof points - GPT5'!$S:$S)</f>
        <v>#N/A</v>
      </c>
      <c r="BG20" s="74" t="e">
        <f>_xlfn.XLOOKUP(CONCATENATE(H20,"_",AV20),'Test 2 -Proof points - Sonnet'!$AB:$AB,'Test 2 -Proof points - Sonnet'!$AA:$AA)</f>
        <v>#N/A</v>
      </c>
      <c r="BH20" s="74"/>
      <c r="BI20" s="74"/>
      <c r="BJ20" s="74" t="s">
        <v>1461</v>
      </c>
      <c r="BK20" s="30"/>
      <c r="BL20" s="30"/>
      <c r="BM20" s="30"/>
      <c r="BN20" s="30"/>
      <c r="BO20" s="30"/>
      <c r="BP20" s="30"/>
      <c r="BQ20" s="30"/>
      <c r="BR20" s="30"/>
      <c r="BS20" s="30"/>
      <c r="BT20" s="30"/>
      <c r="BU20" s="30"/>
      <c r="BV20" s="113"/>
    </row>
    <row r="21" spans="1:74" ht="27" hidden="1" customHeight="1" x14ac:dyDescent="0.35">
      <c r="A21" s="22">
        <v>1</v>
      </c>
      <c r="B21" s="22" t="s">
        <v>1451</v>
      </c>
      <c r="C21" s="22" t="s">
        <v>1452</v>
      </c>
      <c r="D21" s="22" t="s">
        <v>1224</v>
      </c>
      <c r="E21" s="22" t="s">
        <v>1453</v>
      </c>
      <c r="F21" s="22"/>
      <c r="G21" s="22" t="s">
        <v>1274</v>
      </c>
      <c r="H21" s="21" t="s">
        <v>1292</v>
      </c>
      <c r="I21" s="22"/>
      <c r="J21" s="21" t="s">
        <v>1462</v>
      </c>
      <c r="K21" s="30"/>
      <c r="L21" s="35" t="s">
        <v>1228</v>
      </c>
      <c r="M21" s="35" t="str">
        <f>VLOOKUP(H21,'1_Value &amp; risk levers'!$H$9:$O$1048576,2,FALSE)</f>
        <v>Not practiced / not explored so far</v>
      </c>
      <c r="N21" s="35" t="str">
        <f>VLOOKUP(H21,'1_Value &amp; risk levers'!$H$9:$O$1048576,3,FALSE)</f>
        <v>Ad-hoc initiatives to bundle volume across suppliers</v>
      </c>
      <c r="O21" s="35" t="str">
        <f>VLOOKUP(H21,'1_Value &amp; risk levers'!$H$9:$O$1048576,4,FALSE)</f>
        <v>Suppliers are evaluated for their product coverage at the time of sourcing</v>
      </c>
      <c r="P21" s="35" t="str">
        <f>VLOOKUP(H21,'1_Value &amp; risk levers'!$H$9:$O$1048576,5,FALSE)</f>
        <v>Comprehensive bundling strategy across all vegetable oils - following an optimization approach to identify the right volume mix across suppliers and SKUs</v>
      </c>
      <c r="Q21" s="77">
        <f>IF(VLOOKUP(H21,'1_Value &amp; risk levers'!$H$9:$T$1048576,13,FALSE)=0,"",VLOOKUP(H21,'1_Value &amp; risk levers'!$H$9:$T$1048576,13,FALSE))</f>
        <v>3</v>
      </c>
      <c r="R21" s="128">
        <f t="shared" si="0"/>
        <v>2</v>
      </c>
      <c r="S21" s="128" t="e">
        <f t="shared" si="1"/>
        <v>#DIV/0!</v>
      </c>
      <c r="T21" s="77"/>
      <c r="U21" s="77"/>
      <c r="V21" s="55"/>
      <c r="W21" s="71">
        <v>0.04</v>
      </c>
      <c r="X21" s="71">
        <v>0.1</v>
      </c>
      <c r="Y21" s="71">
        <f>VLOOKUP(H21,'1_Value &amp; risk levers'!$H$9:$O$1048576,8,FALSE)</f>
        <v>0.8</v>
      </c>
      <c r="Z21" s="51">
        <f t="shared" si="2"/>
        <v>7.0000000000000007E-2</v>
      </c>
      <c r="AA21" s="51">
        <f t="shared" si="4"/>
        <v>8.5000000000000006E-2</v>
      </c>
      <c r="AB21" s="55">
        <f t="shared" si="5"/>
        <v>2800000.0000000005</v>
      </c>
      <c r="AC21" s="55">
        <f t="shared" si="6"/>
        <v>3400000.0000000005</v>
      </c>
      <c r="AD21" s="80">
        <f t="shared" si="7"/>
        <v>7</v>
      </c>
      <c r="AE21" s="84">
        <f t="shared" si="8"/>
        <v>0.48864540816326468</v>
      </c>
      <c r="AF21" s="71" t="str">
        <f t="shared" si="9"/>
        <v>Low</v>
      </c>
      <c r="AG21" s="84">
        <f t="shared" si="10"/>
        <v>5.9772908163265304E-2</v>
      </c>
      <c r="AH21" s="84">
        <f t="shared" si="11"/>
        <v>9.5227091836734709E-2</v>
      </c>
      <c r="AI21" s="73">
        <f t="shared" si="12"/>
        <v>2390916.3265306121</v>
      </c>
      <c r="AJ21" s="73">
        <f t="shared" si="13"/>
        <v>3809083.6734693884</v>
      </c>
      <c r="AK21" s="46">
        <f>VLOOKUP(H21,'1_Value &amp; risk levers'!$H$9:$O$1048576,6,FALSE)</f>
        <v>0.02</v>
      </c>
      <c r="AL21" s="46">
        <f>VLOOKUP(H21,'1_Value &amp; risk levers'!$H$9:$O$1048576,7,FALSE)</f>
        <v>0.05</v>
      </c>
      <c r="AM21" s="50">
        <f t="shared" si="14"/>
        <v>2.75E-2</v>
      </c>
      <c r="AN21" s="72">
        <f t="shared" si="15"/>
        <v>0.12790697674418605</v>
      </c>
      <c r="AO21" s="84">
        <f t="shared" si="16"/>
        <v>7.6453719743711434E-3</v>
      </c>
      <c r="AP21" s="84">
        <f t="shared" si="17"/>
        <v>1.2180209420977696E-2</v>
      </c>
      <c r="AQ21" s="55">
        <f t="shared" si="18"/>
        <v>358139.53488372103</v>
      </c>
      <c r="AR21" s="55">
        <f t="shared" si="19"/>
        <v>434883.72093023261</v>
      </c>
      <c r="AS21" s="83">
        <f t="shared" si="3"/>
        <v>41</v>
      </c>
      <c r="AT21" s="50">
        <f t="shared" si="20"/>
        <v>7.1837499999999999</v>
      </c>
      <c r="AU21" s="55" t="str">
        <f t="shared" si="21"/>
        <v>Medium</v>
      </c>
      <c r="AV21" s="34" t="s">
        <v>1501</v>
      </c>
      <c r="AW21" s="111"/>
      <c r="AX21" s="30" t="s">
        <v>1493</v>
      </c>
      <c r="AY21" s="30"/>
      <c r="AZ21" s="85" t="str">
        <f>IF(ISERROR(_xlfn.XLOOKUP(CONCATENATE(A21,"_",AV21),'Reference-Proof pt impact flag'!$I$3:$I$1048576,'Reference-Proof pt impact flag'!$G$3:$G$1048576)),"",_xlfn.XLOOKUP(CONCATENATE(A21,"_",AV21),'Reference-Proof pt impact flag'!$I$3:$I$1048576,'Reference-Proof pt impact flag'!$G$3:$G$1048576))</f>
        <v/>
      </c>
      <c r="BA21" s="74"/>
      <c r="BB21" s="74"/>
      <c r="BC21" s="74"/>
      <c r="BD21" s="74"/>
      <c r="BE21" s="74"/>
      <c r="BF21" s="74" t="e">
        <f>_xlfn.XLOOKUP(CONCATENATE(H21,"_",AV21),'Test 2 - Proof points - GPT5'!$T:$T,'Test 2 - Proof points - GPT5'!$S:$S)</f>
        <v>#N/A</v>
      </c>
      <c r="BG21" s="74" t="e">
        <f>_xlfn.XLOOKUP(CONCATENATE(H21,"_",AV21),'Test 2 -Proof points - Sonnet'!$AB:$AB,'Test 2 -Proof points - Sonnet'!$AA:$AA)</f>
        <v>#N/A</v>
      </c>
      <c r="BH21" s="74"/>
      <c r="BI21" s="74"/>
      <c r="BJ21" s="74" t="s">
        <v>1461</v>
      </c>
      <c r="BK21" s="30"/>
      <c r="BL21" s="30"/>
      <c r="BM21" s="30"/>
      <c r="BN21" s="30"/>
      <c r="BO21" s="30"/>
      <c r="BP21" s="30"/>
      <c r="BQ21" s="30"/>
      <c r="BR21" s="30"/>
      <c r="BS21" s="30"/>
      <c r="BT21" s="30"/>
      <c r="BU21" s="30"/>
      <c r="BV21" s="113"/>
    </row>
    <row r="22" spans="1:74" ht="27" hidden="1" customHeight="1" x14ac:dyDescent="0.35">
      <c r="A22" s="22">
        <v>1</v>
      </c>
      <c r="B22" s="22" t="s">
        <v>1451</v>
      </c>
      <c r="C22" s="22" t="s">
        <v>1452</v>
      </c>
      <c r="D22" s="22" t="s">
        <v>1224</v>
      </c>
      <c r="E22" s="22" t="s">
        <v>1453</v>
      </c>
      <c r="F22" s="22"/>
      <c r="G22" s="22" t="s">
        <v>1274</v>
      </c>
      <c r="H22" s="21" t="s">
        <v>1292</v>
      </c>
      <c r="I22" s="22"/>
      <c r="J22" s="21" t="s">
        <v>1462</v>
      </c>
      <c r="K22" s="30"/>
      <c r="L22" s="35" t="s">
        <v>1228</v>
      </c>
      <c r="M22" s="35" t="str">
        <f>VLOOKUP(H22,'1_Value &amp; risk levers'!$H$9:$O$1048576,2,FALSE)</f>
        <v>Not practiced / not explored so far</v>
      </c>
      <c r="N22" s="35" t="str">
        <f>VLOOKUP(H22,'1_Value &amp; risk levers'!$H$9:$O$1048576,3,FALSE)</f>
        <v>Ad-hoc initiatives to bundle volume across suppliers</v>
      </c>
      <c r="O22" s="35" t="str">
        <f>VLOOKUP(H22,'1_Value &amp; risk levers'!$H$9:$O$1048576,4,FALSE)</f>
        <v>Suppliers are evaluated for their product coverage at the time of sourcing</v>
      </c>
      <c r="P22" s="35" t="str">
        <f>VLOOKUP(H22,'1_Value &amp; risk levers'!$H$9:$O$1048576,5,FALSE)</f>
        <v>Comprehensive bundling strategy across all vegetable oils - following an optimization approach to identify the right volume mix across suppliers and SKUs</v>
      </c>
      <c r="Q22" s="77">
        <f>IF(VLOOKUP(H22,'1_Value &amp; risk levers'!$H$9:$T$1048576,13,FALSE)=0,"",VLOOKUP(H22,'1_Value &amp; risk levers'!$H$9:$T$1048576,13,FALSE))</f>
        <v>3</v>
      </c>
      <c r="R22" s="128">
        <f t="shared" si="0"/>
        <v>2</v>
      </c>
      <c r="S22" s="128" t="e">
        <f t="shared" si="1"/>
        <v>#DIV/0!</v>
      </c>
      <c r="T22" s="77"/>
      <c r="U22" s="77"/>
      <c r="V22" s="55"/>
      <c r="W22" s="71">
        <v>0.04</v>
      </c>
      <c r="X22" s="71">
        <v>0.1</v>
      </c>
      <c r="Y22" s="71">
        <f>VLOOKUP(H22,'1_Value &amp; risk levers'!$H$9:$O$1048576,8,FALSE)</f>
        <v>0.8</v>
      </c>
      <c r="Z22" s="51">
        <f t="shared" si="2"/>
        <v>7.0000000000000007E-2</v>
      </c>
      <c r="AA22" s="51">
        <f t="shared" si="4"/>
        <v>8.5000000000000006E-2</v>
      </c>
      <c r="AB22" s="55">
        <f t="shared" si="5"/>
        <v>2800000.0000000005</v>
      </c>
      <c r="AC22" s="55">
        <f t="shared" si="6"/>
        <v>3400000.0000000005</v>
      </c>
      <c r="AD22" s="80">
        <f t="shared" si="7"/>
        <v>7</v>
      </c>
      <c r="AE22" s="84">
        <f t="shared" si="8"/>
        <v>0.48864540816326468</v>
      </c>
      <c r="AF22" s="71" t="str">
        <f t="shared" si="9"/>
        <v>Low</v>
      </c>
      <c r="AG22" s="84">
        <f t="shared" si="10"/>
        <v>5.9772908163265304E-2</v>
      </c>
      <c r="AH22" s="84">
        <f t="shared" si="11"/>
        <v>9.5227091836734709E-2</v>
      </c>
      <c r="AI22" s="73">
        <f t="shared" si="12"/>
        <v>2390916.3265306121</v>
      </c>
      <c r="AJ22" s="73">
        <f t="shared" si="13"/>
        <v>3809083.6734693884</v>
      </c>
      <c r="AK22" s="46">
        <f>VLOOKUP(H22,'1_Value &amp; risk levers'!$H$9:$O$1048576,6,FALSE)</f>
        <v>0.02</v>
      </c>
      <c r="AL22" s="46">
        <f>VLOOKUP(H22,'1_Value &amp; risk levers'!$H$9:$O$1048576,7,FALSE)</f>
        <v>0.05</v>
      </c>
      <c r="AM22" s="50">
        <f t="shared" si="14"/>
        <v>2.75E-2</v>
      </c>
      <c r="AN22" s="72">
        <f t="shared" si="15"/>
        <v>0.12790697674418605</v>
      </c>
      <c r="AO22" s="84">
        <f t="shared" si="16"/>
        <v>7.6453719743711434E-3</v>
      </c>
      <c r="AP22" s="84">
        <f t="shared" si="17"/>
        <v>1.2180209420977696E-2</v>
      </c>
      <c r="AQ22" s="55">
        <f t="shared" si="18"/>
        <v>358139.53488372103</v>
      </c>
      <c r="AR22" s="55">
        <f t="shared" si="19"/>
        <v>434883.72093023261</v>
      </c>
      <c r="AS22" s="83">
        <f t="shared" si="3"/>
        <v>41</v>
      </c>
      <c r="AT22" s="50">
        <f t="shared" si="20"/>
        <v>7.1837499999999999</v>
      </c>
      <c r="AU22" s="55" t="str">
        <f t="shared" si="21"/>
        <v>Medium</v>
      </c>
      <c r="AV22" s="34" t="s">
        <v>1502</v>
      </c>
      <c r="AW22" s="111"/>
      <c r="AX22" s="30" t="s">
        <v>1493</v>
      </c>
      <c r="AY22" s="30"/>
      <c r="AZ22" s="85" t="str">
        <f>IF(ISERROR(_xlfn.XLOOKUP(CONCATENATE(A22,"_",AV22),'Reference-Proof pt impact flag'!$I$3:$I$1048576,'Reference-Proof pt impact flag'!$G$3:$G$1048576)),"",_xlfn.XLOOKUP(CONCATENATE(A22,"_",AV22),'Reference-Proof pt impact flag'!$I$3:$I$1048576,'Reference-Proof pt impact flag'!$G$3:$G$1048576))</f>
        <v/>
      </c>
      <c r="BA22" s="74"/>
      <c r="BB22" s="74"/>
      <c r="BC22" s="74"/>
      <c r="BD22" s="74"/>
      <c r="BE22" s="74"/>
      <c r="BF22" s="74" t="e">
        <f>_xlfn.XLOOKUP(CONCATENATE(H22,"_",AV22),'Test 2 - Proof points - GPT5'!$T:$T,'Test 2 - Proof points - GPT5'!$S:$S)</f>
        <v>#N/A</v>
      </c>
      <c r="BG22" s="74" t="e">
        <f>_xlfn.XLOOKUP(CONCATENATE(H22,"_",AV22),'Test 2 -Proof points - Sonnet'!$AB:$AB,'Test 2 -Proof points - Sonnet'!$AA:$AA)</f>
        <v>#N/A</v>
      </c>
      <c r="BH22" s="74"/>
      <c r="BI22" s="74"/>
      <c r="BJ22" s="74" t="s">
        <v>1461</v>
      </c>
      <c r="BK22" s="30"/>
      <c r="BL22" s="30"/>
      <c r="BM22" s="30"/>
      <c r="BN22" s="30"/>
      <c r="BO22" s="30"/>
      <c r="BP22" s="30"/>
      <c r="BQ22" s="30"/>
      <c r="BR22" s="30"/>
      <c r="BS22" s="30"/>
      <c r="BT22" s="30"/>
      <c r="BU22" s="30"/>
      <c r="BV22" s="113"/>
    </row>
    <row r="23" spans="1:74" ht="27" hidden="1" customHeight="1" x14ac:dyDescent="0.35">
      <c r="A23" s="22">
        <v>1</v>
      </c>
      <c r="B23" s="22" t="s">
        <v>1451</v>
      </c>
      <c r="C23" s="22" t="s">
        <v>1452</v>
      </c>
      <c r="D23" s="22" t="s">
        <v>1224</v>
      </c>
      <c r="E23" s="22" t="s">
        <v>1453</v>
      </c>
      <c r="F23" s="22"/>
      <c r="G23" s="22" t="s">
        <v>1274</v>
      </c>
      <c r="H23" s="21" t="s">
        <v>1292</v>
      </c>
      <c r="I23" s="22"/>
      <c r="J23" s="21" t="s">
        <v>1462</v>
      </c>
      <c r="K23" s="30"/>
      <c r="L23" s="35" t="s">
        <v>1228</v>
      </c>
      <c r="M23" s="35" t="str">
        <f>VLOOKUP(H23,'1_Value &amp; risk levers'!$H$9:$O$1048576,2,FALSE)</f>
        <v>Not practiced / not explored so far</v>
      </c>
      <c r="N23" s="35" t="str">
        <f>VLOOKUP(H23,'1_Value &amp; risk levers'!$H$9:$O$1048576,3,FALSE)</f>
        <v>Ad-hoc initiatives to bundle volume across suppliers</v>
      </c>
      <c r="O23" s="35" t="str">
        <f>VLOOKUP(H23,'1_Value &amp; risk levers'!$H$9:$O$1048576,4,FALSE)</f>
        <v>Suppliers are evaluated for their product coverage at the time of sourcing</v>
      </c>
      <c r="P23" s="35" t="str">
        <f>VLOOKUP(H23,'1_Value &amp; risk levers'!$H$9:$O$1048576,5,FALSE)</f>
        <v>Comprehensive bundling strategy across all vegetable oils - following an optimization approach to identify the right volume mix across suppliers and SKUs</v>
      </c>
      <c r="Q23" s="77">
        <f>IF(VLOOKUP(H23,'1_Value &amp; risk levers'!$H$9:$T$1048576,13,FALSE)=0,"",VLOOKUP(H23,'1_Value &amp; risk levers'!$H$9:$T$1048576,13,FALSE))</f>
        <v>3</v>
      </c>
      <c r="R23" s="128">
        <f t="shared" si="0"/>
        <v>2</v>
      </c>
      <c r="S23" s="128" t="e">
        <f t="shared" si="1"/>
        <v>#DIV/0!</v>
      </c>
      <c r="T23" s="77"/>
      <c r="U23" s="77"/>
      <c r="V23" s="55"/>
      <c r="W23" s="71">
        <v>0.04</v>
      </c>
      <c r="X23" s="71">
        <v>0.1</v>
      </c>
      <c r="Y23" s="71">
        <f>VLOOKUP(H23,'1_Value &amp; risk levers'!$H$9:$O$1048576,8,FALSE)</f>
        <v>0.8</v>
      </c>
      <c r="Z23" s="51">
        <f t="shared" si="2"/>
        <v>7.0000000000000007E-2</v>
      </c>
      <c r="AA23" s="51">
        <f t="shared" si="4"/>
        <v>8.5000000000000006E-2</v>
      </c>
      <c r="AB23" s="55">
        <f t="shared" si="5"/>
        <v>2800000.0000000005</v>
      </c>
      <c r="AC23" s="55">
        <f t="shared" si="6"/>
        <v>3400000.0000000005</v>
      </c>
      <c r="AD23" s="80">
        <f t="shared" si="7"/>
        <v>7</v>
      </c>
      <c r="AE23" s="84">
        <f t="shared" si="8"/>
        <v>0.48864540816326468</v>
      </c>
      <c r="AF23" s="71" t="str">
        <f t="shared" si="9"/>
        <v>Low</v>
      </c>
      <c r="AG23" s="84">
        <f t="shared" si="10"/>
        <v>5.9772908163265304E-2</v>
      </c>
      <c r="AH23" s="84">
        <f t="shared" si="11"/>
        <v>9.5227091836734709E-2</v>
      </c>
      <c r="AI23" s="73">
        <f t="shared" si="12"/>
        <v>2390916.3265306121</v>
      </c>
      <c r="AJ23" s="73">
        <f t="shared" si="13"/>
        <v>3809083.6734693884</v>
      </c>
      <c r="AK23" s="46">
        <f>VLOOKUP(H23,'1_Value &amp; risk levers'!$H$9:$O$1048576,6,FALSE)</f>
        <v>0.02</v>
      </c>
      <c r="AL23" s="46">
        <f>VLOOKUP(H23,'1_Value &amp; risk levers'!$H$9:$O$1048576,7,FALSE)</f>
        <v>0.05</v>
      </c>
      <c r="AM23" s="50">
        <f t="shared" si="14"/>
        <v>2.75E-2</v>
      </c>
      <c r="AN23" s="72">
        <f t="shared" si="15"/>
        <v>0.12790697674418605</v>
      </c>
      <c r="AO23" s="84">
        <f t="shared" si="16"/>
        <v>7.6453719743711434E-3</v>
      </c>
      <c r="AP23" s="84">
        <f t="shared" si="17"/>
        <v>1.2180209420977696E-2</v>
      </c>
      <c r="AQ23" s="55">
        <f t="shared" si="18"/>
        <v>358139.53488372103</v>
      </c>
      <c r="AR23" s="55">
        <f t="shared" si="19"/>
        <v>434883.72093023261</v>
      </c>
      <c r="AS23" s="83">
        <f t="shared" si="3"/>
        <v>41</v>
      </c>
      <c r="AT23" s="50">
        <f t="shared" si="20"/>
        <v>7.1837499999999999</v>
      </c>
      <c r="AU23" s="55" t="str">
        <f t="shared" si="21"/>
        <v>Medium</v>
      </c>
      <c r="AV23" s="34" t="s">
        <v>1503</v>
      </c>
      <c r="AW23" s="111"/>
      <c r="AX23" s="30" t="s">
        <v>1493</v>
      </c>
      <c r="AY23" s="30"/>
      <c r="AZ23" s="85" t="str">
        <f>IF(ISERROR(_xlfn.XLOOKUP(CONCATENATE(A23,"_",AV23),'Reference-Proof pt impact flag'!$I$3:$I$1048576,'Reference-Proof pt impact flag'!$G$3:$G$1048576)),"",_xlfn.XLOOKUP(CONCATENATE(A23,"_",AV23),'Reference-Proof pt impact flag'!$I$3:$I$1048576,'Reference-Proof pt impact flag'!$G$3:$G$1048576))</f>
        <v/>
      </c>
      <c r="BA23" s="74"/>
      <c r="BB23" s="74"/>
      <c r="BC23" s="74"/>
      <c r="BD23" s="74"/>
      <c r="BE23" s="74"/>
      <c r="BF23" s="74" t="e">
        <f>_xlfn.XLOOKUP(CONCATENATE(H23,"_",AV23),'Test 2 - Proof points - GPT5'!$T:$T,'Test 2 - Proof points - GPT5'!$S:$S)</f>
        <v>#N/A</v>
      </c>
      <c r="BG23" s="74" t="e">
        <f>_xlfn.XLOOKUP(CONCATENATE(H23,"_",AV23),'Test 2 -Proof points - Sonnet'!$AB:$AB,'Test 2 -Proof points - Sonnet'!$AA:$AA)</f>
        <v>#N/A</v>
      </c>
      <c r="BH23" s="74"/>
      <c r="BI23" s="74"/>
      <c r="BJ23" s="74" t="s">
        <v>1461</v>
      </c>
      <c r="BK23" s="30"/>
      <c r="BL23" s="30"/>
      <c r="BM23" s="30"/>
      <c r="BN23" s="30"/>
      <c r="BO23" s="30"/>
      <c r="BP23" s="30"/>
      <c r="BQ23" s="30"/>
      <c r="BR23" s="30"/>
      <c r="BS23" s="30"/>
      <c r="BT23" s="30"/>
      <c r="BU23" s="30"/>
      <c r="BV23" s="113"/>
    </row>
    <row r="24" spans="1:74" ht="27" hidden="1" customHeight="1" x14ac:dyDescent="0.35">
      <c r="A24" s="22">
        <v>1</v>
      </c>
      <c r="B24" s="22" t="s">
        <v>1451</v>
      </c>
      <c r="C24" s="22" t="s">
        <v>1452</v>
      </c>
      <c r="D24" s="22" t="s">
        <v>1224</v>
      </c>
      <c r="E24" s="22" t="s">
        <v>1453</v>
      </c>
      <c r="F24" s="22"/>
      <c r="G24" s="22" t="s">
        <v>1274</v>
      </c>
      <c r="H24" s="21" t="s">
        <v>1292</v>
      </c>
      <c r="I24" s="22"/>
      <c r="J24" s="21" t="s">
        <v>1462</v>
      </c>
      <c r="K24" s="30"/>
      <c r="L24" s="35" t="s">
        <v>1228</v>
      </c>
      <c r="M24" s="35" t="str">
        <f>VLOOKUP(H24,'1_Value &amp; risk levers'!$H$9:$O$1048576,2,FALSE)</f>
        <v>Not practiced / not explored so far</v>
      </c>
      <c r="N24" s="35" t="str">
        <f>VLOOKUP(H24,'1_Value &amp; risk levers'!$H$9:$O$1048576,3,FALSE)</f>
        <v>Ad-hoc initiatives to bundle volume across suppliers</v>
      </c>
      <c r="O24" s="35" t="str">
        <f>VLOOKUP(H24,'1_Value &amp; risk levers'!$H$9:$O$1048576,4,FALSE)</f>
        <v>Suppliers are evaluated for their product coverage at the time of sourcing</v>
      </c>
      <c r="P24" s="35" t="str">
        <f>VLOOKUP(H24,'1_Value &amp; risk levers'!$H$9:$O$1048576,5,FALSE)</f>
        <v>Comprehensive bundling strategy across all vegetable oils - following an optimization approach to identify the right volume mix across suppliers and SKUs</v>
      </c>
      <c r="Q24" s="77">
        <f>IF(VLOOKUP(H24,'1_Value &amp; risk levers'!$H$9:$T$1048576,13,FALSE)=0,"",VLOOKUP(H24,'1_Value &amp; risk levers'!$H$9:$T$1048576,13,FALSE))</f>
        <v>3</v>
      </c>
      <c r="R24" s="128">
        <f t="shared" si="0"/>
        <v>2</v>
      </c>
      <c r="S24" s="128" t="e">
        <f t="shared" si="1"/>
        <v>#DIV/0!</v>
      </c>
      <c r="T24" s="77"/>
      <c r="U24" s="77"/>
      <c r="V24" s="55"/>
      <c r="W24" s="71">
        <v>0.04</v>
      </c>
      <c r="X24" s="71">
        <v>0.1</v>
      </c>
      <c r="Y24" s="71">
        <f>VLOOKUP(H24,'1_Value &amp; risk levers'!$H$9:$O$1048576,8,FALSE)</f>
        <v>0.8</v>
      </c>
      <c r="Z24" s="51">
        <f t="shared" si="2"/>
        <v>7.0000000000000007E-2</v>
      </c>
      <c r="AA24" s="51">
        <f t="shared" si="4"/>
        <v>8.5000000000000006E-2</v>
      </c>
      <c r="AB24" s="55">
        <f t="shared" si="5"/>
        <v>2800000.0000000005</v>
      </c>
      <c r="AC24" s="55">
        <f t="shared" si="6"/>
        <v>3400000.0000000005</v>
      </c>
      <c r="AD24" s="80">
        <f t="shared" si="7"/>
        <v>7</v>
      </c>
      <c r="AE24" s="84">
        <f t="shared" si="8"/>
        <v>0.48864540816326468</v>
      </c>
      <c r="AF24" s="71" t="str">
        <f t="shared" si="9"/>
        <v>Low</v>
      </c>
      <c r="AG24" s="84">
        <f t="shared" si="10"/>
        <v>5.9772908163265304E-2</v>
      </c>
      <c r="AH24" s="84">
        <f t="shared" si="11"/>
        <v>9.5227091836734709E-2</v>
      </c>
      <c r="AI24" s="73">
        <f t="shared" si="12"/>
        <v>2390916.3265306121</v>
      </c>
      <c r="AJ24" s="73">
        <f t="shared" si="13"/>
        <v>3809083.6734693884</v>
      </c>
      <c r="AK24" s="46">
        <f>VLOOKUP(H24,'1_Value &amp; risk levers'!$H$9:$O$1048576,6,FALSE)</f>
        <v>0.02</v>
      </c>
      <c r="AL24" s="46">
        <f>VLOOKUP(H24,'1_Value &amp; risk levers'!$H$9:$O$1048576,7,FALSE)</f>
        <v>0.05</v>
      </c>
      <c r="AM24" s="50">
        <f t="shared" si="14"/>
        <v>2.75E-2</v>
      </c>
      <c r="AN24" s="72">
        <f t="shared" si="15"/>
        <v>0.12790697674418605</v>
      </c>
      <c r="AO24" s="84">
        <f t="shared" si="16"/>
        <v>7.6453719743711434E-3</v>
      </c>
      <c r="AP24" s="84">
        <f t="shared" si="17"/>
        <v>1.2180209420977696E-2</v>
      </c>
      <c r="AQ24" s="55">
        <f t="shared" si="18"/>
        <v>358139.53488372103</v>
      </c>
      <c r="AR24" s="55">
        <f t="shared" si="19"/>
        <v>434883.72093023261</v>
      </c>
      <c r="AS24" s="83">
        <f t="shared" si="3"/>
        <v>41</v>
      </c>
      <c r="AT24" s="50">
        <f t="shared" si="20"/>
        <v>7.1837499999999999</v>
      </c>
      <c r="AU24" s="55" t="str">
        <f t="shared" si="21"/>
        <v>Medium</v>
      </c>
      <c r="AV24" s="34" t="s">
        <v>1504</v>
      </c>
      <c r="AW24" s="111"/>
      <c r="AX24" s="30" t="s">
        <v>1493</v>
      </c>
      <c r="AY24" s="30"/>
      <c r="AZ24" s="85" t="str">
        <f>IF(ISERROR(_xlfn.XLOOKUP(CONCATENATE(A24,"_",AV24),'Reference-Proof pt impact flag'!$I$3:$I$1048576,'Reference-Proof pt impact flag'!$G$3:$G$1048576)),"",_xlfn.XLOOKUP(CONCATENATE(A24,"_",AV24),'Reference-Proof pt impact flag'!$I$3:$I$1048576,'Reference-Proof pt impact flag'!$G$3:$G$1048576))</f>
        <v/>
      </c>
      <c r="BA24" s="74"/>
      <c r="BB24" s="74"/>
      <c r="BC24" s="74"/>
      <c r="BD24" s="74"/>
      <c r="BE24" s="74"/>
      <c r="BF24" s="74" t="e">
        <f>_xlfn.XLOOKUP(CONCATENATE(H24,"_",AV24),'Test 2 - Proof points - GPT5'!$T:$T,'Test 2 - Proof points - GPT5'!$S:$S)</f>
        <v>#N/A</v>
      </c>
      <c r="BG24" s="74" t="e">
        <f>_xlfn.XLOOKUP(CONCATENATE(H24,"_",AV24),'Test 2 -Proof points - Sonnet'!$AB:$AB,'Test 2 -Proof points - Sonnet'!$AA:$AA)</f>
        <v>#N/A</v>
      </c>
      <c r="BH24" s="74"/>
      <c r="BI24" s="74"/>
      <c r="BJ24" s="74" t="s">
        <v>1461</v>
      </c>
      <c r="BK24" s="30"/>
      <c r="BL24" s="30"/>
      <c r="BM24" s="30"/>
      <c r="BN24" s="30"/>
      <c r="BO24" s="30"/>
      <c r="BP24" s="30"/>
      <c r="BQ24" s="30"/>
      <c r="BR24" s="30"/>
      <c r="BS24" s="30"/>
      <c r="BT24" s="30"/>
      <c r="BU24" s="30"/>
      <c r="BV24" s="113"/>
    </row>
    <row r="25" spans="1:74" ht="27" hidden="1" customHeight="1" x14ac:dyDescent="0.35">
      <c r="A25" s="22">
        <v>1</v>
      </c>
      <c r="B25" s="22" t="s">
        <v>1451</v>
      </c>
      <c r="C25" s="22" t="s">
        <v>1452</v>
      </c>
      <c r="D25" s="22" t="s">
        <v>1224</v>
      </c>
      <c r="E25" s="22" t="s">
        <v>1453</v>
      </c>
      <c r="F25" s="22"/>
      <c r="G25" s="22" t="s">
        <v>1274</v>
      </c>
      <c r="H25" s="21" t="s">
        <v>1292</v>
      </c>
      <c r="I25" s="22"/>
      <c r="J25" s="21" t="s">
        <v>1462</v>
      </c>
      <c r="K25" s="30"/>
      <c r="L25" s="35" t="s">
        <v>1228</v>
      </c>
      <c r="M25" s="35" t="str">
        <f>VLOOKUP(H25,'1_Value &amp; risk levers'!$H$9:$O$1048576,2,FALSE)</f>
        <v>Not practiced / not explored so far</v>
      </c>
      <c r="N25" s="35" t="str">
        <f>VLOOKUP(H25,'1_Value &amp; risk levers'!$H$9:$O$1048576,3,FALSE)</f>
        <v>Ad-hoc initiatives to bundle volume across suppliers</v>
      </c>
      <c r="O25" s="35" t="str">
        <f>VLOOKUP(H25,'1_Value &amp; risk levers'!$H$9:$O$1048576,4,FALSE)</f>
        <v>Suppliers are evaluated for their product coverage at the time of sourcing</v>
      </c>
      <c r="P25" s="35" t="str">
        <f>VLOOKUP(H25,'1_Value &amp; risk levers'!$H$9:$O$1048576,5,FALSE)</f>
        <v>Comprehensive bundling strategy across all vegetable oils - following an optimization approach to identify the right volume mix across suppliers and SKUs</v>
      </c>
      <c r="Q25" s="77">
        <f>IF(VLOOKUP(H25,'1_Value &amp; risk levers'!$H$9:$T$1048576,13,FALSE)=0,"",VLOOKUP(H25,'1_Value &amp; risk levers'!$H$9:$T$1048576,13,FALSE))</f>
        <v>3</v>
      </c>
      <c r="R25" s="128">
        <f t="shared" si="0"/>
        <v>2</v>
      </c>
      <c r="S25" s="128" t="e">
        <f t="shared" si="1"/>
        <v>#DIV/0!</v>
      </c>
      <c r="T25" s="77"/>
      <c r="U25" s="77"/>
      <c r="V25" s="55"/>
      <c r="W25" s="71">
        <v>0.04</v>
      </c>
      <c r="X25" s="71">
        <v>0.1</v>
      </c>
      <c r="Y25" s="71">
        <f>VLOOKUP(H25,'1_Value &amp; risk levers'!$H$9:$O$1048576,8,FALSE)</f>
        <v>0.8</v>
      </c>
      <c r="Z25" s="51">
        <f t="shared" si="2"/>
        <v>7.0000000000000007E-2</v>
      </c>
      <c r="AA25" s="51">
        <f t="shared" si="4"/>
        <v>8.5000000000000006E-2</v>
      </c>
      <c r="AB25" s="55">
        <f t="shared" si="5"/>
        <v>2800000.0000000005</v>
      </c>
      <c r="AC25" s="55">
        <f t="shared" si="6"/>
        <v>3400000.0000000005</v>
      </c>
      <c r="AD25" s="80">
        <f t="shared" si="7"/>
        <v>7</v>
      </c>
      <c r="AE25" s="84">
        <f t="shared" si="8"/>
        <v>0.48864540816326468</v>
      </c>
      <c r="AF25" s="71" t="str">
        <f t="shared" si="9"/>
        <v>Low</v>
      </c>
      <c r="AG25" s="84">
        <f t="shared" si="10"/>
        <v>5.9772908163265304E-2</v>
      </c>
      <c r="AH25" s="84">
        <f t="shared" si="11"/>
        <v>9.5227091836734709E-2</v>
      </c>
      <c r="AI25" s="73">
        <f t="shared" si="12"/>
        <v>2390916.3265306121</v>
      </c>
      <c r="AJ25" s="73">
        <f t="shared" si="13"/>
        <v>3809083.6734693884</v>
      </c>
      <c r="AK25" s="46">
        <f>VLOOKUP(H25,'1_Value &amp; risk levers'!$H$9:$O$1048576,6,FALSE)</f>
        <v>0.02</v>
      </c>
      <c r="AL25" s="46">
        <f>VLOOKUP(H25,'1_Value &amp; risk levers'!$H$9:$O$1048576,7,FALSE)</f>
        <v>0.05</v>
      </c>
      <c r="AM25" s="50">
        <f t="shared" si="14"/>
        <v>2.75E-2</v>
      </c>
      <c r="AN25" s="72">
        <f t="shared" si="15"/>
        <v>0.12790697674418605</v>
      </c>
      <c r="AO25" s="84">
        <f t="shared" si="16"/>
        <v>7.6453719743711434E-3</v>
      </c>
      <c r="AP25" s="84">
        <f t="shared" si="17"/>
        <v>1.2180209420977696E-2</v>
      </c>
      <c r="AQ25" s="55">
        <f t="shared" si="18"/>
        <v>358139.53488372103</v>
      </c>
      <c r="AR25" s="55">
        <f t="shared" si="19"/>
        <v>434883.72093023261</v>
      </c>
      <c r="AS25" s="83">
        <f t="shared" si="3"/>
        <v>41</v>
      </c>
      <c r="AT25" s="50">
        <f t="shared" si="20"/>
        <v>7.1837499999999999</v>
      </c>
      <c r="AU25" s="55" t="str">
        <f t="shared" si="21"/>
        <v>Medium</v>
      </c>
      <c r="AV25" s="34" t="s">
        <v>1505</v>
      </c>
      <c r="AW25" s="111"/>
      <c r="AX25" s="30" t="s">
        <v>1493</v>
      </c>
      <c r="AY25" s="30"/>
      <c r="AZ25" s="85" t="str">
        <f>IF(ISERROR(_xlfn.XLOOKUP(CONCATENATE(A25,"_",AV25),'Reference-Proof pt impact flag'!$I$3:$I$1048576,'Reference-Proof pt impact flag'!$G$3:$G$1048576)),"",_xlfn.XLOOKUP(CONCATENATE(A25,"_",AV25),'Reference-Proof pt impact flag'!$I$3:$I$1048576,'Reference-Proof pt impact flag'!$G$3:$G$1048576))</f>
        <v/>
      </c>
      <c r="BA25" s="74"/>
      <c r="BB25" s="74"/>
      <c r="BC25" s="74"/>
      <c r="BD25" s="74"/>
      <c r="BE25" s="74"/>
      <c r="BF25" s="74" t="e">
        <f>_xlfn.XLOOKUP(CONCATENATE(H25,"_",AV25),'Test 2 - Proof points - GPT5'!$T:$T,'Test 2 - Proof points - GPT5'!$S:$S)</f>
        <v>#N/A</v>
      </c>
      <c r="BG25" s="74" t="e">
        <f>_xlfn.XLOOKUP(CONCATENATE(H25,"_",AV25),'Test 2 -Proof points - Sonnet'!$AB:$AB,'Test 2 -Proof points - Sonnet'!$AA:$AA)</f>
        <v>#N/A</v>
      </c>
      <c r="BH25" s="74"/>
      <c r="BI25" s="74"/>
      <c r="BJ25" s="74" t="s">
        <v>1461</v>
      </c>
      <c r="BK25" s="30"/>
      <c r="BL25" s="30"/>
      <c r="BM25" s="30"/>
      <c r="BN25" s="30"/>
      <c r="BO25" s="30"/>
      <c r="BP25" s="30"/>
      <c r="BQ25" s="30"/>
      <c r="BR25" s="30"/>
      <c r="BS25" s="30"/>
      <c r="BT25" s="30"/>
      <c r="BU25" s="30"/>
      <c r="BV25" s="113"/>
    </row>
    <row r="26" spans="1:74" ht="27" hidden="1" customHeight="1" x14ac:dyDescent="0.35">
      <c r="A26" s="22">
        <v>1</v>
      </c>
      <c r="B26" s="22" t="s">
        <v>1451</v>
      </c>
      <c r="C26" s="22" t="s">
        <v>1452</v>
      </c>
      <c r="D26" s="22" t="s">
        <v>1224</v>
      </c>
      <c r="E26" s="22" t="s">
        <v>1453</v>
      </c>
      <c r="F26" s="22"/>
      <c r="G26" s="22" t="s">
        <v>1274</v>
      </c>
      <c r="H26" s="21" t="s">
        <v>1292</v>
      </c>
      <c r="I26" s="22"/>
      <c r="J26" s="21" t="s">
        <v>1462</v>
      </c>
      <c r="K26" s="30"/>
      <c r="L26" s="35" t="s">
        <v>1228</v>
      </c>
      <c r="M26" s="35" t="str">
        <f>VLOOKUP(H26,'1_Value &amp; risk levers'!$H$9:$O$1048576,2,FALSE)</f>
        <v>Not practiced / not explored so far</v>
      </c>
      <c r="N26" s="35" t="str">
        <f>VLOOKUP(H26,'1_Value &amp; risk levers'!$H$9:$O$1048576,3,FALSE)</f>
        <v>Ad-hoc initiatives to bundle volume across suppliers</v>
      </c>
      <c r="O26" s="35" t="str">
        <f>VLOOKUP(H26,'1_Value &amp; risk levers'!$H$9:$O$1048576,4,FALSE)</f>
        <v>Suppliers are evaluated for their product coverage at the time of sourcing</v>
      </c>
      <c r="P26" s="35" t="str">
        <f>VLOOKUP(H26,'1_Value &amp; risk levers'!$H$9:$O$1048576,5,FALSE)</f>
        <v>Comprehensive bundling strategy across all vegetable oils - following an optimization approach to identify the right volume mix across suppliers and SKUs</v>
      </c>
      <c r="Q26" s="77">
        <f>IF(VLOOKUP(H26,'1_Value &amp; risk levers'!$H$9:$T$1048576,13,FALSE)=0,"",VLOOKUP(H26,'1_Value &amp; risk levers'!$H$9:$T$1048576,13,FALSE))</f>
        <v>3</v>
      </c>
      <c r="R26" s="128">
        <f t="shared" si="0"/>
        <v>2</v>
      </c>
      <c r="S26" s="128" t="e">
        <f t="shared" si="1"/>
        <v>#DIV/0!</v>
      </c>
      <c r="T26" s="77"/>
      <c r="U26" s="77"/>
      <c r="V26" s="55"/>
      <c r="W26" s="71">
        <v>0.04</v>
      </c>
      <c r="X26" s="71">
        <v>0.1</v>
      </c>
      <c r="Y26" s="71">
        <f>VLOOKUP(H26,'1_Value &amp; risk levers'!$H$9:$O$1048576,8,FALSE)</f>
        <v>0.8</v>
      </c>
      <c r="Z26" s="51">
        <f t="shared" si="2"/>
        <v>7.0000000000000007E-2</v>
      </c>
      <c r="AA26" s="51">
        <f t="shared" si="4"/>
        <v>8.5000000000000006E-2</v>
      </c>
      <c r="AB26" s="55">
        <f t="shared" si="5"/>
        <v>2800000.0000000005</v>
      </c>
      <c r="AC26" s="55">
        <f t="shared" si="6"/>
        <v>3400000.0000000005</v>
      </c>
      <c r="AD26" s="80">
        <f t="shared" si="7"/>
        <v>7</v>
      </c>
      <c r="AE26" s="84">
        <f t="shared" si="8"/>
        <v>0.48864540816326468</v>
      </c>
      <c r="AF26" s="71" t="str">
        <f t="shared" si="9"/>
        <v>Low</v>
      </c>
      <c r="AG26" s="84">
        <f t="shared" si="10"/>
        <v>5.9772908163265304E-2</v>
      </c>
      <c r="AH26" s="84">
        <f t="shared" si="11"/>
        <v>9.5227091836734709E-2</v>
      </c>
      <c r="AI26" s="73">
        <f t="shared" si="12"/>
        <v>2390916.3265306121</v>
      </c>
      <c r="AJ26" s="73">
        <f t="shared" si="13"/>
        <v>3809083.6734693884</v>
      </c>
      <c r="AK26" s="46">
        <f>VLOOKUP(H26,'1_Value &amp; risk levers'!$H$9:$O$1048576,6,FALSE)</f>
        <v>0.02</v>
      </c>
      <c r="AL26" s="46">
        <f>VLOOKUP(H26,'1_Value &amp; risk levers'!$H$9:$O$1048576,7,FALSE)</f>
        <v>0.05</v>
      </c>
      <c r="AM26" s="50">
        <f t="shared" si="14"/>
        <v>2.75E-2</v>
      </c>
      <c r="AN26" s="72">
        <f t="shared" si="15"/>
        <v>0.12790697674418605</v>
      </c>
      <c r="AO26" s="84">
        <f t="shared" si="16"/>
        <v>7.6453719743711434E-3</v>
      </c>
      <c r="AP26" s="84">
        <f t="shared" si="17"/>
        <v>1.2180209420977696E-2</v>
      </c>
      <c r="AQ26" s="55">
        <f t="shared" si="18"/>
        <v>358139.53488372103</v>
      </c>
      <c r="AR26" s="55">
        <f t="shared" si="19"/>
        <v>434883.72093023261</v>
      </c>
      <c r="AS26" s="83">
        <f t="shared" si="3"/>
        <v>41</v>
      </c>
      <c r="AT26" s="50">
        <f t="shared" si="20"/>
        <v>7.1837499999999999</v>
      </c>
      <c r="AU26" s="55" t="str">
        <f t="shared" si="21"/>
        <v>Medium</v>
      </c>
      <c r="AV26" s="34" t="s">
        <v>1506</v>
      </c>
      <c r="AW26" s="111"/>
      <c r="AX26" s="30" t="s">
        <v>1493</v>
      </c>
      <c r="AY26" s="30"/>
      <c r="AZ26" s="85" t="str">
        <f>IF(ISERROR(_xlfn.XLOOKUP(CONCATENATE(A26,"_",AV26),'Reference-Proof pt impact flag'!$I$3:$I$1048576,'Reference-Proof pt impact flag'!$G$3:$G$1048576)),"",_xlfn.XLOOKUP(CONCATENATE(A26,"_",AV26),'Reference-Proof pt impact flag'!$I$3:$I$1048576,'Reference-Proof pt impact flag'!$G$3:$G$1048576))</f>
        <v/>
      </c>
      <c r="BA26" s="74"/>
      <c r="BB26" s="74"/>
      <c r="BC26" s="74"/>
      <c r="BD26" s="74"/>
      <c r="BE26" s="74"/>
      <c r="BF26" s="74" t="e">
        <f>_xlfn.XLOOKUP(CONCATENATE(H26,"_",AV26),'Test 2 - Proof points - GPT5'!$T:$T,'Test 2 - Proof points - GPT5'!$S:$S)</f>
        <v>#N/A</v>
      </c>
      <c r="BG26" s="74" t="e">
        <f>_xlfn.XLOOKUP(CONCATENATE(H26,"_",AV26),'Test 2 -Proof points - Sonnet'!$AB:$AB,'Test 2 -Proof points - Sonnet'!$AA:$AA)</f>
        <v>#N/A</v>
      </c>
      <c r="BH26" s="74"/>
      <c r="BI26" s="74"/>
      <c r="BJ26" s="74" t="s">
        <v>1461</v>
      </c>
      <c r="BK26" s="30"/>
      <c r="BL26" s="30"/>
      <c r="BM26" s="30"/>
      <c r="BN26" s="30"/>
      <c r="BO26" s="30"/>
      <c r="BP26" s="30"/>
      <c r="BQ26" s="30"/>
      <c r="BR26" s="30"/>
      <c r="BS26" s="30"/>
      <c r="BT26" s="30"/>
      <c r="BU26" s="30"/>
      <c r="BV26" s="113"/>
    </row>
    <row r="27" spans="1:74" ht="27" hidden="1" customHeight="1" x14ac:dyDescent="0.35">
      <c r="A27" s="22">
        <v>1</v>
      </c>
      <c r="B27" s="22" t="s">
        <v>1451</v>
      </c>
      <c r="C27" s="22" t="s">
        <v>1452</v>
      </c>
      <c r="D27" s="22" t="s">
        <v>1224</v>
      </c>
      <c r="E27" s="22" t="s">
        <v>1453</v>
      </c>
      <c r="F27" s="22"/>
      <c r="G27" s="22" t="s">
        <v>1274</v>
      </c>
      <c r="H27" s="21" t="s">
        <v>1292</v>
      </c>
      <c r="I27" s="22"/>
      <c r="J27" s="21" t="s">
        <v>1462</v>
      </c>
      <c r="K27" s="30"/>
      <c r="L27" s="35" t="s">
        <v>1228</v>
      </c>
      <c r="M27" s="35" t="str">
        <f>VLOOKUP(H27,'1_Value &amp; risk levers'!$H$9:$O$1048576,2,FALSE)</f>
        <v>Not practiced / not explored so far</v>
      </c>
      <c r="N27" s="35" t="str">
        <f>VLOOKUP(H27,'1_Value &amp; risk levers'!$H$9:$O$1048576,3,FALSE)</f>
        <v>Ad-hoc initiatives to bundle volume across suppliers</v>
      </c>
      <c r="O27" s="35" t="str">
        <f>VLOOKUP(H27,'1_Value &amp; risk levers'!$H$9:$O$1048576,4,FALSE)</f>
        <v>Suppliers are evaluated for their product coverage at the time of sourcing</v>
      </c>
      <c r="P27" s="35" t="str">
        <f>VLOOKUP(H27,'1_Value &amp; risk levers'!$H$9:$O$1048576,5,FALSE)</f>
        <v>Comprehensive bundling strategy across all vegetable oils - following an optimization approach to identify the right volume mix across suppliers and SKUs</v>
      </c>
      <c r="Q27" s="77">
        <f>IF(VLOOKUP(H27,'1_Value &amp; risk levers'!$H$9:$T$1048576,13,FALSE)=0,"",VLOOKUP(H27,'1_Value &amp; risk levers'!$H$9:$T$1048576,13,FALSE))</f>
        <v>3</v>
      </c>
      <c r="R27" s="128">
        <f t="shared" si="0"/>
        <v>2</v>
      </c>
      <c r="S27" s="128" t="e">
        <f t="shared" si="1"/>
        <v>#DIV/0!</v>
      </c>
      <c r="T27" s="77"/>
      <c r="U27" s="77"/>
      <c r="V27" s="55"/>
      <c r="W27" s="71">
        <v>0.04</v>
      </c>
      <c r="X27" s="71">
        <v>0.1</v>
      </c>
      <c r="Y27" s="71">
        <f>VLOOKUP(H27,'1_Value &amp; risk levers'!$H$9:$O$1048576,8,FALSE)</f>
        <v>0.8</v>
      </c>
      <c r="Z27" s="51">
        <f t="shared" si="2"/>
        <v>7.0000000000000007E-2</v>
      </c>
      <c r="AA27" s="51">
        <f t="shared" si="4"/>
        <v>8.5000000000000006E-2</v>
      </c>
      <c r="AB27" s="55">
        <f t="shared" si="5"/>
        <v>2800000.0000000005</v>
      </c>
      <c r="AC27" s="55">
        <f t="shared" si="6"/>
        <v>3400000.0000000005</v>
      </c>
      <c r="AD27" s="80">
        <f t="shared" si="7"/>
        <v>7</v>
      </c>
      <c r="AE27" s="84">
        <f t="shared" si="8"/>
        <v>0.48864540816326468</v>
      </c>
      <c r="AF27" s="71" t="str">
        <f t="shared" si="9"/>
        <v>Low</v>
      </c>
      <c r="AG27" s="84">
        <f t="shared" si="10"/>
        <v>5.9772908163265304E-2</v>
      </c>
      <c r="AH27" s="84">
        <f t="shared" si="11"/>
        <v>9.5227091836734709E-2</v>
      </c>
      <c r="AI27" s="73">
        <f t="shared" si="12"/>
        <v>2390916.3265306121</v>
      </c>
      <c r="AJ27" s="73">
        <f t="shared" si="13"/>
        <v>3809083.6734693884</v>
      </c>
      <c r="AK27" s="46">
        <f>VLOOKUP(H27,'1_Value &amp; risk levers'!$H$9:$O$1048576,6,FALSE)</f>
        <v>0.02</v>
      </c>
      <c r="AL27" s="46">
        <f>VLOOKUP(H27,'1_Value &amp; risk levers'!$H$9:$O$1048576,7,FALSE)</f>
        <v>0.05</v>
      </c>
      <c r="AM27" s="50">
        <f t="shared" si="14"/>
        <v>2.75E-2</v>
      </c>
      <c r="AN27" s="72">
        <f t="shared" si="15"/>
        <v>0.12790697674418605</v>
      </c>
      <c r="AO27" s="84">
        <f t="shared" si="16"/>
        <v>7.6453719743711434E-3</v>
      </c>
      <c r="AP27" s="84">
        <f t="shared" si="17"/>
        <v>1.2180209420977696E-2</v>
      </c>
      <c r="AQ27" s="55">
        <f t="shared" si="18"/>
        <v>358139.53488372103</v>
      </c>
      <c r="AR27" s="55">
        <f t="shared" si="19"/>
        <v>434883.72093023261</v>
      </c>
      <c r="AS27" s="83">
        <f t="shared" si="3"/>
        <v>41</v>
      </c>
      <c r="AT27" s="50">
        <f t="shared" si="20"/>
        <v>7.1837499999999999</v>
      </c>
      <c r="AU27" s="55" t="str">
        <f t="shared" si="21"/>
        <v>Medium</v>
      </c>
      <c r="AV27" s="34" t="s">
        <v>1507</v>
      </c>
      <c r="AW27" s="111"/>
      <c r="AX27" s="30" t="s">
        <v>1493</v>
      </c>
      <c r="AY27" s="30"/>
      <c r="AZ27" s="85" t="str">
        <f>IF(ISERROR(_xlfn.XLOOKUP(CONCATENATE(A27,"_",AV27),'Reference-Proof pt impact flag'!$I$3:$I$1048576,'Reference-Proof pt impact flag'!$G$3:$G$1048576)),"",_xlfn.XLOOKUP(CONCATENATE(A27,"_",AV27),'Reference-Proof pt impact flag'!$I$3:$I$1048576,'Reference-Proof pt impact flag'!$G$3:$G$1048576))</f>
        <v/>
      </c>
      <c r="BA27" s="74"/>
      <c r="BB27" s="74"/>
      <c r="BC27" s="74"/>
      <c r="BD27" s="74"/>
      <c r="BE27" s="74"/>
      <c r="BF27" s="74" t="e">
        <f>_xlfn.XLOOKUP(CONCATENATE(H27,"_",AV27),'Test 2 - Proof points - GPT5'!$T:$T,'Test 2 - Proof points - GPT5'!$S:$S)</f>
        <v>#N/A</v>
      </c>
      <c r="BG27" s="74" t="e">
        <f>_xlfn.XLOOKUP(CONCATENATE(H27,"_",AV27),'Test 2 -Proof points - Sonnet'!$AB:$AB,'Test 2 -Proof points - Sonnet'!$AA:$AA)</f>
        <v>#N/A</v>
      </c>
      <c r="BH27" s="74"/>
      <c r="BI27" s="74"/>
      <c r="BJ27" s="74" t="s">
        <v>1461</v>
      </c>
      <c r="BK27" s="30"/>
      <c r="BL27" s="30"/>
      <c r="BM27" s="30"/>
      <c r="BN27" s="30"/>
      <c r="BO27" s="30"/>
      <c r="BP27" s="30"/>
      <c r="BQ27" s="30"/>
      <c r="BR27" s="30"/>
      <c r="BS27" s="30"/>
      <c r="BT27" s="30"/>
      <c r="BU27" s="30"/>
      <c r="BV27" s="113"/>
    </row>
    <row r="28" spans="1:74" ht="27" hidden="1" customHeight="1" x14ac:dyDescent="0.35">
      <c r="A28" s="22">
        <v>1</v>
      </c>
      <c r="B28" s="22" t="s">
        <v>1451</v>
      </c>
      <c r="C28" s="22" t="s">
        <v>1452</v>
      </c>
      <c r="D28" s="22" t="s">
        <v>1224</v>
      </c>
      <c r="E28" s="22" t="s">
        <v>1453</v>
      </c>
      <c r="F28" s="22"/>
      <c r="G28" s="22" t="s">
        <v>1274</v>
      </c>
      <c r="H28" s="21" t="s">
        <v>1292</v>
      </c>
      <c r="I28" s="22"/>
      <c r="J28" s="21" t="s">
        <v>1462</v>
      </c>
      <c r="K28" s="30"/>
      <c r="L28" s="35" t="s">
        <v>1228</v>
      </c>
      <c r="M28" s="35" t="str">
        <f>VLOOKUP(H28,'1_Value &amp; risk levers'!$H$9:$O$1048576,2,FALSE)</f>
        <v>Not practiced / not explored so far</v>
      </c>
      <c r="N28" s="35" t="str">
        <f>VLOOKUP(H28,'1_Value &amp; risk levers'!$H$9:$O$1048576,3,FALSE)</f>
        <v>Ad-hoc initiatives to bundle volume across suppliers</v>
      </c>
      <c r="O28" s="35" t="str">
        <f>VLOOKUP(H28,'1_Value &amp; risk levers'!$H$9:$O$1048576,4,FALSE)</f>
        <v>Suppliers are evaluated for their product coverage at the time of sourcing</v>
      </c>
      <c r="P28" s="35" t="str">
        <f>VLOOKUP(H28,'1_Value &amp; risk levers'!$H$9:$O$1048576,5,FALSE)</f>
        <v>Comprehensive bundling strategy across all vegetable oils - following an optimization approach to identify the right volume mix across suppliers and SKUs</v>
      </c>
      <c r="Q28" s="77">
        <f>IF(VLOOKUP(H28,'1_Value &amp; risk levers'!$H$9:$T$1048576,13,FALSE)=0,"",VLOOKUP(H28,'1_Value &amp; risk levers'!$H$9:$T$1048576,13,FALSE))</f>
        <v>3</v>
      </c>
      <c r="R28" s="128">
        <f t="shared" si="0"/>
        <v>2</v>
      </c>
      <c r="S28" s="128" t="e">
        <f t="shared" si="1"/>
        <v>#DIV/0!</v>
      </c>
      <c r="T28" s="77"/>
      <c r="U28" s="77"/>
      <c r="V28" s="55"/>
      <c r="W28" s="71">
        <v>0.04</v>
      </c>
      <c r="X28" s="71">
        <v>0.1</v>
      </c>
      <c r="Y28" s="71">
        <f>VLOOKUP(H28,'1_Value &amp; risk levers'!$H$9:$O$1048576,8,FALSE)</f>
        <v>0.8</v>
      </c>
      <c r="Z28" s="51">
        <f t="shared" si="2"/>
        <v>7.0000000000000007E-2</v>
      </c>
      <c r="AA28" s="51">
        <f t="shared" si="4"/>
        <v>8.5000000000000006E-2</v>
      </c>
      <c r="AB28" s="55">
        <f t="shared" si="5"/>
        <v>2800000.0000000005</v>
      </c>
      <c r="AC28" s="55">
        <f t="shared" si="6"/>
        <v>3400000.0000000005</v>
      </c>
      <c r="AD28" s="80">
        <f t="shared" si="7"/>
        <v>7</v>
      </c>
      <c r="AE28" s="84">
        <f t="shared" si="8"/>
        <v>0.48864540816326468</v>
      </c>
      <c r="AF28" s="71" t="str">
        <f t="shared" si="9"/>
        <v>Low</v>
      </c>
      <c r="AG28" s="84">
        <f t="shared" si="10"/>
        <v>5.9772908163265304E-2</v>
      </c>
      <c r="AH28" s="84">
        <f t="shared" si="11"/>
        <v>9.5227091836734709E-2</v>
      </c>
      <c r="AI28" s="73">
        <f t="shared" si="12"/>
        <v>2390916.3265306121</v>
      </c>
      <c r="AJ28" s="73">
        <f t="shared" si="13"/>
        <v>3809083.6734693884</v>
      </c>
      <c r="AK28" s="46">
        <f>VLOOKUP(H28,'1_Value &amp; risk levers'!$H$9:$O$1048576,6,FALSE)</f>
        <v>0.02</v>
      </c>
      <c r="AL28" s="46">
        <f>VLOOKUP(H28,'1_Value &amp; risk levers'!$H$9:$O$1048576,7,FALSE)</f>
        <v>0.05</v>
      </c>
      <c r="AM28" s="50">
        <f t="shared" si="14"/>
        <v>2.75E-2</v>
      </c>
      <c r="AN28" s="72">
        <f t="shared" si="15"/>
        <v>0.12790697674418605</v>
      </c>
      <c r="AO28" s="84">
        <f t="shared" si="16"/>
        <v>7.6453719743711434E-3</v>
      </c>
      <c r="AP28" s="84">
        <f t="shared" si="17"/>
        <v>1.2180209420977696E-2</v>
      </c>
      <c r="AQ28" s="55">
        <f t="shared" si="18"/>
        <v>358139.53488372103</v>
      </c>
      <c r="AR28" s="55">
        <f t="shared" si="19"/>
        <v>434883.72093023261</v>
      </c>
      <c r="AS28" s="83">
        <f t="shared" si="3"/>
        <v>41</v>
      </c>
      <c r="AT28" s="50">
        <f t="shared" si="20"/>
        <v>7.1837499999999999</v>
      </c>
      <c r="AU28" s="55" t="str">
        <f t="shared" si="21"/>
        <v>Medium</v>
      </c>
      <c r="AV28" s="34" t="s">
        <v>1508</v>
      </c>
      <c r="AW28" s="111"/>
      <c r="AX28" s="30" t="s">
        <v>1493</v>
      </c>
      <c r="AY28" s="30"/>
      <c r="AZ28" s="85" t="str">
        <f>IF(ISERROR(_xlfn.XLOOKUP(CONCATENATE(A28,"_",AV28),'Reference-Proof pt impact flag'!$I$3:$I$1048576,'Reference-Proof pt impact flag'!$G$3:$G$1048576)),"",_xlfn.XLOOKUP(CONCATENATE(A28,"_",AV28),'Reference-Proof pt impact flag'!$I$3:$I$1048576,'Reference-Proof pt impact flag'!$G$3:$G$1048576))</f>
        <v/>
      </c>
      <c r="BA28" s="74"/>
      <c r="BB28" s="74"/>
      <c r="BC28" s="74"/>
      <c r="BD28" s="74"/>
      <c r="BE28" s="74"/>
      <c r="BF28" s="74" t="e">
        <f>_xlfn.XLOOKUP(CONCATENATE(H28,"_",AV28),'Test 2 - Proof points - GPT5'!$T:$T,'Test 2 - Proof points - GPT5'!$S:$S)</f>
        <v>#N/A</v>
      </c>
      <c r="BG28" s="74" t="e">
        <f>_xlfn.XLOOKUP(CONCATENATE(H28,"_",AV28),'Test 2 -Proof points - Sonnet'!$AB:$AB,'Test 2 -Proof points - Sonnet'!$AA:$AA)</f>
        <v>#N/A</v>
      </c>
      <c r="BH28" s="74"/>
      <c r="BI28" s="74"/>
      <c r="BJ28" s="74" t="s">
        <v>1461</v>
      </c>
      <c r="BK28" s="30"/>
      <c r="BL28" s="30"/>
      <c r="BM28" s="30"/>
      <c r="BN28" s="30"/>
      <c r="BO28" s="30"/>
      <c r="BP28" s="30"/>
      <c r="BQ28" s="30"/>
      <c r="BR28" s="30"/>
      <c r="BS28" s="30"/>
      <c r="BT28" s="30"/>
      <c r="BU28" s="30"/>
      <c r="BV28" s="113"/>
    </row>
    <row r="29" spans="1:74" ht="27" hidden="1" customHeight="1" x14ac:dyDescent="0.35">
      <c r="A29" s="22">
        <v>1</v>
      </c>
      <c r="B29" s="22" t="s">
        <v>1451</v>
      </c>
      <c r="C29" s="22" t="s">
        <v>1452</v>
      </c>
      <c r="D29" s="22" t="s">
        <v>1224</v>
      </c>
      <c r="E29" s="22" t="s">
        <v>1453</v>
      </c>
      <c r="F29" s="22"/>
      <c r="G29" s="22" t="s">
        <v>1274</v>
      </c>
      <c r="H29" s="21" t="s">
        <v>1292</v>
      </c>
      <c r="I29" s="22"/>
      <c r="J29" s="21" t="s">
        <v>1462</v>
      </c>
      <c r="K29" s="30"/>
      <c r="L29" s="35" t="s">
        <v>1228</v>
      </c>
      <c r="M29" s="35" t="str">
        <f>VLOOKUP(H29,'1_Value &amp; risk levers'!$H$9:$O$1048576,2,FALSE)</f>
        <v>Not practiced / not explored so far</v>
      </c>
      <c r="N29" s="35" t="str">
        <f>VLOOKUP(H29,'1_Value &amp; risk levers'!$H$9:$O$1048576,3,FALSE)</f>
        <v>Ad-hoc initiatives to bundle volume across suppliers</v>
      </c>
      <c r="O29" s="35" t="str">
        <f>VLOOKUP(H29,'1_Value &amp; risk levers'!$H$9:$O$1048576,4,FALSE)</f>
        <v>Suppliers are evaluated for their product coverage at the time of sourcing</v>
      </c>
      <c r="P29" s="35" t="str">
        <f>VLOOKUP(H29,'1_Value &amp; risk levers'!$H$9:$O$1048576,5,FALSE)</f>
        <v>Comprehensive bundling strategy across all vegetable oils - following an optimization approach to identify the right volume mix across suppliers and SKUs</v>
      </c>
      <c r="Q29" s="77">
        <f>IF(VLOOKUP(H29,'1_Value &amp; risk levers'!$H$9:$T$1048576,13,FALSE)=0,"",VLOOKUP(H29,'1_Value &amp; risk levers'!$H$9:$T$1048576,13,FALSE))</f>
        <v>3</v>
      </c>
      <c r="R29" s="128">
        <f t="shared" si="0"/>
        <v>2</v>
      </c>
      <c r="S29" s="128" t="e">
        <f t="shared" si="1"/>
        <v>#DIV/0!</v>
      </c>
      <c r="T29" s="77"/>
      <c r="U29" s="77"/>
      <c r="V29" s="55"/>
      <c r="W29" s="71">
        <v>0.04</v>
      </c>
      <c r="X29" s="71">
        <v>0.1</v>
      </c>
      <c r="Y29" s="71">
        <f>VLOOKUP(H29,'1_Value &amp; risk levers'!$H$9:$O$1048576,8,FALSE)</f>
        <v>0.8</v>
      </c>
      <c r="Z29" s="51">
        <f t="shared" si="2"/>
        <v>7.0000000000000007E-2</v>
      </c>
      <c r="AA29" s="51">
        <f t="shared" si="4"/>
        <v>8.5000000000000006E-2</v>
      </c>
      <c r="AB29" s="55">
        <f t="shared" si="5"/>
        <v>2800000.0000000005</v>
      </c>
      <c r="AC29" s="55">
        <f t="shared" si="6"/>
        <v>3400000.0000000005</v>
      </c>
      <c r="AD29" s="80">
        <f t="shared" si="7"/>
        <v>7</v>
      </c>
      <c r="AE29" s="84">
        <f t="shared" si="8"/>
        <v>0.48864540816326468</v>
      </c>
      <c r="AF29" s="71" t="str">
        <f t="shared" si="9"/>
        <v>Low</v>
      </c>
      <c r="AG29" s="84">
        <f t="shared" si="10"/>
        <v>5.9772908163265304E-2</v>
      </c>
      <c r="AH29" s="84">
        <f t="shared" si="11"/>
        <v>9.5227091836734709E-2</v>
      </c>
      <c r="AI29" s="73">
        <f t="shared" si="12"/>
        <v>2390916.3265306121</v>
      </c>
      <c r="AJ29" s="73">
        <f t="shared" si="13"/>
        <v>3809083.6734693884</v>
      </c>
      <c r="AK29" s="46">
        <f>VLOOKUP(H29,'1_Value &amp; risk levers'!$H$9:$O$1048576,6,FALSE)</f>
        <v>0.02</v>
      </c>
      <c r="AL29" s="46">
        <f>VLOOKUP(H29,'1_Value &amp; risk levers'!$H$9:$O$1048576,7,FALSE)</f>
        <v>0.05</v>
      </c>
      <c r="AM29" s="50">
        <f t="shared" si="14"/>
        <v>2.75E-2</v>
      </c>
      <c r="AN29" s="72">
        <f t="shared" si="15"/>
        <v>0.12790697674418605</v>
      </c>
      <c r="AO29" s="84">
        <f t="shared" si="16"/>
        <v>7.6453719743711434E-3</v>
      </c>
      <c r="AP29" s="84">
        <f t="shared" si="17"/>
        <v>1.2180209420977696E-2</v>
      </c>
      <c r="AQ29" s="55">
        <f t="shared" si="18"/>
        <v>358139.53488372103</v>
      </c>
      <c r="AR29" s="55">
        <f t="shared" si="19"/>
        <v>434883.72093023261</v>
      </c>
      <c r="AS29" s="83">
        <f t="shared" si="3"/>
        <v>41</v>
      </c>
      <c r="AT29" s="50">
        <f t="shared" si="20"/>
        <v>7.1837499999999999</v>
      </c>
      <c r="AU29" s="55" t="str">
        <f t="shared" si="21"/>
        <v>Medium</v>
      </c>
      <c r="AV29" s="34" t="s">
        <v>1509</v>
      </c>
      <c r="AW29" s="111"/>
      <c r="AX29" s="30" t="s">
        <v>1493</v>
      </c>
      <c r="AY29" s="30"/>
      <c r="AZ29" s="85" t="str">
        <f>IF(ISERROR(_xlfn.XLOOKUP(CONCATENATE(A29,"_",AV29),'Reference-Proof pt impact flag'!$I$3:$I$1048576,'Reference-Proof pt impact flag'!$G$3:$G$1048576)),"",_xlfn.XLOOKUP(CONCATENATE(A29,"_",AV29),'Reference-Proof pt impact flag'!$I$3:$I$1048576,'Reference-Proof pt impact flag'!$G$3:$G$1048576))</f>
        <v/>
      </c>
      <c r="BA29" s="74"/>
      <c r="BB29" s="74"/>
      <c r="BC29" s="74"/>
      <c r="BD29" s="74"/>
      <c r="BE29" s="74"/>
      <c r="BF29" s="74" t="e">
        <f>_xlfn.XLOOKUP(CONCATENATE(H29,"_",AV29),'Test 2 - Proof points - GPT5'!$T:$T,'Test 2 - Proof points - GPT5'!$S:$S)</f>
        <v>#N/A</v>
      </c>
      <c r="BG29" s="74" t="e">
        <f>_xlfn.XLOOKUP(CONCATENATE(H29,"_",AV29),'Test 2 -Proof points - Sonnet'!$AB:$AB,'Test 2 -Proof points - Sonnet'!$AA:$AA)</f>
        <v>#N/A</v>
      </c>
      <c r="BH29" s="74"/>
      <c r="BI29" s="74"/>
      <c r="BJ29" s="74" t="s">
        <v>1461</v>
      </c>
      <c r="BK29" s="30"/>
      <c r="BL29" s="30"/>
      <c r="BM29" s="30"/>
      <c r="BN29" s="30"/>
      <c r="BO29" s="30"/>
      <c r="BP29" s="30"/>
      <c r="BQ29" s="30"/>
      <c r="BR29" s="30"/>
      <c r="BS29" s="30"/>
      <c r="BT29" s="30"/>
      <c r="BU29" s="30"/>
      <c r="BV29" s="113"/>
    </row>
    <row r="30" spans="1:74" ht="27" hidden="1" customHeight="1" x14ac:dyDescent="0.35">
      <c r="A30" s="22">
        <v>1</v>
      </c>
      <c r="B30" s="22" t="s">
        <v>1451</v>
      </c>
      <c r="C30" s="22" t="s">
        <v>1452</v>
      </c>
      <c r="D30" s="22" t="s">
        <v>1224</v>
      </c>
      <c r="E30" s="22" t="s">
        <v>1453</v>
      </c>
      <c r="F30" s="22"/>
      <c r="G30" s="22" t="s">
        <v>1274</v>
      </c>
      <c r="H30" s="21" t="s">
        <v>1292</v>
      </c>
      <c r="I30" s="22"/>
      <c r="J30" s="21" t="s">
        <v>1462</v>
      </c>
      <c r="K30" s="30"/>
      <c r="L30" s="35" t="s">
        <v>1228</v>
      </c>
      <c r="M30" s="35" t="str">
        <f>VLOOKUP(H30,'1_Value &amp; risk levers'!$H$9:$O$1048576,2,FALSE)</f>
        <v>Not practiced / not explored so far</v>
      </c>
      <c r="N30" s="35" t="str">
        <f>VLOOKUP(H30,'1_Value &amp; risk levers'!$H$9:$O$1048576,3,FALSE)</f>
        <v>Ad-hoc initiatives to bundle volume across suppliers</v>
      </c>
      <c r="O30" s="35" t="str">
        <f>VLOOKUP(H30,'1_Value &amp; risk levers'!$H$9:$O$1048576,4,FALSE)</f>
        <v>Suppliers are evaluated for their product coverage at the time of sourcing</v>
      </c>
      <c r="P30" s="35" t="str">
        <f>VLOOKUP(H30,'1_Value &amp; risk levers'!$H$9:$O$1048576,5,FALSE)</f>
        <v>Comprehensive bundling strategy across all vegetable oils - following an optimization approach to identify the right volume mix across suppliers and SKUs</v>
      </c>
      <c r="Q30" s="128">
        <f>IF(VLOOKUP(H30,'1_Value &amp; risk levers'!$H$9:$T$1048576,13,FALSE)=0,"",VLOOKUP(H30,'1_Value &amp; risk levers'!$H$9:$T$1048576,13,FALSE))</f>
        <v>3</v>
      </c>
      <c r="R30" s="128">
        <f t="shared" si="0"/>
        <v>2</v>
      </c>
      <c r="S30" s="128" t="e">
        <f t="shared" si="1"/>
        <v>#DIV/0!</v>
      </c>
      <c r="T30" s="77"/>
      <c r="U30" s="77"/>
      <c r="V30" s="55"/>
      <c r="W30" s="71">
        <v>0.04</v>
      </c>
      <c r="X30" s="71">
        <v>0.1</v>
      </c>
      <c r="Y30" s="71">
        <f>VLOOKUP(H30,'1_Value &amp; risk levers'!$H$9:$O$1048576,8,FALSE)</f>
        <v>0.8</v>
      </c>
      <c r="Z30" s="51">
        <f t="shared" si="2"/>
        <v>7.0000000000000007E-2</v>
      </c>
      <c r="AA30" s="51">
        <f t="shared" si="4"/>
        <v>8.5000000000000006E-2</v>
      </c>
      <c r="AB30" s="55">
        <f t="shared" si="5"/>
        <v>2800000.0000000005</v>
      </c>
      <c r="AC30" s="55">
        <f t="shared" si="6"/>
        <v>3400000.0000000005</v>
      </c>
      <c r="AD30" s="80">
        <f t="shared" si="7"/>
        <v>7</v>
      </c>
      <c r="AE30" s="84">
        <f t="shared" si="8"/>
        <v>0.48864540816326468</v>
      </c>
      <c r="AF30" s="71" t="str">
        <f t="shared" si="9"/>
        <v>Low</v>
      </c>
      <c r="AG30" s="84">
        <f t="shared" si="10"/>
        <v>5.9772908163265304E-2</v>
      </c>
      <c r="AH30" s="84">
        <f t="shared" si="11"/>
        <v>9.5227091836734709E-2</v>
      </c>
      <c r="AI30" s="73">
        <f t="shared" si="12"/>
        <v>2390916.3265306121</v>
      </c>
      <c r="AJ30" s="73">
        <f t="shared" si="13"/>
        <v>3809083.6734693884</v>
      </c>
      <c r="AK30" s="46">
        <f>VLOOKUP(H30,'1_Value &amp; risk levers'!$H$9:$O$1048576,6,FALSE)</f>
        <v>0.02</v>
      </c>
      <c r="AL30" s="46">
        <f>VLOOKUP(H30,'1_Value &amp; risk levers'!$H$9:$O$1048576,7,FALSE)</f>
        <v>0.05</v>
      </c>
      <c r="AM30" s="50">
        <f t="shared" si="14"/>
        <v>2.75E-2</v>
      </c>
      <c r="AN30" s="72">
        <f t="shared" si="15"/>
        <v>0.12790697674418605</v>
      </c>
      <c r="AO30" s="84">
        <f t="shared" si="16"/>
        <v>7.6453719743711434E-3</v>
      </c>
      <c r="AP30" s="84">
        <f t="shared" si="17"/>
        <v>1.2180209420977696E-2</v>
      </c>
      <c r="AQ30" s="55">
        <f t="shared" si="18"/>
        <v>358139.53488372103</v>
      </c>
      <c r="AR30" s="55">
        <f t="shared" si="19"/>
        <v>434883.72093023261</v>
      </c>
      <c r="AS30" s="83">
        <f t="shared" si="3"/>
        <v>41</v>
      </c>
      <c r="AT30" s="50">
        <f t="shared" si="20"/>
        <v>7.1837499999999999</v>
      </c>
      <c r="AU30" s="55" t="str">
        <f t="shared" si="21"/>
        <v>Medium</v>
      </c>
      <c r="AV30" s="34" t="s">
        <v>1510</v>
      </c>
      <c r="AW30" s="111"/>
      <c r="AX30" s="30" t="s">
        <v>1493</v>
      </c>
      <c r="AY30" s="30"/>
      <c r="AZ30" s="85" t="str">
        <f>IF(ISERROR(_xlfn.XLOOKUP(CONCATENATE(A30,"_",AV30),'Reference-Proof pt impact flag'!$I$3:$I$1048576,'Reference-Proof pt impact flag'!$G$3:$G$1048576)),"",_xlfn.XLOOKUP(CONCATENATE(A30,"_",AV30),'Reference-Proof pt impact flag'!$I$3:$I$1048576,'Reference-Proof pt impact flag'!$G$3:$G$1048576))</f>
        <v/>
      </c>
      <c r="BA30" s="74"/>
      <c r="BB30" s="74"/>
      <c r="BC30" s="74"/>
      <c r="BD30" s="74"/>
      <c r="BE30" s="74"/>
      <c r="BF30" s="74" t="e">
        <f>_xlfn.XLOOKUP(CONCATENATE(H30,"_",AV30),'Test 2 - Proof points - GPT5'!$T:$T,'Test 2 - Proof points - GPT5'!$S:$S)</f>
        <v>#N/A</v>
      </c>
      <c r="BG30" s="74" t="e">
        <f>_xlfn.XLOOKUP(CONCATENATE(H30,"_",AV30),'Test 2 -Proof points - Sonnet'!$AB:$AB,'Test 2 -Proof points - Sonnet'!$AA:$AA)</f>
        <v>#N/A</v>
      </c>
      <c r="BH30" s="74"/>
      <c r="BI30" s="74"/>
      <c r="BJ30" s="74" t="s">
        <v>1461</v>
      </c>
      <c r="BK30" s="30"/>
      <c r="BL30" s="30"/>
      <c r="BM30" s="30"/>
      <c r="BN30" s="30"/>
      <c r="BO30" s="30"/>
      <c r="BP30" s="30"/>
      <c r="BQ30" s="30"/>
      <c r="BR30" s="30"/>
      <c r="BS30" s="30"/>
      <c r="BT30" s="30"/>
      <c r="BU30" s="30"/>
      <c r="BV30" s="113"/>
    </row>
    <row r="31" spans="1:74" ht="27" hidden="1" customHeight="1" x14ac:dyDescent="0.35">
      <c r="A31" s="22">
        <v>1</v>
      </c>
      <c r="B31" s="22" t="s">
        <v>1451</v>
      </c>
      <c r="C31" s="22" t="s">
        <v>1452</v>
      </c>
      <c r="D31" s="22" t="s">
        <v>1224</v>
      </c>
      <c r="E31" s="22" t="s">
        <v>1453</v>
      </c>
      <c r="F31" s="22"/>
      <c r="G31" s="22" t="s">
        <v>1274</v>
      </c>
      <c r="H31" s="21" t="s">
        <v>1292</v>
      </c>
      <c r="I31" s="22"/>
      <c r="J31" s="21" t="s">
        <v>1462</v>
      </c>
      <c r="K31" s="30"/>
      <c r="L31" s="35" t="s">
        <v>1228</v>
      </c>
      <c r="M31" s="35" t="str">
        <f>VLOOKUP(H31,'1_Value &amp; risk levers'!$H$9:$O$1048576,2,FALSE)</f>
        <v>Not practiced / not explored so far</v>
      </c>
      <c r="N31" s="35" t="str">
        <f>VLOOKUP(H31,'1_Value &amp; risk levers'!$H$9:$O$1048576,3,FALSE)</f>
        <v>Ad-hoc initiatives to bundle volume across suppliers</v>
      </c>
      <c r="O31" s="35" t="str">
        <f>VLOOKUP(H31,'1_Value &amp; risk levers'!$H$9:$O$1048576,4,FALSE)</f>
        <v>Suppliers are evaluated for their product coverage at the time of sourcing</v>
      </c>
      <c r="P31" s="35" t="str">
        <f>VLOOKUP(H31,'1_Value &amp; risk levers'!$H$9:$O$1048576,5,FALSE)</f>
        <v>Comprehensive bundling strategy across all vegetable oils - following an optimization approach to identify the right volume mix across suppliers and SKUs</v>
      </c>
      <c r="Q31" s="77">
        <f>IF(VLOOKUP(H31,'1_Value &amp; risk levers'!$H$9:$T$1048576,13,FALSE)=0,"",VLOOKUP(H31,'1_Value &amp; risk levers'!$H$9:$T$1048576,13,FALSE))</f>
        <v>3</v>
      </c>
      <c r="R31" s="128">
        <f t="shared" si="0"/>
        <v>2</v>
      </c>
      <c r="S31" s="128" t="e">
        <f t="shared" si="1"/>
        <v>#DIV/0!</v>
      </c>
      <c r="T31" s="77"/>
      <c r="U31" s="77"/>
      <c r="V31" s="55"/>
      <c r="W31" s="71">
        <v>0.04</v>
      </c>
      <c r="X31" s="71">
        <v>0.1</v>
      </c>
      <c r="Y31" s="71">
        <f>VLOOKUP(H31,'1_Value &amp; risk levers'!$H$9:$O$1048576,8,FALSE)</f>
        <v>0.8</v>
      </c>
      <c r="Z31" s="51">
        <f t="shared" si="2"/>
        <v>7.0000000000000007E-2</v>
      </c>
      <c r="AA31" s="51">
        <f t="shared" si="4"/>
        <v>8.5000000000000006E-2</v>
      </c>
      <c r="AB31" s="55">
        <f t="shared" si="5"/>
        <v>2800000.0000000005</v>
      </c>
      <c r="AC31" s="55">
        <f t="shared" si="6"/>
        <v>3400000.0000000005</v>
      </c>
      <c r="AD31" s="80">
        <f t="shared" si="7"/>
        <v>7</v>
      </c>
      <c r="AE31" s="84">
        <f t="shared" si="8"/>
        <v>0.48864540816326468</v>
      </c>
      <c r="AF31" s="71" t="str">
        <f t="shared" si="9"/>
        <v>Low</v>
      </c>
      <c r="AG31" s="84">
        <f t="shared" si="10"/>
        <v>5.9772908163265304E-2</v>
      </c>
      <c r="AH31" s="84">
        <f t="shared" si="11"/>
        <v>9.5227091836734709E-2</v>
      </c>
      <c r="AI31" s="73">
        <f t="shared" si="12"/>
        <v>2390916.3265306121</v>
      </c>
      <c r="AJ31" s="73">
        <f t="shared" si="13"/>
        <v>3809083.6734693884</v>
      </c>
      <c r="AK31" s="46">
        <f>VLOOKUP(H31,'1_Value &amp; risk levers'!$H$9:$O$1048576,6,FALSE)</f>
        <v>0.02</v>
      </c>
      <c r="AL31" s="46">
        <f>VLOOKUP(H31,'1_Value &amp; risk levers'!$H$9:$O$1048576,7,FALSE)</f>
        <v>0.05</v>
      </c>
      <c r="AM31" s="50">
        <f t="shared" si="14"/>
        <v>2.75E-2</v>
      </c>
      <c r="AN31" s="72">
        <f t="shared" si="15"/>
        <v>0.12790697674418605</v>
      </c>
      <c r="AO31" s="84">
        <f t="shared" si="16"/>
        <v>7.6453719743711434E-3</v>
      </c>
      <c r="AP31" s="84">
        <f t="shared" si="17"/>
        <v>1.2180209420977696E-2</v>
      </c>
      <c r="AQ31" s="55">
        <f t="shared" si="18"/>
        <v>358139.53488372103</v>
      </c>
      <c r="AR31" s="55">
        <f t="shared" si="19"/>
        <v>434883.72093023261</v>
      </c>
      <c r="AS31" s="83">
        <f t="shared" si="3"/>
        <v>41</v>
      </c>
      <c r="AT31" s="50">
        <f t="shared" si="20"/>
        <v>7.1837499999999999</v>
      </c>
      <c r="AU31" s="55" t="str">
        <f t="shared" si="21"/>
        <v>Medium</v>
      </c>
      <c r="AV31" s="34" t="s">
        <v>1511</v>
      </c>
      <c r="AW31" s="111"/>
      <c r="AX31" s="30" t="s">
        <v>1493</v>
      </c>
      <c r="AY31" s="30"/>
      <c r="AZ31" s="85" t="str">
        <f>IF(ISERROR(_xlfn.XLOOKUP(CONCATENATE(A31,"_",AV31),'Reference-Proof pt impact flag'!$I$3:$I$1048576,'Reference-Proof pt impact flag'!$G$3:$G$1048576)),"",_xlfn.XLOOKUP(CONCATENATE(A31,"_",AV31),'Reference-Proof pt impact flag'!$I$3:$I$1048576,'Reference-Proof pt impact flag'!$G$3:$G$1048576))</f>
        <v/>
      </c>
      <c r="BA31" s="74"/>
      <c r="BB31" s="74"/>
      <c r="BC31" s="74"/>
      <c r="BD31" s="74"/>
      <c r="BE31" s="74"/>
      <c r="BF31" s="74" t="e">
        <f>_xlfn.XLOOKUP(CONCATENATE(H31,"_",AV31),'Test 2 - Proof points - GPT5'!$T:$T,'Test 2 - Proof points - GPT5'!$S:$S)</f>
        <v>#N/A</v>
      </c>
      <c r="BG31" s="74" t="e">
        <f>_xlfn.XLOOKUP(CONCATENATE(H31,"_",AV31),'Test 2 -Proof points - Sonnet'!$AB:$AB,'Test 2 -Proof points - Sonnet'!$AA:$AA)</f>
        <v>#N/A</v>
      </c>
      <c r="BH31" s="74"/>
      <c r="BI31" s="74"/>
      <c r="BJ31" s="74" t="s">
        <v>1461</v>
      </c>
      <c r="BK31" s="30"/>
      <c r="BL31" s="30"/>
      <c r="BM31" s="30"/>
      <c r="BN31" s="30"/>
      <c r="BO31" s="30"/>
      <c r="BP31" s="30"/>
      <c r="BQ31" s="30"/>
      <c r="BR31" s="30"/>
      <c r="BS31" s="30"/>
      <c r="BT31" s="30"/>
      <c r="BU31" s="30"/>
      <c r="BV31" s="113"/>
    </row>
    <row r="32" spans="1:74" ht="27" hidden="1" customHeight="1" x14ac:dyDescent="0.35">
      <c r="A32" s="22">
        <v>1</v>
      </c>
      <c r="B32" s="22" t="s">
        <v>1451</v>
      </c>
      <c r="C32" s="22" t="s">
        <v>1452</v>
      </c>
      <c r="D32" s="22" t="s">
        <v>1224</v>
      </c>
      <c r="E32" s="22" t="s">
        <v>1453</v>
      </c>
      <c r="F32" s="22"/>
      <c r="G32" s="22" t="s">
        <v>1274</v>
      </c>
      <c r="H32" s="21" t="s">
        <v>1292</v>
      </c>
      <c r="I32" s="22"/>
      <c r="J32" s="21" t="s">
        <v>1462</v>
      </c>
      <c r="K32" s="30"/>
      <c r="L32" s="35" t="s">
        <v>1228</v>
      </c>
      <c r="M32" s="35" t="str">
        <f>VLOOKUP(H32,'1_Value &amp; risk levers'!$H$9:$O$1048576,2,FALSE)</f>
        <v>Not practiced / not explored so far</v>
      </c>
      <c r="N32" s="35" t="str">
        <f>VLOOKUP(H32,'1_Value &amp; risk levers'!$H$9:$O$1048576,3,FALSE)</f>
        <v>Ad-hoc initiatives to bundle volume across suppliers</v>
      </c>
      <c r="O32" s="35" t="str">
        <f>VLOOKUP(H32,'1_Value &amp; risk levers'!$H$9:$O$1048576,4,FALSE)</f>
        <v>Suppliers are evaluated for their product coverage at the time of sourcing</v>
      </c>
      <c r="P32" s="35" t="str">
        <f>VLOOKUP(H32,'1_Value &amp; risk levers'!$H$9:$O$1048576,5,FALSE)</f>
        <v>Comprehensive bundling strategy across all vegetable oils - following an optimization approach to identify the right volume mix across suppliers and SKUs</v>
      </c>
      <c r="Q32" s="77">
        <f>IF(VLOOKUP(H32,'1_Value &amp; risk levers'!$H$9:$T$1048576,13,FALSE)=0,"",VLOOKUP(H32,'1_Value &amp; risk levers'!$H$9:$T$1048576,13,FALSE))</f>
        <v>3</v>
      </c>
      <c r="R32" s="128">
        <f t="shared" si="0"/>
        <v>2</v>
      </c>
      <c r="S32" s="128" t="e">
        <f t="shared" si="1"/>
        <v>#DIV/0!</v>
      </c>
      <c r="T32" s="77"/>
      <c r="U32" s="77"/>
      <c r="V32" s="55"/>
      <c r="W32" s="71">
        <v>0.04</v>
      </c>
      <c r="X32" s="71">
        <v>0.1</v>
      </c>
      <c r="Y32" s="71">
        <f>VLOOKUP(H32,'1_Value &amp; risk levers'!$H$9:$O$1048576,8,FALSE)</f>
        <v>0.8</v>
      </c>
      <c r="Z32" s="51">
        <f t="shared" si="2"/>
        <v>7.0000000000000007E-2</v>
      </c>
      <c r="AA32" s="51">
        <f t="shared" si="4"/>
        <v>8.5000000000000006E-2</v>
      </c>
      <c r="AB32" s="55">
        <f t="shared" si="5"/>
        <v>2800000.0000000005</v>
      </c>
      <c r="AC32" s="55">
        <f t="shared" si="6"/>
        <v>3400000.0000000005</v>
      </c>
      <c r="AD32" s="80">
        <f t="shared" si="7"/>
        <v>7</v>
      </c>
      <c r="AE32" s="84">
        <f t="shared" si="8"/>
        <v>0.48864540816326468</v>
      </c>
      <c r="AF32" s="71" t="str">
        <f t="shared" si="9"/>
        <v>Low</v>
      </c>
      <c r="AG32" s="84">
        <f t="shared" si="10"/>
        <v>5.9772908163265304E-2</v>
      </c>
      <c r="AH32" s="84">
        <f t="shared" si="11"/>
        <v>9.5227091836734709E-2</v>
      </c>
      <c r="AI32" s="73">
        <f t="shared" si="12"/>
        <v>2390916.3265306121</v>
      </c>
      <c r="AJ32" s="73">
        <f t="shared" si="13"/>
        <v>3809083.6734693884</v>
      </c>
      <c r="AK32" s="46">
        <f>VLOOKUP(H32,'1_Value &amp; risk levers'!$H$9:$O$1048576,6,FALSE)</f>
        <v>0.02</v>
      </c>
      <c r="AL32" s="46">
        <f>VLOOKUP(H32,'1_Value &amp; risk levers'!$H$9:$O$1048576,7,FALSE)</f>
        <v>0.05</v>
      </c>
      <c r="AM32" s="50">
        <f t="shared" si="14"/>
        <v>2.75E-2</v>
      </c>
      <c r="AN32" s="72">
        <f t="shared" si="15"/>
        <v>0.12790697674418605</v>
      </c>
      <c r="AO32" s="84">
        <f t="shared" si="16"/>
        <v>7.6453719743711434E-3</v>
      </c>
      <c r="AP32" s="84">
        <f t="shared" si="17"/>
        <v>1.2180209420977696E-2</v>
      </c>
      <c r="AQ32" s="55">
        <f t="shared" si="18"/>
        <v>358139.53488372103</v>
      </c>
      <c r="AR32" s="55">
        <f t="shared" si="19"/>
        <v>434883.72093023261</v>
      </c>
      <c r="AS32" s="83">
        <f t="shared" si="3"/>
        <v>41</v>
      </c>
      <c r="AT32" s="50">
        <f t="shared" si="20"/>
        <v>7.1837499999999999</v>
      </c>
      <c r="AU32" s="55" t="str">
        <f t="shared" si="21"/>
        <v>Medium</v>
      </c>
      <c r="AV32" s="34" t="s">
        <v>1512</v>
      </c>
      <c r="AW32" s="111"/>
      <c r="AX32" s="30" t="s">
        <v>1493</v>
      </c>
      <c r="AY32" s="30"/>
      <c r="AZ32" s="85" t="str">
        <f>IF(ISERROR(_xlfn.XLOOKUP(CONCATENATE(A32,"_",AV32),'Reference-Proof pt impact flag'!$I$3:$I$1048576,'Reference-Proof pt impact flag'!$G$3:$G$1048576)),"",_xlfn.XLOOKUP(CONCATENATE(A32,"_",AV32),'Reference-Proof pt impact flag'!$I$3:$I$1048576,'Reference-Proof pt impact flag'!$G$3:$G$1048576))</f>
        <v/>
      </c>
      <c r="BA32" s="74"/>
      <c r="BB32" s="74"/>
      <c r="BC32" s="74"/>
      <c r="BD32" s="74"/>
      <c r="BE32" s="74"/>
      <c r="BF32" s="74" t="e">
        <f>_xlfn.XLOOKUP(CONCATENATE(H32,"_",AV32),'Test 2 - Proof points - GPT5'!$T:$T,'Test 2 - Proof points - GPT5'!$S:$S)</f>
        <v>#N/A</v>
      </c>
      <c r="BG32" s="74" t="e">
        <f>_xlfn.XLOOKUP(CONCATENATE(H32,"_",AV32),'Test 2 -Proof points - Sonnet'!$AB:$AB,'Test 2 -Proof points - Sonnet'!$AA:$AA)</f>
        <v>#N/A</v>
      </c>
      <c r="BH32" s="74"/>
      <c r="BI32" s="74"/>
      <c r="BJ32" s="74" t="s">
        <v>1461</v>
      </c>
      <c r="BK32" s="30"/>
      <c r="BL32" s="30"/>
      <c r="BM32" s="30"/>
      <c r="BN32" s="30"/>
      <c r="BO32" s="30"/>
      <c r="BP32" s="30"/>
      <c r="BQ32" s="30"/>
      <c r="BR32" s="30"/>
      <c r="BS32" s="30"/>
      <c r="BT32" s="30"/>
      <c r="BU32" s="30"/>
      <c r="BV32" s="113"/>
    </row>
    <row r="33" spans="1:74" ht="27" hidden="1" customHeight="1" x14ac:dyDescent="0.35">
      <c r="A33" s="22">
        <v>1</v>
      </c>
      <c r="B33" s="22" t="s">
        <v>1451</v>
      </c>
      <c r="C33" s="22" t="s">
        <v>1452</v>
      </c>
      <c r="D33" s="22" t="s">
        <v>1224</v>
      </c>
      <c r="E33" s="22" t="s">
        <v>1453</v>
      </c>
      <c r="F33" s="22"/>
      <c r="G33" s="22" t="s">
        <v>1274</v>
      </c>
      <c r="H33" s="21" t="s">
        <v>1292</v>
      </c>
      <c r="I33" s="22"/>
      <c r="J33" s="21" t="s">
        <v>1462</v>
      </c>
      <c r="K33" s="30"/>
      <c r="L33" s="35" t="s">
        <v>1228</v>
      </c>
      <c r="M33" s="35" t="str">
        <f>VLOOKUP(H33,'1_Value &amp; risk levers'!$H$9:$O$1048576,2,FALSE)</f>
        <v>Not practiced / not explored so far</v>
      </c>
      <c r="N33" s="35" t="str">
        <f>VLOOKUP(H33,'1_Value &amp; risk levers'!$H$9:$O$1048576,3,FALSE)</f>
        <v>Ad-hoc initiatives to bundle volume across suppliers</v>
      </c>
      <c r="O33" s="35" t="str">
        <f>VLOOKUP(H33,'1_Value &amp; risk levers'!$H$9:$O$1048576,4,FALSE)</f>
        <v>Suppliers are evaluated for their product coverage at the time of sourcing</v>
      </c>
      <c r="P33" s="35" t="str">
        <f>VLOOKUP(H33,'1_Value &amp; risk levers'!$H$9:$O$1048576,5,FALSE)</f>
        <v>Comprehensive bundling strategy across all vegetable oils - following an optimization approach to identify the right volume mix across suppliers and SKUs</v>
      </c>
      <c r="Q33" s="77">
        <f>IF(VLOOKUP(H33,'1_Value &amp; risk levers'!$H$9:$T$1048576,13,FALSE)=0,"",VLOOKUP(H33,'1_Value &amp; risk levers'!$H$9:$T$1048576,13,FALSE))</f>
        <v>3</v>
      </c>
      <c r="R33" s="128">
        <f t="shared" si="0"/>
        <v>2</v>
      </c>
      <c r="S33" s="128" t="e">
        <f t="shared" si="1"/>
        <v>#DIV/0!</v>
      </c>
      <c r="T33" s="77"/>
      <c r="U33" s="77"/>
      <c r="V33" s="55"/>
      <c r="W33" s="71">
        <v>0.04</v>
      </c>
      <c r="X33" s="71">
        <v>0.1</v>
      </c>
      <c r="Y33" s="71">
        <f>VLOOKUP(H33,'1_Value &amp; risk levers'!$H$9:$O$1048576,8,FALSE)</f>
        <v>0.8</v>
      </c>
      <c r="Z33" s="51">
        <f t="shared" si="2"/>
        <v>7.0000000000000007E-2</v>
      </c>
      <c r="AA33" s="51">
        <f t="shared" si="4"/>
        <v>8.5000000000000006E-2</v>
      </c>
      <c r="AB33" s="55">
        <f t="shared" si="5"/>
        <v>2800000.0000000005</v>
      </c>
      <c r="AC33" s="55">
        <f t="shared" si="6"/>
        <v>3400000.0000000005</v>
      </c>
      <c r="AD33" s="80">
        <f t="shared" si="7"/>
        <v>7</v>
      </c>
      <c r="AE33" s="84">
        <f t="shared" si="8"/>
        <v>0.48864540816326468</v>
      </c>
      <c r="AF33" s="71" t="str">
        <f t="shared" si="9"/>
        <v>Low</v>
      </c>
      <c r="AG33" s="84">
        <f t="shared" si="10"/>
        <v>5.9772908163265304E-2</v>
      </c>
      <c r="AH33" s="84">
        <f t="shared" si="11"/>
        <v>9.5227091836734709E-2</v>
      </c>
      <c r="AI33" s="73">
        <f t="shared" si="12"/>
        <v>2390916.3265306121</v>
      </c>
      <c r="AJ33" s="73">
        <f t="shared" si="13"/>
        <v>3809083.6734693884</v>
      </c>
      <c r="AK33" s="46">
        <f>VLOOKUP(H33,'1_Value &amp; risk levers'!$H$9:$O$1048576,6,FALSE)</f>
        <v>0.02</v>
      </c>
      <c r="AL33" s="46">
        <f>VLOOKUP(H33,'1_Value &amp; risk levers'!$H$9:$O$1048576,7,FALSE)</f>
        <v>0.05</v>
      </c>
      <c r="AM33" s="50">
        <f t="shared" si="14"/>
        <v>2.75E-2</v>
      </c>
      <c r="AN33" s="72">
        <f t="shared" si="15"/>
        <v>0.12790697674418605</v>
      </c>
      <c r="AO33" s="84">
        <f t="shared" si="16"/>
        <v>7.6453719743711434E-3</v>
      </c>
      <c r="AP33" s="84">
        <f t="shared" si="17"/>
        <v>1.2180209420977696E-2</v>
      </c>
      <c r="AQ33" s="55">
        <f t="shared" si="18"/>
        <v>358139.53488372103</v>
      </c>
      <c r="AR33" s="55">
        <f t="shared" si="19"/>
        <v>434883.72093023261</v>
      </c>
      <c r="AS33" s="83">
        <f t="shared" si="3"/>
        <v>41</v>
      </c>
      <c r="AT33" s="50">
        <f t="shared" si="20"/>
        <v>7.1837499999999999</v>
      </c>
      <c r="AU33" s="55" t="str">
        <f t="shared" si="21"/>
        <v>Medium</v>
      </c>
      <c r="AV33" s="34" t="s">
        <v>1513</v>
      </c>
      <c r="AW33" s="111"/>
      <c r="AX33" s="30" t="s">
        <v>1493</v>
      </c>
      <c r="AY33" s="30"/>
      <c r="AZ33" s="85" t="str">
        <f>IF(ISERROR(_xlfn.XLOOKUP(CONCATENATE(A33,"_",AV33),'Reference-Proof pt impact flag'!$I$3:$I$1048576,'Reference-Proof pt impact flag'!$G$3:$G$1048576)),"",_xlfn.XLOOKUP(CONCATENATE(A33,"_",AV33),'Reference-Proof pt impact flag'!$I$3:$I$1048576,'Reference-Proof pt impact flag'!$G$3:$G$1048576))</f>
        <v/>
      </c>
      <c r="BA33" s="74"/>
      <c r="BB33" s="74"/>
      <c r="BC33" s="74"/>
      <c r="BD33" s="74"/>
      <c r="BE33" s="74"/>
      <c r="BF33" s="74" t="e">
        <f>_xlfn.XLOOKUP(CONCATENATE(H33,"_",AV33),'Test 2 - Proof points - GPT5'!$T:$T,'Test 2 - Proof points - GPT5'!$S:$S)</f>
        <v>#N/A</v>
      </c>
      <c r="BG33" s="74" t="e">
        <f>_xlfn.XLOOKUP(CONCATENATE(H33,"_",AV33),'Test 2 -Proof points - Sonnet'!$AB:$AB,'Test 2 -Proof points - Sonnet'!$AA:$AA)</f>
        <v>#N/A</v>
      </c>
      <c r="BH33" s="74"/>
      <c r="BI33" s="74"/>
      <c r="BJ33" s="74" t="s">
        <v>1461</v>
      </c>
      <c r="BK33" s="30"/>
      <c r="BL33" s="30"/>
      <c r="BM33" s="30"/>
      <c r="BN33" s="30"/>
      <c r="BO33" s="30"/>
      <c r="BP33" s="30"/>
      <c r="BQ33" s="30"/>
      <c r="BR33" s="30"/>
      <c r="BS33" s="30"/>
      <c r="BT33" s="30"/>
      <c r="BU33" s="30"/>
      <c r="BV33" s="113"/>
    </row>
    <row r="34" spans="1:74" ht="27" hidden="1" customHeight="1" x14ac:dyDescent="0.35">
      <c r="A34" s="22">
        <v>1</v>
      </c>
      <c r="B34" s="22" t="s">
        <v>1451</v>
      </c>
      <c r="C34" s="22" t="s">
        <v>1452</v>
      </c>
      <c r="D34" s="22" t="s">
        <v>1224</v>
      </c>
      <c r="E34" s="22" t="s">
        <v>1453</v>
      </c>
      <c r="F34" s="22"/>
      <c r="G34" s="22" t="s">
        <v>1274</v>
      </c>
      <c r="H34" s="21" t="s">
        <v>1292</v>
      </c>
      <c r="I34" s="22"/>
      <c r="J34" s="21" t="s">
        <v>1462</v>
      </c>
      <c r="K34" s="30"/>
      <c r="L34" s="35" t="s">
        <v>1228</v>
      </c>
      <c r="M34" s="35" t="str">
        <f>VLOOKUP(H34,'1_Value &amp; risk levers'!$H$9:$O$1048576,2,FALSE)</f>
        <v>Not practiced / not explored so far</v>
      </c>
      <c r="N34" s="35" t="str">
        <f>VLOOKUP(H34,'1_Value &amp; risk levers'!$H$9:$O$1048576,3,FALSE)</f>
        <v>Ad-hoc initiatives to bundle volume across suppliers</v>
      </c>
      <c r="O34" s="35" t="str">
        <f>VLOOKUP(H34,'1_Value &amp; risk levers'!$H$9:$O$1048576,4,FALSE)</f>
        <v>Suppliers are evaluated for their product coverage at the time of sourcing</v>
      </c>
      <c r="P34" s="35" t="str">
        <f>VLOOKUP(H34,'1_Value &amp; risk levers'!$H$9:$O$1048576,5,FALSE)</f>
        <v>Comprehensive bundling strategy across all vegetable oils - following an optimization approach to identify the right volume mix across suppliers and SKUs</v>
      </c>
      <c r="Q34" s="77">
        <f>IF(VLOOKUP(H34,'1_Value &amp; risk levers'!$H$9:$T$1048576,13,FALSE)=0,"",VLOOKUP(H34,'1_Value &amp; risk levers'!$H$9:$T$1048576,13,FALSE))</f>
        <v>3</v>
      </c>
      <c r="R34" s="128">
        <f t="shared" si="0"/>
        <v>2</v>
      </c>
      <c r="S34" s="128" t="e">
        <f t="shared" si="1"/>
        <v>#DIV/0!</v>
      </c>
      <c r="T34" s="77"/>
      <c r="U34" s="77"/>
      <c r="V34" s="55"/>
      <c r="W34" s="71">
        <v>0.04</v>
      </c>
      <c r="X34" s="71">
        <v>0.1</v>
      </c>
      <c r="Y34" s="71">
        <f>VLOOKUP(H34,'1_Value &amp; risk levers'!$H$9:$O$1048576,8,FALSE)</f>
        <v>0.8</v>
      </c>
      <c r="Z34" s="51">
        <f t="shared" si="2"/>
        <v>7.0000000000000007E-2</v>
      </c>
      <c r="AA34" s="51">
        <f t="shared" si="4"/>
        <v>8.5000000000000006E-2</v>
      </c>
      <c r="AB34" s="55">
        <f t="shared" si="5"/>
        <v>2800000.0000000005</v>
      </c>
      <c r="AC34" s="55">
        <f t="shared" si="6"/>
        <v>3400000.0000000005</v>
      </c>
      <c r="AD34" s="80">
        <f t="shared" si="7"/>
        <v>7</v>
      </c>
      <c r="AE34" s="84">
        <f t="shared" si="8"/>
        <v>0.48864540816326468</v>
      </c>
      <c r="AF34" s="71" t="str">
        <f t="shared" si="9"/>
        <v>Low</v>
      </c>
      <c r="AG34" s="84">
        <f t="shared" si="10"/>
        <v>5.9772908163265304E-2</v>
      </c>
      <c r="AH34" s="84">
        <f t="shared" si="11"/>
        <v>9.5227091836734709E-2</v>
      </c>
      <c r="AI34" s="73">
        <f t="shared" si="12"/>
        <v>2390916.3265306121</v>
      </c>
      <c r="AJ34" s="73">
        <f t="shared" si="13"/>
        <v>3809083.6734693884</v>
      </c>
      <c r="AK34" s="46">
        <f>VLOOKUP(H34,'1_Value &amp; risk levers'!$H$9:$O$1048576,6,FALSE)</f>
        <v>0.02</v>
      </c>
      <c r="AL34" s="46">
        <f>VLOOKUP(H34,'1_Value &amp; risk levers'!$H$9:$O$1048576,7,FALSE)</f>
        <v>0.05</v>
      </c>
      <c r="AM34" s="50">
        <f t="shared" si="14"/>
        <v>2.75E-2</v>
      </c>
      <c r="AN34" s="72">
        <f t="shared" si="15"/>
        <v>0.12790697674418605</v>
      </c>
      <c r="AO34" s="84">
        <f t="shared" si="16"/>
        <v>7.6453719743711434E-3</v>
      </c>
      <c r="AP34" s="84">
        <f t="shared" si="17"/>
        <v>1.2180209420977696E-2</v>
      </c>
      <c r="AQ34" s="55">
        <f t="shared" si="18"/>
        <v>358139.53488372103</v>
      </c>
      <c r="AR34" s="55">
        <f t="shared" si="19"/>
        <v>434883.72093023261</v>
      </c>
      <c r="AS34" s="83">
        <f t="shared" si="3"/>
        <v>41</v>
      </c>
      <c r="AT34" s="50">
        <f t="shared" si="20"/>
        <v>7.1837499999999999</v>
      </c>
      <c r="AU34" s="55" t="str">
        <f t="shared" si="21"/>
        <v>Medium</v>
      </c>
      <c r="AV34" s="34" t="s">
        <v>1514</v>
      </c>
      <c r="AW34" s="111"/>
      <c r="AX34" s="30" t="s">
        <v>1493</v>
      </c>
      <c r="AY34" s="30"/>
      <c r="AZ34" s="85" t="str">
        <f>IF(ISERROR(_xlfn.XLOOKUP(CONCATENATE(A34,"_",AV34),'Reference-Proof pt impact flag'!$I$3:$I$1048576,'Reference-Proof pt impact flag'!$G$3:$G$1048576)),"",_xlfn.XLOOKUP(CONCATENATE(A34,"_",AV34),'Reference-Proof pt impact flag'!$I$3:$I$1048576,'Reference-Proof pt impact flag'!$G$3:$G$1048576))</f>
        <v/>
      </c>
      <c r="BA34" s="74"/>
      <c r="BB34" s="74"/>
      <c r="BC34" s="74"/>
      <c r="BD34" s="74"/>
      <c r="BE34" s="74"/>
      <c r="BF34" s="74" t="e">
        <f>_xlfn.XLOOKUP(CONCATENATE(H34,"_",AV34),'Test 2 - Proof points - GPT5'!$T:$T,'Test 2 - Proof points - GPT5'!$S:$S)</f>
        <v>#N/A</v>
      </c>
      <c r="BG34" s="74" t="e">
        <f>_xlfn.XLOOKUP(CONCATENATE(H34,"_",AV34),'Test 2 -Proof points - Sonnet'!$AB:$AB,'Test 2 -Proof points - Sonnet'!$AA:$AA)</f>
        <v>#N/A</v>
      </c>
      <c r="BH34" s="74"/>
      <c r="BI34" s="74"/>
      <c r="BJ34" s="74" t="s">
        <v>1461</v>
      </c>
      <c r="BK34" s="30"/>
      <c r="BL34" s="30"/>
      <c r="BM34" s="30"/>
      <c r="BN34" s="30"/>
      <c r="BO34" s="30"/>
      <c r="BP34" s="30"/>
      <c r="BQ34" s="30"/>
      <c r="BR34" s="30"/>
      <c r="BS34" s="30"/>
      <c r="BT34" s="30"/>
      <c r="BU34" s="30"/>
      <c r="BV34" s="113"/>
    </row>
    <row r="35" spans="1:74" ht="27" hidden="1" customHeight="1" x14ac:dyDescent="0.35">
      <c r="A35" s="22">
        <v>1</v>
      </c>
      <c r="B35" s="22" t="s">
        <v>1451</v>
      </c>
      <c r="C35" s="22" t="s">
        <v>1452</v>
      </c>
      <c r="D35" s="22" t="s">
        <v>1224</v>
      </c>
      <c r="E35" s="22" t="s">
        <v>1453</v>
      </c>
      <c r="F35" s="22"/>
      <c r="G35" s="22" t="s">
        <v>1274</v>
      </c>
      <c r="H35" s="21" t="s">
        <v>1292</v>
      </c>
      <c r="I35" s="22"/>
      <c r="J35" s="21" t="s">
        <v>1462</v>
      </c>
      <c r="K35" s="30"/>
      <c r="L35" s="35" t="s">
        <v>1228</v>
      </c>
      <c r="M35" s="35" t="str">
        <f>VLOOKUP(H35,'1_Value &amp; risk levers'!$H$9:$O$1048576,2,FALSE)</f>
        <v>Not practiced / not explored so far</v>
      </c>
      <c r="N35" s="35" t="str">
        <f>VLOOKUP(H35,'1_Value &amp; risk levers'!$H$9:$O$1048576,3,FALSE)</f>
        <v>Ad-hoc initiatives to bundle volume across suppliers</v>
      </c>
      <c r="O35" s="35" t="str">
        <f>VLOOKUP(H35,'1_Value &amp; risk levers'!$H$9:$O$1048576,4,FALSE)</f>
        <v>Suppliers are evaluated for their product coverage at the time of sourcing</v>
      </c>
      <c r="P35" s="35" t="str">
        <f>VLOOKUP(H35,'1_Value &amp; risk levers'!$H$9:$O$1048576,5,FALSE)</f>
        <v>Comprehensive bundling strategy across all vegetable oils - following an optimization approach to identify the right volume mix across suppliers and SKUs</v>
      </c>
      <c r="Q35" s="77">
        <f>IF(VLOOKUP(H35,'1_Value &amp; risk levers'!$H$9:$T$1048576,13,FALSE)=0,"",VLOOKUP(H35,'1_Value &amp; risk levers'!$H$9:$T$1048576,13,FALSE))</f>
        <v>3</v>
      </c>
      <c r="R35" s="128">
        <f t="shared" si="0"/>
        <v>2</v>
      </c>
      <c r="S35" s="128" t="e">
        <f t="shared" si="1"/>
        <v>#DIV/0!</v>
      </c>
      <c r="T35" s="77"/>
      <c r="U35" s="77"/>
      <c r="V35" s="55"/>
      <c r="W35" s="71">
        <v>0.04</v>
      </c>
      <c r="X35" s="71">
        <v>0.1</v>
      </c>
      <c r="Y35" s="71">
        <f>VLOOKUP(H35,'1_Value &amp; risk levers'!$H$9:$O$1048576,8,FALSE)</f>
        <v>0.8</v>
      </c>
      <c r="Z35" s="51">
        <f t="shared" si="2"/>
        <v>7.0000000000000007E-2</v>
      </c>
      <c r="AA35" s="51">
        <f t="shared" si="4"/>
        <v>8.5000000000000006E-2</v>
      </c>
      <c r="AB35" s="55">
        <f t="shared" si="5"/>
        <v>2800000.0000000005</v>
      </c>
      <c r="AC35" s="55">
        <f t="shared" si="6"/>
        <v>3400000.0000000005</v>
      </c>
      <c r="AD35" s="80">
        <f t="shared" si="7"/>
        <v>7</v>
      </c>
      <c r="AE35" s="84">
        <f t="shared" si="8"/>
        <v>0.48864540816326468</v>
      </c>
      <c r="AF35" s="71" t="str">
        <f t="shared" si="9"/>
        <v>Low</v>
      </c>
      <c r="AG35" s="84">
        <f t="shared" si="10"/>
        <v>5.9772908163265304E-2</v>
      </c>
      <c r="AH35" s="84">
        <f t="shared" si="11"/>
        <v>9.5227091836734709E-2</v>
      </c>
      <c r="AI35" s="73">
        <f t="shared" si="12"/>
        <v>2390916.3265306121</v>
      </c>
      <c r="AJ35" s="73">
        <f t="shared" si="13"/>
        <v>3809083.6734693884</v>
      </c>
      <c r="AK35" s="46">
        <f>VLOOKUP(H35,'1_Value &amp; risk levers'!$H$9:$O$1048576,6,FALSE)</f>
        <v>0.02</v>
      </c>
      <c r="AL35" s="46">
        <f>VLOOKUP(H35,'1_Value &amp; risk levers'!$H$9:$O$1048576,7,FALSE)</f>
        <v>0.05</v>
      </c>
      <c r="AM35" s="50">
        <f t="shared" si="14"/>
        <v>2.75E-2</v>
      </c>
      <c r="AN35" s="72">
        <f t="shared" si="15"/>
        <v>0.12790697674418605</v>
      </c>
      <c r="AO35" s="84">
        <f t="shared" si="16"/>
        <v>7.6453719743711434E-3</v>
      </c>
      <c r="AP35" s="84">
        <f t="shared" si="17"/>
        <v>1.2180209420977696E-2</v>
      </c>
      <c r="AQ35" s="55">
        <f t="shared" si="18"/>
        <v>358139.53488372103</v>
      </c>
      <c r="AR35" s="55">
        <f t="shared" si="19"/>
        <v>434883.72093023261</v>
      </c>
      <c r="AS35" s="83">
        <f t="shared" si="3"/>
        <v>41</v>
      </c>
      <c r="AT35" s="50">
        <f t="shared" si="20"/>
        <v>7.1837499999999999</v>
      </c>
      <c r="AU35" s="55" t="str">
        <f t="shared" si="21"/>
        <v>Medium</v>
      </c>
      <c r="AV35" s="34" t="s">
        <v>1515</v>
      </c>
      <c r="AW35" s="111"/>
      <c r="AX35" s="30" t="s">
        <v>1493</v>
      </c>
      <c r="AY35" s="30"/>
      <c r="AZ35" s="85" t="str">
        <f>IF(ISERROR(_xlfn.XLOOKUP(CONCATENATE(A35,"_",AV35),'Reference-Proof pt impact flag'!$I$3:$I$1048576,'Reference-Proof pt impact flag'!$G$3:$G$1048576)),"",_xlfn.XLOOKUP(CONCATENATE(A35,"_",AV35),'Reference-Proof pt impact flag'!$I$3:$I$1048576,'Reference-Proof pt impact flag'!$G$3:$G$1048576))</f>
        <v/>
      </c>
      <c r="BA35" s="74"/>
      <c r="BB35" s="74"/>
      <c r="BC35" s="74"/>
      <c r="BD35" s="74"/>
      <c r="BE35" s="74"/>
      <c r="BF35" s="74" t="e">
        <f>_xlfn.XLOOKUP(CONCATENATE(H35,"_",AV35),'Test 2 - Proof points - GPT5'!$T:$T,'Test 2 - Proof points - GPT5'!$S:$S)</f>
        <v>#N/A</v>
      </c>
      <c r="BG35" s="74" t="e">
        <f>_xlfn.XLOOKUP(CONCATENATE(H35,"_",AV35),'Test 2 -Proof points - Sonnet'!$AB:$AB,'Test 2 -Proof points - Sonnet'!$AA:$AA)</f>
        <v>#N/A</v>
      </c>
      <c r="BH35" s="74"/>
      <c r="BI35" s="74"/>
      <c r="BJ35" s="74" t="s">
        <v>1461</v>
      </c>
      <c r="BK35" s="30"/>
      <c r="BL35" s="30"/>
      <c r="BM35" s="30"/>
      <c r="BN35" s="30"/>
      <c r="BO35" s="30"/>
      <c r="BP35" s="30"/>
      <c r="BQ35" s="30"/>
      <c r="BR35" s="30"/>
      <c r="BS35" s="30"/>
      <c r="BT35" s="30"/>
      <c r="BU35" s="30"/>
      <c r="BV35" s="113"/>
    </row>
    <row r="36" spans="1:74" ht="27" hidden="1" customHeight="1" x14ac:dyDescent="0.35">
      <c r="A36" s="22">
        <v>1</v>
      </c>
      <c r="B36" s="22" t="s">
        <v>1451</v>
      </c>
      <c r="C36" s="22" t="s">
        <v>1452</v>
      </c>
      <c r="D36" s="22" t="s">
        <v>1224</v>
      </c>
      <c r="E36" s="22" t="s">
        <v>1453</v>
      </c>
      <c r="F36" s="22"/>
      <c r="G36" s="22" t="s">
        <v>1274</v>
      </c>
      <c r="H36" s="21" t="s">
        <v>1292</v>
      </c>
      <c r="I36" s="22"/>
      <c r="J36" s="21" t="s">
        <v>1462</v>
      </c>
      <c r="K36" s="30"/>
      <c r="L36" s="35" t="s">
        <v>1228</v>
      </c>
      <c r="M36" s="35" t="str">
        <f>VLOOKUP(H36,'1_Value &amp; risk levers'!$H$9:$O$1048576,2,FALSE)</f>
        <v>Not practiced / not explored so far</v>
      </c>
      <c r="N36" s="35" t="str">
        <f>VLOOKUP(H36,'1_Value &amp; risk levers'!$H$9:$O$1048576,3,FALSE)</f>
        <v>Ad-hoc initiatives to bundle volume across suppliers</v>
      </c>
      <c r="O36" s="35" t="str">
        <f>VLOOKUP(H36,'1_Value &amp; risk levers'!$H$9:$O$1048576,4,FALSE)</f>
        <v>Suppliers are evaluated for their product coverage at the time of sourcing</v>
      </c>
      <c r="P36" s="35" t="str">
        <f>VLOOKUP(H36,'1_Value &amp; risk levers'!$H$9:$O$1048576,5,FALSE)</f>
        <v>Comprehensive bundling strategy across all vegetable oils - following an optimization approach to identify the right volume mix across suppliers and SKUs</v>
      </c>
      <c r="Q36" s="77">
        <f>IF(VLOOKUP(H36,'1_Value &amp; risk levers'!$H$9:$T$1048576,13,FALSE)=0,"",VLOOKUP(H36,'1_Value &amp; risk levers'!$H$9:$T$1048576,13,FALSE))</f>
        <v>3</v>
      </c>
      <c r="R36" s="128">
        <f t="shared" si="0"/>
        <v>2</v>
      </c>
      <c r="S36" s="128" t="e">
        <f t="shared" si="1"/>
        <v>#DIV/0!</v>
      </c>
      <c r="T36" s="77"/>
      <c r="U36" s="77"/>
      <c r="V36" s="55"/>
      <c r="W36" s="71">
        <v>0.04</v>
      </c>
      <c r="X36" s="71">
        <v>0.1</v>
      </c>
      <c r="Y36" s="71">
        <f>VLOOKUP(H36,'1_Value &amp; risk levers'!$H$9:$O$1048576,8,FALSE)</f>
        <v>0.8</v>
      </c>
      <c r="Z36" s="51">
        <f t="shared" si="2"/>
        <v>7.0000000000000007E-2</v>
      </c>
      <c r="AA36" s="51">
        <f t="shared" si="4"/>
        <v>8.5000000000000006E-2</v>
      </c>
      <c r="AB36" s="55">
        <f t="shared" si="5"/>
        <v>2800000.0000000005</v>
      </c>
      <c r="AC36" s="55">
        <f t="shared" si="6"/>
        <v>3400000.0000000005</v>
      </c>
      <c r="AD36" s="80">
        <f t="shared" si="7"/>
        <v>7</v>
      </c>
      <c r="AE36" s="84">
        <f t="shared" si="8"/>
        <v>0.48864540816326468</v>
      </c>
      <c r="AF36" s="71" t="str">
        <f t="shared" si="9"/>
        <v>Low</v>
      </c>
      <c r="AG36" s="84">
        <f t="shared" si="10"/>
        <v>5.9772908163265304E-2</v>
      </c>
      <c r="AH36" s="84">
        <f t="shared" si="11"/>
        <v>9.5227091836734709E-2</v>
      </c>
      <c r="AI36" s="73">
        <f t="shared" si="12"/>
        <v>2390916.3265306121</v>
      </c>
      <c r="AJ36" s="73">
        <f t="shared" si="13"/>
        <v>3809083.6734693884</v>
      </c>
      <c r="AK36" s="46">
        <f>VLOOKUP(H36,'1_Value &amp; risk levers'!$H$9:$O$1048576,6,FALSE)</f>
        <v>0.02</v>
      </c>
      <c r="AL36" s="46">
        <f>VLOOKUP(H36,'1_Value &amp; risk levers'!$H$9:$O$1048576,7,FALSE)</f>
        <v>0.05</v>
      </c>
      <c r="AM36" s="50">
        <f t="shared" si="14"/>
        <v>2.75E-2</v>
      </c>
      <c r="AN36" s="72">
        <f t="shared" si="15"/>
        <v>0.12790697674418605</v>
      </c>
      <c r="AO36" s="84">
        <f t="shared" si="16"/>
        <v>7.6453719743711434E-3</v>
      </c>
      <c r="AP36" s="84">
        <f t="shared" si="17"/>
        <v>1.2180209420977696E-2</v>
      </c>
      <c r="AQ36" s="55">
        <f t="shared" si="18"/>
        <v>358139.53488372103</v>
      </c>
      <c r="AR36" s="55">
        <f t="shared" si="19"/>
        <v>434883.72093023261</v>
      </c>
      <c r="AS36" s="83">
        <f t="shared" si="3"/>
        <v>41</v>
      </c>
      <c r="AT36" s="50">
        <f t="shared" si="20"/>
        <v>7.1837499999999999</v>
      </c>
      <c r="AU36" s="55" t="str">
        <f t="shared" si="21"/>
        <v>Medium</v>
      </c>
      <c r="AV36" s="34" t="s">
        <v>1516</v>
      </c>
      <c r="AW36" s="111"/>
      <c r="AX36" s="30" t="s">
        <v>1493</v>
      </c>
      <c r="AY36" s="30"/>
      <c r="AZ36" s="85" t="str">
        <f>IF(ISERROR(_xlfn.XLOOKUP(CONCATENATE(A36,"_",AV36),'Reference-Proof pt impact flag'!$I$3:$I$1048576,'Reference-Proof pt impact flag'!$G$3:$G$1048576)),"",_xlfn.XLOOKUP(CONCATENATE(A36,"_",AV36),'Reference-Proof pt impact flag'!$I$3:$I$1048576,'Reference-Proof pt impact flag'!$G$3:$G$1048576))</f>
        <v/>
      </c>
      <c r="BA36" s="74"/>
      <c r="BB36" s="74"/>
      <c r="BC36" s="74"/>
      <c r="BD36" s="74"/>
      <c r="BE36" s="74"/>
      <c r="BF36" s="74" t="e">
        <f>_xlfn.XLOOKUP(CONCATENATE(H36,"_",AV36),'Test 2 - Proof points - GPT5'!$T:$T,'Test 2 - Proof points - GPT5'!$S:$S)</f>
        <v>#N/A</v>
      </c>
      <c r="BG36" s="74" t="e">
        <f>_xlfn.XLOOKUP(CONCATENATE(H36,"_",AV36),'Test 2 -Proof points - Sonnet'!$AB:$AB,'Test 2 -Proof points - Sonnet'!$AA:$AA)</f>
        <v>#N/A</v>
      </c>
      <c r="BH36" s="74"/>
      <c r="BI36" s="74"/>
      <c r="BJ36" s="74" t="s">
        <v>1461</v>
      </c>
      <c r="BK36" s="30"/>
      <c r="BL36" s="30"/>
      <c r="BM36" s="30"/>
      <c r="BN36" s="30"/>
      <c r="BO36" s="30"/>
      <c r="BP36" s="30"/>
      <c r="BQ36" s="30"/>
      <c r="BR36" s="30"/>
      <c r="BS36" s="30"/>
      <c r="BT36" s="30"/>
      <c r="BU36" s="30"/>
      <c r="BV36" s="113"/>
    </row>
    <row r="37" spans="1:74" ht="27" hidden="1" customHeight="1" x14ac:dyDescent="0.35">
      <c r="A37" s="22">
        <v>1</v>
      </c>
      <c r="B37" s="22" t="s">
        <v>1451</v>
      </c>
      <c r="C37" s="22" t="s">
        <v>1452</v>
      </c>
      <c r="D37" s="22" t="s">
        <v>1224</v>
      </c>
      <c r="E37" s="22" t="s">
        <v>1453</v>
      </c>
      <c r="F37" s="22"/>
      <c r="G37" s="22" t="s">
        <v>1274</v>
      </c>
      <c r="H37" s="21" t="s">
        <v>1292</v>
      </c>
      <c r="I37" s="22"/>
      <c r="J37" s="21" t="s">
        <v>1462</v>
      </c>
      <c r="K37" s="30"/>
      <c r="L37" s="35" t="s">
        <v>1228</v>
      </c>
      <c r="M37" s="35" t="str">
        <f>VLOOKUP(H37,'1_Value &amp; risk levers'!$H$9:$O$1048576,2,FALSE)</f>
        <v>Not practiced / not explored so far</v>
      </c>
      <c r="N37" s="35" t="str">
        <f>VLOOKUP(H37,'1_Value &amp; risk levers'!$H$9:$O$1048576,3,FALSE)</f>
        <v>Ad-hoc initiatives to bundle volume across suppliers</v>
      </c>
      <c r="O37" s="35" t="str">
        <f>VLOOKUP(H37,'1_Value &amp; risk levers'!$H$9:$O$1048576,4,FALSE)</f>
        <v>Suppliers are evaluated for their product coverage at the time of sourcing</v>
      </c>
      <c r="P37" s="35" t="str">
        <f>VLOOKUP(H37,'1_Value &amp; risk levers'!$H$9:$O$1048576,5,FALSE)</f>
        <v>Comprehensive bundling strategy across all vegetable oils - following an optimization approach to identify the right volume mix across suppliers and SKUs</v>
      </c>
      <c r="Q37" s="77">
        <f>IF(VLOOKUP(H37,'1_Value &amp; risk levers'!$H$9:$T$1048576,13,FALSE)=0,"",VLOOKUP(H37,'1_Value &amp; risk levers'!$H$9:$T$1048576,13,FALSE))</f>
        <v>3</v>
      </c>
      <c r="R37" s="128">
        <f t="shared" si="0"/>
        <v>2</v>
      </c>
      <c r="S37" s="128" t="e">
        <f t="shared" si="1"/>
        <v>#DIV/0!</v>
      </c>
      <c r="T37" s="77"/>
      <c r="U37" s="77"/>
      <c r="V37" s="55"/>
      <c r="W37" s="71">
        <v>0.04</v>
      </c>
      <c r="X37" s="71">
        <v>0.1</v>
      </c>
      <c r="Y37" s="71">
        <f>VLOOKUP(H37,'1_Value &amp; risk levers'!$H$9:$O$1048576,8,FALSE)</f>
        <v>0.8</v>
      </c>
      <c r="Z37" s="51">
        <f t="shared" si="2"/>
        <v>7.0000000000000007E-2</v>
      </c>
      <c r="AA37" s="51">
        <f t="shared" si="4"/>
        <v>8.5000000000000006E-2</v>
      </c>
      <c r="AB37" s="55">
        <f t="shared" si="5"/>
        <v>2800000.0000000005</v>
      </c>
      <c r="AC37" s="55">
        <f t="shared" si="6"/>
        <v>3400000.0000000005</v>
      </c>
      <c r="AD37" s="80">
        <f t="shared" si="7"/>
        <v>7</v>
      </c>
      <c r="AE37" s="84">
        <f t="shared" si="8"/>
        <v>0.48864540816326468</v>
      </c>
      <c r="AF37" s="71" t="str">
        <f t="shared" si="9"/>
        <v>Low</v>
      </c>
      <c r="AG37" s="84">
        <f t="shared" si="10"/>
        <v>5.9772908163265304E-2</v>
      </c>
      <c r="AH37" s="84">
        <f t="shared" si="11"/>
        <v>9.5227091836734709E-2</v>
      </c>
      <c r="AI37" s="73">
        <f t="shared" si="12"/>
        <v>2390916.3265306121</v>
      </c>
      <c r="AJ37" s="73">
        <f t="shared" si="13"/>
        <v>3809083.6734693884</v>
      </c>
      <c r="AK37" s="46">
        <f>VLOOKUP(H37,'1_Value &amp; risk levers'!$H$9:$O$1048576,6,FALSE)</f>
        <v>0.02</v>
      </c>
      <c r="AL37" s="46">
        <f>VLOOKUP(H37,'1_Value &amp; risk levers'!$H$9:$O$1048576,7,FALSE)</f>
        <v>0.05</v>
      </c>
      <c r="AM37" s="50">
        <f t="shared" si="14"/>
        <v>2.75E-2</v>
      </c>
      <c r="AN37" s="72">
        <f t="shared" si="15"/>
        <v>0.12790697674418605</v>
      </c>
      <c r="AO37" s="84">
        <f t="shared" si="16"/>
        <v>7.6453719743711434E-3</v>
      </c>
      <c r="AP37" s="84">
        <f t="shared" si="17"/>
        <v>1.2180209420977696E-2</v>
      </c>
      <c r="AQ37" s="55">
        <f t="shared" si="18"/>
        <v>358139.53488372103</v>
      </c>
      <c r="AR37" s="55">
        <f t="shared" si="19"/>
        <v>434883.72093023261</v>
      </c>
      <c r="AS37" s="83">
        <f t="shared" si="3"/>
        <v>41</v>
      </c>
      <c r="AT37" s="50">
        <f t="shared" si="20"/>
        <v>7.1837499999999999</v>
      </c>
      <c r="AU37" s="55" t="str">
        <f t="shared" si="21"/>
        <v>Medium</v>
      </c>
      <c r="AV37" s="34" t="s">
        <v>1517</v>
      </c>
      <c r="AW37" s="111"/>
      <c r="AX37" s="30" t="s">
        <v>1493</v>
      </c>
      <c r="AY37" s="31" t="s">
        <v>1518</v>
      </c>
      <c r="AZ37" s="85" t="str">
        <f>IF(ISERROR(_xlfn.XLOOKUP(CONCATENATE(A37,"_",AV37),'Reference-Proof pt impact flag'!$I$3:$I$1048576,'Reference-Proof pt impact flag'!$G$3:$G$1048576)),"",_xlfn.XLOOKUP(CONCATENATE(A37,"_",AV37),'Reference-Proof pt impact flag'!$I$3:$I$1048576,'Reference-Proof pt impact flag'!$G$3:$G$1048576))</f>
        <v>Medium</v>
      </c>
      <c r="BA37" s="27" t="s">
        <v>1458</v>
      </c>
      <c r="BB37" s="30" t="s">
        <v>1519</v>
      </c>
      <c r="BC37" s="27" t="s">
        <v>1520</v>
      </c>
      <c r="BD37" s="85" t="s">
        <v>1521</v>
      </c>
      <c r="BE37" s="74" t="s">
        <v>1522</v>
      </c>
      <c r="BF37" s="74" t="str">
        <f>_xlfn.XLOOKUP(CONCATENATE(H37,"_",AV37),'Test 2 - Proof points - GPT5'!$T:$T,'Test 2 - Proof points - GPT5'!$S:$S)</f>
        <v>Insights: Receipts routed to Malaysia, India, Australia, Indonesia. Given missing supplier-country fields, establish mandatory capture of supplier origin and route-to-plant mapping. Actions: reroute orders to nearest-performing supplier where Incoterms allow; set regional panels to reduce lead time and FX exposure.</v>
      </c>
      <c r="BG37" s="74" t="str">
        <f>_xlfn.XLOOKUP(CONCATENATE(H37,"_",AV37),'Test 2 -Proof points - Sonnet'!$AB:$AB,'Test 2 -Proof points - Sonnet'!$AA:$AA)</f>
        <v>â€¢ **Prioritize Indian domestic supplier consolidation**: Current supplier base concentrated in India (medium geopolitical risk) offers consolidation opportunities with established players like SHIVAGANGA and SIDDAGANGA in stable regions.
â€¢ **Balance geographic concentration risks**: While Indian suppliers offer cost advantages and supply reliability, consider selective diversification to Southeast Asian suppliers for risk mitigation without compromising volume leverage benefits.
â€¢ **Future supply chain regionalization**: Growing trend toward regional supply chains for food ingredients will favor suppliers with strong domestic market positions, making consolidation with established Indian vegetable oil processors a strategic advantage for supply security and cost competitiveness in regional markets.</v>
      </c>
      <c r="BH37" s="74" t="s">
        <v>1460</v>
      </c>
      <c r="BI37" s="74" t="s">
        <v>1523</v>
      </c>
      <c r="BJ37" s="74" t="s">
        <v>1461</v>
      </c>
      <c r="BK37" s="30"/>
      <c r="BL37" s="30"/>
      <c r="BM37" s="30" t="s">
        <v>132</v>
      </c>
      <c r="BN37" s="30"/>
      <c r="BO37" s="30"/>
      <c r="BP37" s="30"/>
      <c r="BQ37" s="30" t="s">
        <v>132</v>
      </c>
      <c r="BR37" s="30"/>
      <c r="BS37" s="30"/>
      <c r="BT37" s="30"/>
      <c r="BU37" s="30"/>
      <c r="BV37" s="113" t="s">
        <v>132</v>
      </c>
    </row>
    <row r="38" spans="1:74" ht="27" hidden="1" customHeight="1" x14ac:dyDescent="0.35">
      <c r="A38" s="22">
        <v>1</v>
      </c>
      <c r="B38" s="22" t="s">
        <v>1451</v>
      </c>
      <c r="C38" s="22" t="s">
        <v>1452</v>
      </c>
      <c r="D38" s="22" t="s">
        <v>1224</v>
      </c>
      <c r="E38" s="22" t="s">
        <v>1453</v>
      </c>
      <c r="F38" s="22"/>
      <c r="G38" s="22" t="s">
        <v>1274</v>
      </c>
      <c r="H38" s="21" t="s">
        <v>1292</v>
      </c>
      <c r="I38" s="22"/>
      <c r="J38" s="21" t="s">
        <v>1462</v>
      </c>
      <c r="K38" s="30"/>
      <c r="L38" s="35" t="s">
        <v>1228</v>
      </c>
      <c r="M38" s="35" t="str">
        <f>VLOOKUP(H38,'1_Value &amp; risk levers'!$H$9:$O$1048576,2,FALSE)</f>
        <v>Not practiced / not explored so far</v>
      </c>
      <c r="N38" s="35" t="str">
        <f>VLOOKUP(H38,'1_Value &amp; risk levers'!$H$9:$O$1048576,3,FALSE)</f>
        <v>Ad-hoc initiatives to bundle volume across suppliers</v>
      </c>
      <c r="O38" s="35" t="str">
        <f>VLOOKUP(H38,'1_Value &amp; risk levers'!$H$9:$O$1048576,4,FALSE)</f>
        <v>Suppliers are evaluated for their product coverage at the time of sourcing</v>
      </c>
      <c r="P38" s="35" t="str">
        <f>VLOOKUP(H38,'1_Value &amp; risk levers'!$H$9:$O$1048576,5,FALSE)</f>
        <v>Comprehensive bundling strategy across all vegetable oils - following an optimization approach to identify the right volume mix across suppliers and SKUs</v>
      </c>
      <c r="Q38" s="77">
        <f>IF(VLOOKUP(H38,'1_Value &amp; risk levers'!$H$9:$T$1048576,13,FALSE)=0,"",VLOOKUP(H38,'1_Value &amp; risk levers'!$H$9:$T$1048576,13,FALSE))</f>
        <v>3</v>
      </c>
      <c r="R38" s="128">
        <f t="shared" si="0"/>
        <v>2</v>
      </c>
      <c r="S38" s="128" t="e">
        <f t="shared" si="1"/>
        <v>#DIV/0!</v>
      </c>
      <c r="T38" s="77"/>
      <c r="U38" s="77"/>
      <c r="V38" s="55"/>
      <c r="W38" s="71">
        <v>0.04</v>
      </c>
      <c r="X38" s="71">
        <v>0.1</v>
      </c>
      <c r="Y38" s="71">
        <f>VLOOKUP(H38,'1_Value &amp; risk levers'!$H$9:$O$1048576,8,FALSE)</f>
        <v>0.8</v>
      </c>
      <c r="Z38" s="51">
        <f t="shared" si="2"/>
        <v>7.0000000000000007E-2</v>
      </c>
      <c r="AA38" s="51">
        <f t="shared" si="4"/>
        <v>8.5000000000000006E-2</v>
      </c>
      <c r="AB38" s="55">
        <f t="shared" si="5"/>
        <v>2800000.0000000005</v>
      </c>
      <c r="AC38" s="55">
        <f t="shared" si="6"/>
        <v>3400000.0000000005</v>
      </c>
      <c r="AD38" s="80">
        <f t="shared" si="7"/>
        <v>7</v>
      </c>
      <c r="AE38" s="84">
        <f t="shared" si="8"/>
        <v>0.48864540816326468</v>
      </c>
      <c r="AF38" s="71" t="str">
        <f t="shared" si="9"/>
        <v>Low</v>
      </c>
      <c r="AG38" s="84">
        <f t="shared" si="10"/>
        <v>5.9772908163265304E-2</v>
      </c>
      <c r="AH38" s="84">
        <f t="shared" si="11"/>
        <v>9.5227091836734709E-2</v>
      </c>
      <c r="AI38" s="73">
        <f t="shared" si="12"/>
        <v>2390916.3265306121</v>
      </c>
      <c r="AJ38" s="73">
        <f t="shared" si="13"/>
        <v>3809083.6734693884</v>
      </c>
      <c r="AK38" s="46">
        <f>VLOOKUP(H38,'1_Value &amp; risk levers'!$H$9:$O$1048576,6,FALSE)</f>
        <v>0.02</v>
      </c>
      <c r="AL38" s="46">
        <f>VLOOKUP(H38,'1_Value &amp; risk levers'!$H$9:$O$1048576,7,FALSE)</f>
        <v>0.05</v>
      </c>
      <c r="AM38" s="50">
        <f t="shared" si="14"/>
        <v>2.75E-2</v>
      </c>
      <c r="AN38" s="72">
        <f t="shared" si="15"/>
        <v>0.12790697674418605</v>
      </c>
      <c r="AO38" s="84">
        <f t="shared" si="16"/>
        <v>7.6453719743711434E-3</v>
      </c>
      <c r="AP38" s="84">
        <f t="shared" si="17"/>
        <v>1.2180209420977696E-2</v>
      </c>
      <c r="AQ38" s="55">
        <f t="shared" si="18"/>
        <v>358139.53488372103</v>
      </c>
      <c r="AR38" s="55">
        <f t="shared" si="19"/>
        <v>434883.72093023261</v>
      </c>
      <c r="AS38" s="83">
        <f t="shared" si="3"/>
        <v>41</v>
      </c>
      <c r="AT38" s="50">
        <f t="shared" si="20"/>
        <v>7.1837499999999999</v>
      </c>
      <c r="AU38" s="55" t="str">
        <f t="shared" si="21"/>
        <v>Medium</v>
      </c>
      <c r="AV38" s="34" t="s">
        <v>1524</v>
      </c>
      <c r="AW38" s="111"/>
      <c r="AX38" s="30" t="s">
        <v>1493</v>
      </c>
      <c r="AY38" s="31" t="s">
        <v>1525</v>
      </c>
      <c r="AZ38" s="85" t="str">
        <f>IF(ISERROR(_xlfn.XLOOKUP(CONCATENATE(A38,"_",AV38),'Reference-Proof pt impact flag'!$I$3:$I$1048576,'Reference-Proof pt impact flag'!$G$3:$G$1048576)),"",_xlfn.XLOOKUP(CONCATENATE(A38,"_",AV38),'Reference-Proof pt impact flag'!$I$3:$I$1048576,'Reference-Proof pt impact flag'!$G$3:$G$1048576))</f>
        <v>Medium</v>
      </c>
      <c r="BA38" s="27" t="s">
        <v>1458</v>
      </c>
      <c r="BB38" s="30" t="s">
        <v>1519</v>
      </c>
      <c r="BC38" s="27" t="s">
        <v>1520</v>
      </c>
      <c r="BD38" s="85" t="s">
        <v>1521</v>
      </c>
      <c r="BE38" s="74" t="s">
        <v>1526</v>
      </c>
      <c r="BF38" s="74" t="str">
        <f>_xlfn.XLOOKUP(CONCATENATE(H38,"_",AV38),'Test 2 - Proof points - GPT5'!$T:$T,'Test 2 - Proof points - GPT5'!$S:$S)</f>
        <v>Approach: Enrich vendor master with financial health, sanctions, ESG, and delivery performance scores; apply dual-trigger risk limits by spend and criticality. Actions: offboard any vendor below threshold; substitute with pre-qualified alternates; put CapEx-dependent suppliers under quarterly monitoring.</v>
      </c>
      <c r="BG38" s="74" t="str">
        <f>_xlfn.XLOOKUP(CONCATENATE(H38,"_",AV38),'Test 2 -Proof points - Sonnet'!$AB:$AB,'Test 2 -Proof points - Sonnet'!$AA:$AA)</f>
        <v>â€¢ **Focus consolidation on lower-risk suppliers**: Prioritize volume bundling with established suppliers like SHIVAGANGA FOOD OIL EXTRACTIONS and SIDDAGANGA OIL &amp; BIO INDUSTRIES that demonstrate consistent supply performance and financial stability.
â€¢ **Evaluate emerging supplier risks**: Smaller suppliers in the tail spend may carry higher operational or financial risks, making consolidation toward proven suppliers a risk mitigation strategy alongside cost optimization.
â€¢ **Future supplier risk management**: Increasing focus on ESG compliance and supply chain transparency will favor suppliers with strong risk profiles, making current risk-based consolidation decisions critical for future supplier relationship sustainability and regulatory compliance requirements.</v>
      </c>
      <c r="BH38" s="74" t="s">
        <v>1460</v>
      </c>
      <c r="BI38" s="74" t="s">
        <v>1527</v>
      </c>
      <c r="BJ38" s="74" t="s">
        <v>1461</v>
      </c>
      <c r="BK38" s="30"/>
      <c r="BL38" s="30"/>
      <c r="BM38" s="30" t="s">
        <v>132</v>
      </c>
      <c r="BN38" s="30"/>
      <c r="BO38" s="30"/>
      <c r="BP38" s="30"/>
      <c r="BQ38" s="30" t="s">
        <v>132</v>
      </c>
      <c r="BR38" s="30"/>
      <c r="BS38" s="30"/>
      <c r="BT38" s="30"/>
      <c r="BU38" s="30"/>
      <c r="BV38" s="113" t="s">
        <v>132</v>
      </c>
    </row>
    <row r="39" spans="1:74" ht="27" hidden="1" customHeight="1" x14ac:dyDescent="0.35">
      <c r="A39" s="22">
        <v>1</v>
      </c>
      <c r="B39" s="22" t="s">
        <v>1451</v>
      </c>
      <c r="C39" s="22" t="s">
        <v>1452</v>
      </c>
      <c r="D39" s="22" t="s">
        <v>1224</v>
      </c>
      <c r="E39" s="22" t="s">
        <v>1453</v>
      </c>
      <c r="F39" s="22"/>
      <c r="G39" s="22" t="s">
        <v>1274</v>
      </c>
      <c r="H39" s="21" t="s">
        <v>1292</v>
      </c>
      <c r="I39" s="22"/>
      <c r="J39" s="21" t="s">
        <v>1462</v>
      </c>
      <c r="K39" s="30"/>
      <c r="L39" s="35" t="s">
        <v>1228</v>
      </c>
      <c r="M39" s="35" t="str">
        <f>VLOOKUP(H39,'1_Value &amp; risk levers'!$H$9:$O$1048576,2,FALSE)</f>
        <v>Not practiced / not explored so far</v>
      </c>
      <c r="N39" s="35" t="str">
        <f>VLOOKUP(H39,'1_Value &amp; risk levers'!$H$9:$O$1048576,3,FALSE)</f>
        <v>Ad-hoc initiatives to bundle volume across suppliers</v>
      </c>
      <c r="O39" s="35" t="str">
        <f>VLOOKUP(H39,'1_Value &amp; risk levers'!$H$9:$O$1048576,4,FALSE)</f>
        <v>Suppliers are evaluated for their product coverage at the time of sourcing</v>
      </c>
      <c r="P39" s="35" t="str">
        <f>VLOOKUP(H39,'1_Value &amp; risk levers'!$H$9:$O$1048576,5,FALSE)</f>
        <v>Comprehensive bundling strategy across all vegetable oils - following an optimization approach to identify the right volume mix across suppliers and SKUs</v>
      </c>
      <c r="Q39" s="77">
        <f>IF(VLOOKUP(H39,'1_Value &amp; risk levers'!$H$9:$T$1048576,13,FALSE)=0,"",VLOOKUP(H39,'1_Value &amp; risk levers'!$H$9:$T$1048576,13,FALSE))</f>
        <v>3</v>
      </c>
      <c r="R39" s="128">
        <f t="shared" si="0"/>
        <v>2</v>
      </c>
      <c r="S39" s="128" t="e">
        <f t="shared" si="1"/>
        <v>#DIV/0!</v>
      </c>
      <c r="T39" s="77"/>
      <c r="U39" s="77"/>
      <c r="V39" s="55"/>
      <c r="W39" s="71">
        <v>0.04</v>
      </c>
      <c r="X39" s="71">
        <v>0.1</v>
      </c>
      <c r="Y39" s="71">
        <f>VLOOKUP(H39,'1_Value &amp; risk levers'!$H$9:$O$1048576,8,FALSE)</f>
        <v>0.8</v>
      </c>
      <c r="Z39" s="51">
        <f t="shared" si="2"/>
        <v>7.0000000000000007E-2</v>
      </c>
      <c r="AA39" s="51">
        <f t="shared" si="4"/>
        <v>8.5000000000000006E-2</v>
      </c>
      <c r="AB39" s="55">
        <f t="shared" si="5"/>
        <v>2800000.0000000005</v>
      </c>
      <c r="AC39" s="55">
        <f t="shared" si="6"/>
        <v>3400000.0000000005</v>
      </c>
      <c r="AD39" s="80">
        <f t="shared" si="7"/>
        <v>7</v>
      </c>
      <c r="AE39" s="84">
        <f t="shared" si="8"/>
        <v>0.48864540816326468</v>
      </c>
      <c r="AF39" s="71" t="str">
        <f t="shared" si="9"/>
        <v>Low</v>
      </c>
      <c r="AG39" s="84">
        <f t="shared" si="10"/>
        <v>5.9772908163265304E-2</v>
      </c>
      <c r="AH39" s="84">
        <f t="shared" si="11"/>
        <v>9.5227091836734709E-2</v>
      </c>
      <c r="AI39" s="73">
        <f t="shared" si="12"/>
        <v>2390916.3265306121</v>
      </c>
      <c r="AJ39" s="73">
        <f t="shared" si="13"/>
        <v>3809083.6734693884</v>
      </c>
      <c r="AK39" s="46">
        <f>VLOOKUP(H39,'1_Value &amp; risk levers'!$H$9:$O$1048576,6,FALSE)</f>
        <v>0.02</v>
      </c>
      <c r="AL39" s="46">
        <f>VLOOKUP(H39,'1_Value &amp; risk levers'!$H$9:$O$1048576,7,FALSE)</f>
        <v>0.05</v>
      </c>
      <c r="AM39" s="50">
        <f t="shared" si="14"/>
        <v>2.75E-2</v>
      </c>
      <c r="AN39" s="72">
        <f t="shared" si="15"/>
        <v>0.12790697674418605</v>
      </c>
      <c r="AO39" s="84">
        <f t="shared" si="16"/>
        <v>7.6453719743711434E-3</v>
      </c>
      <c r="AP39" s="84">
        <f t="shared" si="17"/>
        <v>1.2180209420977696E-2</v>
      </c>
      <c r="AQ39" s="55">
        <f t="shared" si="18"/>
        <v>358139.53488372103</v>
      </c>
      <c r="AR39" s="55">
        <f t="shared" si="19"/>
        <v>434883.72093023261</v>
      </c>
      <c r="AS39" s="83">
        <f t="shared" si="3"/>
        <v>41</v>
      </c>
      <c r="AT39" s="50">
        <f t="shared" si="20"/>
        <v>7.1837499999999999</v>
      </c>
      <c r="AU39" s="55" t="str">
        <f t="shared" si="21"/>
        <v>Medium</v>
      </c>
      <c r="AV39" s="34" t="s">
        <v>1528</v>
      </c>
      <c r="AW39" s="111"/>
      <c r="AX39" s="30" t="s">
        <v>1493</v>
      </c>
      <c r="AY39" s="30"/>
      <c r="AZ39" s="85" t="str">
        <f>IF(ISERROR(_xlfn.XLOOKUP(CONCATENATE(A39,"_",AV39),'Reference-Proof pt impact flag'!$I$3:$I$1048576,'Reference-Proof pt impact flag'!$G$3:$G$1048576)),"",_xlfn.XLOOKUP(CONCATENATE(A39,"_",AV39),'Reference-Proof pt impact flag'!$I$3:$I$1048576,'Reference-Proof pt impact flag'!$G$3:$G$1048576))</f>
        <v/>
      </c>
      <c r="BA39" s="74"/>
      <c r="BB39" s="74"/>
      <c r="BC39" s="74"/>
      <c r="BD39" s="74"/>
      <c r="BE39" s="74"/>
      <c r="BF39" s="74" t="e">
        <f>_xlfn.XLOOKUP(CONCATENATE(H39,"_",AV39),'Test 2 - Proof points - GPT5'!$T:$T,'Test 2 - Proof points - GPT5'!$S:$S)</f>
        <v>#N/A</v>
      </c>
      <c r="BG39" s="74" t="e">
        <f>_xlfn.XLOOKUP(CONCATENATE(H39,"_",AV39),'Test 2 -Proof points - Sonnet'!$AB:$AB,'Test 2 -Proof points - Sonnet'!$AA:$AA)</f>
        <v>#N/A</v>
      </c>
      <c r="BH39" s="74"/>
      <c r="BI39" s="74"/>
      <c r="BJ39" s="74" t="s">
        <v>1461</v>
      </c>
      <c r="BK39" s="30"/>
      <c r="BL39" s="30"/>
      <c r="BM39" s="30"/>
      <c r="BN39" s="30"/>
      <c r="BO39" s="30"/>
      <c r="BP39" s="30"/>
      <c r="BQ39" s="30"/>
      <c r="BR39" s="30"/>
      <c r="BS39" s="30"/>
      <c r="BT39" s="30"/>
      <c r="BU39" s="30"/>
      <c r="BV39" s="113"/>
    </row>
    <row r="40" spans="1:74" ht="27" hidden="1" customHeight="1" x14ac:dyDescent="0.35">
      <c r="A40" s="22">
        <v>1</v>
      </c>
      <c r="B40" s="22" t="s">
        <v>1451</v>
      </c>
      <c r="C40" s="22" t="s">
        <v>1452</v>
      </c>
      <c r="D40" s="22" t="s">
        <v>1224</v>
      </c>
      <c r="E40" s="22" t="s">
        <v>1453</v>
      </c>
      <c r="F40" s="22"/>
      <c r="G40" s="22" t="s">
        <v>1274</v>
      </c>
      <c r="H40" s="21" t="s">
        <v>1292</v>
      </c>
      <c r="I40" s="22"/>
      <c r="J40" s="21" t="s">
        <v>1462</v>
      </c>
      <c r="K40" s="30"/>
      <c r="L40" s="35" t="s">
        <v>1228</v>
      </c>
      <c r="M40" s="35" t="str">
        <f>VLOOKUP(H40,'1_Value &amp; risk levers'!$H$9:$O$1048576,2,FALSE)</f>
        <v>Not practiced / not explored so far</v>
      </c>
      <c r="N40" s="35" t="str">
        <f>VLOOKUP(H40,'1_Value &amp; risk levers'!$H$9:$O$1048576,3,FALSE)</f>
        <v>Ad-hoc initiatives to bundle volume across suppliers</v>
      </c>
      <c r="O40" s="35" t="str">
        <f>VLOOKUP(H40,'1_Value &amp; risk levers'!$H$9:$O$1048576,4,FALSE)</f>
        <v>Suppliers are evaluated for their product coverage at the time of sourcing</v>
      </c>
      <c r="P40" s="35" t="str">
        <f>VLOOKUP(H40,'1_Value &amp; risk levers'!$H$9:$O$1048576,5,FALSE)</f>
        <v>Comprehensive bundling strategy across all vegetable oils - following an optimization approach to identify the right volume mix across suppliers and SKUs</v>
      </c>
      <c r="Q40" s="77">
        <f>IF(VLOOKUP(H40,'1_Value &amp; risk levers'!$H$9:$T$1048576,13,FALSE)=0,"",VLOOKUP(H40,'1_Value &amp; risk levers'!$H$9:$T$1048576,13,FALSE))</f>
        <v>3</v>
      </c>
      <c r="R40" s="128">
        <f t="shared" si="0"/>
        <v>2</v>
      </c>
      <c r="S40" s="128" t="e">
        <f t="shared" si="1"/>
        <v>#DIV/0!</v>
      </c>
      <c r="T40" s="77"/>
      <c r="U40" s="77"/>
      <c r="V40" s="55"/>
      <c r="W40" s="71">
        <v>0.04</v>
      </c>
      <c r="X40" s="71">
        <v>0.1</v>
      </c>
      <c r="Y40" s="71">
        <f>VLOOKUP(H40,'1_Value &amp; risk levers'!$H$9:$O$1048576,8,FALSE)</f>
        <v>0.8</v>
      </c>
      <c r="Z40" s="51">
        <f t="shared" si="2"/>
        <v>7.0000000000000007E-2</v>
      </c>
      <c r="AA40" s="51">
        <f t="shared" si="4"/>
        <v>8.5000000000000006E-2</v>
      </c>
      <c r="AB40" s="55">
        <f t="shared" si="5"/>
        <v>2800000.0000000005</v>
      </c>
      <c r="AC40" s="55">
        <f t="shared" si="6"/>
        <v>3400000.0000000005</v>
      </c>
      <c r="AD40" s="80">
        <f t="shared" si="7"/>
        <v>7</v>
      </c>
      <c r="AE40" s="84">
        <f t="shared" si="8"/>
        <v>0.48864540816326468</v>
      </c>
      <c r="AF40" s="71" t="str">
        <f t="shared" si="9"/>
        <v>Low</v>
      </c>
      <c r="AG40" s="84">
        <f t="shared" si="10"/>
        <v>5.9772908163265304E-2</v>
      </c>
      <c r="AH40" s="84">
        <f t="shared" si="11"/>
        <v>9.5227091836734709E-2</v>
      </c>
      <c r="AI40" s="73">
        <f t="shared" si="12"/>
        <v>2390916.3265306121</v>
      </c>
      <c r="AJ40" s="73">
        <f t="shared" si="13"/>
        <v>3809083.6734693884</v>
      </c>
      <c r="AK40" s="46">
        <f>VLOOKUP(H40,'1_Value &amp; risk levers'!$H$9:$O$1048576,6,FALSE)</f>
        <v>0.02</v>
      </c>
      <c r="AL40" s="46">
        <f>VLOOKUP(H40,'1_Value &amp; risk levers'!$H$9:$O$1048576,7,FALSE)</f>
        <v>0.05</v>
      </c>
      <c r="AM40" s="50">
        <f t="shared" si="14"/>
        <v>2.75E-2</v>
      </c>
      <c r="AN40" s="72">
        <f t="shared" si="15"/>
        <v>0.12790697674418605</v>
      </c>
      <c r="AO40" s="84">
        <f t="shared" si="16"/>
        <v>7.6453719743711434E-3</v>
      </c>
      <c r="AP40" s="84">
        <f t="shared" si="17"/>
        <v>1.2180209420977696E-2</v>
      </c>
      <c r="AQ40" s="55">
        <f t="shared" si="18"/>
        <v>358139.53488372103</v>
      </c>
      <c r="AR40" s="55">
        <f t="shared" si="19"/>
        <v>434883.72093023261</v>
      </c>
      <c r="AS40" s="83">
        <f t="shared" si="3"/>
        <v>41</v>
      </c>
      <c r="AT40" s="50">
        <f t="shared" si="20"/>
        <v>7.1837499999999999</v>
      </c>
      <c r="AU40" s="55" t="str">
        <f t="shared" si="21"/>
        <v>Medium</v>
      </c>
      <c r="AV40" s="34" t="s">
        <v>1529</v>
      </c>
      <c r="AW40" s="111"/>
      <c r="AX40" s="30" t="s">
        <v>1493</v>
      </c>
      <c r="AY40" s="30"/>
      <c r="AZ40" s="85" t="str">
        <f>IF(ISERROR(_xlfn.XLOOKUP(CONCATENATE(A40,"_",AV40),'Reference-Proof pt impact flag'!$I$3:$I$1048576,'Reference-Proof pt impact flag'!$G$3:$G$1048576)),"",_xlfn.XLOOKUP(CONCATENATE(A40,"_",AV40),'Reference-Proof pt impact flag'!$I$3:$I$1048576,'Reference-Proof pt impact flag'!$G$3:$G$1048576))</f>
        <v/>
      </c>
      <c r="BA40" s="74"/>
      <c r="BB40" s="74"/>
      <c r="BC40" s="74"/>
      <c r="BD40" s="74"/>
      <c r="BE40" s="74"/>
      <c r="BF40" s="74" t="e">
        <f>_xlfn.XLOOKUP(CONCATENATE(H40,"_",AV40),'Test 2 - Proof points - GPT5'!$T:$T,'Test 2 - Proof points - GPT5'!$S:$S)</f>
        <v>#N/A</v>
      </c>
      <c r="BG40" s="74" t="e">
        <f>_xlfn.XLOOKUP(CONCATENATE(H40,"_",AV40),'Test 2 -Proof points - Sonnet'!$AB:$AB,'Test 2 -Proof points - Sonnet'!$AA:$AA)</f>
        <v>#N/A</v>
      </c>
      <c r="BH40" s="74"/>
      <c r="BI40" s="74"/>
      <c r="BJ40" s="74" t="s">
        <v>1461</v>
      </c>
      <c r="BK40" s="30"/>
      <c r="BL40" s="30"/>
      <c r="BM40" s="30"/>
      <c r="BN40" s="30"/>
      <c r="BO40" s="30"/>
      <c r="BP40" s="30"/>
      <c r="BQ40" s="30"/>
      <c r="BR40" s="30"/>
      <c r="BS40" s="30"/>
      <c r="BT40" s="30"/>
      <c r="BU40" s="30"/>
      <c r="BV40" s="113"/>
    </row>
    <row r="41" spans="1:74" ht="27" hidden="1" customHeight="1" x14ac:dyDescent="0.35">
      <c r="A41" s="22">
        <v>1</v>
      </c>
      <c r="B41" s="22" t="s">
        <v>1451</v>
      </c>
      <c r="C41" s="22" t="s">
        <v>1452</v>
      </c>
      <c r="D41" s="22" t="s">
        <v>1224</v>
      </c>
      <c r="E41" s="22" t="s">
        <v>1453</v>
      </c>
      <c r="F41" s="22"/>
      <c r="G41" s="22" t="s">
        <v>1274</v>
      </c>
      <c r="H41" s="21" t="s">
        <v>1292</v>
      </c>
      <c r="I41" s="22"/>
      <c r="J41" s="21" t="s">
        <v>1462</v>
      </c>
      <c r="K41" s="30"/>
      <c r="L41" s="35" t="s">
        <v>1228</v>
      </c>
      <c r="M41" s="35" t="str">
        <f>VLOOKUP(H41,'1_Value &amp; risk levers'!$H$9:$O$1048576,2,FALSE)</f>
        <v>Not practiced / not explored so far</v>
      </c>
      <c r="N41" s="35" t="str">
        <f>VLOOKUP(H41,'1_Value &amp; risk levers'!$H$9:$O$1048576,3,FALSE)</f>
        <v>Ad-hoc initiatives to bundle volume across suppliers</v>
      </c>
      <c r="O41" s="35" t="str">
        <f>VLOOKUP(H41,'1_Value &amp; risk levers'!$H$9:$O$1048576,4,FALSE)</f>
        <v>Suppliers are evaluated for their product coverage at the time of sourcing</v>
      </c>
      <c r="P41" s="35" t="str">
        <f>VLOOKUP(H41,'1_Value &amp; risk levers'!$H$9:$O$1048576,5,FALSE)</f>
        <v>Comprehensive bundling strategy across all vegetable oils - following an optimization approach to identify the right volume mix across suppliers and SKUs</v>
      </c>
      <c r="Q41" s="77">
        <f>IF(VLOOKUP(H41,'1_Value &amp; risk levers'!$H$9:$T$1048576,13,FALSE)=0,"",VLOOKUP(H41,'1_Value &amp; risk levers'!$H$9:$T$1048576,13,FALSE))</f>
        <v>3</v>
      </c>
      <c r="R41" s="128">
        <f t="shared" si="0"/>
        <v>2</v>
      </c>
      <c r="S41" s="128" t="e">
        <f t="shared" si="1"/>
        <v>#DIV/0!</v>
      </c>
      <c r="T41" s="77"/>
      <c r="U41" s="77"/>
      <c r="V41" s="55"/>
      <c r="W41" s="71">
        <v>0.04</v>
      </c>
      <c r="X41" s="71">
        <v>0.1</v>
      </c>
      <c r="Y41" s="71">
        <f>VLOOKUP(H41,'1_Value &amp; risk levers'!$H$9:$O$1048576,8,FALSE)</f>
        <v>0.8</v>
      </c>
      <c r="Z41" s="51">
        <f t="shared" si="2"/>
        <v>7.0000000000000007E-2</v>
      </c>
      <c r="AA41" s="51">
        <f t="shared" si="4"/>
        <v>8.5000000000000006E-2</v>
      </c>
      <c r="AB41" s="55">
        <f t="shared" si="5"/>
        <v>2800000.0000000005</v>
      </c>
      <c r="AC41" s="55">
        <f t="shared" si="6"/>
        <v>3400000.0000000005</v>
      </c>
      <c r="AD41" s="80">
        <f t="shared" si="7"/>
        <v>7</v>
      </c>
      <c r="AE41" s="84">
        <f t="shared" si="8"/>
        <v>0.48864540816326468</v>
      </c>
      <c r="AF41" s="71" t="str">
        <f t="shared" si="9"/>
        <v>Low</v>
      </c>
      <c r="AG41" s="84">
        <f t="shared" si="10"/>
        <v>5.9772908163265304E-2</v>
      </c>
      <c r="AH41" s="84">
        <f t="shared" si="11"/>
        <v>9.5227091836734709E-2</v>
      </c>
      <c r="AI41" s="73">
        <f t="shared" si="12"/>
        <v>2390916.3265306121</v>
      </c>
      <c r="AJ41" s="73">
        <f t="shared" si="13"/>
        <v>3809083.6734693884</v>
      </c>
      <c r="AK41" s="46">
        <f>VLOOKUP(H41,'1_Value &amp; risk levers'!$H$9:$O$1048576,6,FALSE)</f>
        <v>0.02</v>
      </c>
      <c r="AL41" s="46">
        <f>VLOOKUP(H41,'1_Value &amp; risk levers'!$H$9:$O$1048576,7,FALSE)</f>
        <v>0.05</v>
      </c>
      <c r="AM41" s="50">
        <f t="shared" si="14"/>
        <v>2.75E-2</v>
      </c>
      <c r="AN41" s="72">
        <f t="shared" si="15"/>
        <v>0.12790697674418605</v>
      </c>
      <c r="AO41" s="84">
        <f t="shared" si="16"/>
        <v>7.6453719743711434E-3</v>
      </c>
      <c r="AP41" s="84">
        <f t="shared" si="17"/>
        <v>1.2180209420977696E-2</v>
      </c>
      <c r="AQ41" s="55">
        <f t="shared" si="18"/>
        <v>358139.53488372103</v>
      </c>
      <c r="AR41" s="55">
        <f t="shared" si="19"/>
        <v>434883.72093023261</v>
      </c>
      <c r="AS41" s="83">
        <f t="shared" si="3"/>
        <v>41</v>
      </c>
      <c r="AT41" s="50">
        <f t="shared" si="20"/>
        <v>7.1837499999999999</v>
      </c>
      <c r="AU41" s="55" t="str">
        <f t="shared" si="21"/>
        <v>Medium</v>
      </c>
      <c r="AV41" s="34" t="s">
        <v>1530</v>
      </c>
      <c r="AW41" s="111"/>
      <c r="AX41" s="30" t="s">
        <v>1493</v>
      </c>
      <c r="AY41" s="30"/>
      <c r="AZ41" s="85" t="str">
        <f>IF(ISERROR(_xlfn.XLOOKUP(CONCATENATE(A41,"_",AV41),'Reference-Proof pt impact flag'!$I$3:$I$1048576,'Reference-Proof pt impact flag'!$G$3:$G$1048576)),"",_xlfn.XLOOKUP(CONCATENATE(A41,"_",AV41),'Reference-Proof pt impact flag'!$I$3:$I$1048576,'Reference-Proof pt impact flag'!$G$3:$G$1048576))</f>
        <v/>
      </c>
      <c r="BA41" s="74"/>
      <c r="BB41" s="74"/>
      <c r="BC41" s="74"/>
      <c r="BD41" s="74"/>
      <c r="BE41" s="74"/>
      <c r="BF41" s="74" t="e">
        <f>_xlfn.XLOOKUP(CONCATENATE(H41,"_",AV41),'Test 2 - Proof points - GPT5'!$T:$T,'Test 2 - Proof points - GPT5'!$S:$S)</f>
        <v>#N/A</v>
      </c>
      <c r="BG41" s="74" t="e">
        <f>_xlfn.XLOOKUP(CONCATENATE(H41,"_",AV41),'Test 2 -Proof points - Sonnet'!$AB:$AB,'Test 2 -Proof points - Sonnet'!$AA:$AA)</f>
        <v>#N/A</v>
      </c>
      <c r="BH41" s="74"/>
      <c r="BI41" s="74"/>
      <c r="BJ41" s="74" t="s">
        <v>1461</v>
      </c>
      <c r="BK41" s="30"/>
      <c r="BL41" s="30"/>
      <c r="BM41" s="30"/>
      <c r="BN41" s="30"/>
      <c r="BO41" s="30"/>
      <c r="BP41" s="30"/>
      <c r="BQ41" s="30"/>
      <c r="BR41" s="30"/>
      <c r="BS41" s="30"/>
      <c r="BT41" s="30"/>
      <c r="BU41" s="30"/>
      <c r="BV41" s="113"/>
    </row>
    <row r="42" spans="1:74" ht="27" hidden="1" customHeight="1" x14ac:dyDescent="0.35">
      <c r="A42" s="22">
        <v>1</v>
      </c>
      <c r="B42" s="22" t="s">
        <v>1451</v>
      </c>
      <c r="C42" s="22" t="s">
        <v>1452</v>
      </c>
      <c r="D42" s="22" t="s">
        <v>1224</v>
      </c>
      <c r="E42" s="22" t="s">
        <v>1453</v>
      </c>
      <c r="F42" s="22"/>
      <c r="G42" s="22" t="s">
        <v>1274</v>
      </c>
      <c r="H42" s="21" t="s">
        <v>1292</v>
      </c>
      <c r="I42" s="22"/>
      <c r="J42" s="21" t="s">
        <v>1462</v>
      </c>
      <c r="K42" s="30"/>
      <c r="L42" s="35" t="s">
        <v>1228</v>
      </c>
      <c r="M42" s="35" t="str">
        <f>VLOOKUP(H42,'1_Value &amp; risk levers'!$H$9:$O$1048576,2,FALSE)</f>
        <v>Not practiced / not explored so far</v>
      </c>
      <c r="N42" s="35" t="str">
        <f>VLOOKUP(H42,'1_Value &amp; risk levers'!$H$9:$O$1048576,3,FALSE)</f>
        <v>Ad-hoc initiatives to bundle volume across suppliers</v>
      </c>
      <c r="O42" s="35" t="str">
        <f>VLOOKUP(H42,'1_Value &amp; risk levers'!$H$9:$O$1048576,4,FALSE)</f>
        <v>Suppliers are evaluated for their product coverage at the time of sourcing</v>
      </c>
      <c r="P42" s="35" t="str">
        <f>VLOOKUP(H42,'1_Value &amp; risk levers'!$H$9:$O$1048576,5,FALSE)</f>
        <v>Comprehensive bundling strategy across all vegetable oils - following an optimization approach to identify the right volume mix across suppliers and SKUs</v>
      </c>
      <c r="Q42" s="77">
        <f>IF(VLOOKUP(H42,'1_Value &amp; risk levers'!$H$9:$T$1048576,13,FALSE)=0,"",VLOOKUP(H42,'1_Value &amp; risk levers'!$H$9:$T$1048576,13,FALSE))</f>
        <v>3</v>
      </c>
      <c r="R42" s="128">
        <f t="shared" si="0"/>
        <v>2</v>
      </c>
      <c r="S42" s="128" t="e">
        <f t="shared" si="1"/>
        <v>#DIV/0!</v>
      </c>
      <c r="T42" s="77"/>
      <c r="U42" s="77"/>
      <c r="V42" s="55"/>
      <c r="W42" s="71">
        <v>0.04</v>
      </c>
      <c r="X42" s="71">
        <v>0.1</v>
      </c>
      <c r="Y42" s="71">
        <f>VLOOKUP(H42,'1_Value &amp; risk levers'!$H$9:$O$1048576,8,FALSE)</f>
        <v>0.8</v>
      </c>
      <c r="Z42" s="51">
        <f t="shared" si="2"/>
        <v>7.0000000000000007E-2</v>
      </c>
      <c r="AA42" s="51">
        <f t="shared" si="4"/>
        <v>8.5000000000000006E-2</v>
      </c>
      <c r="AB42" s="55">
        <f t="shared" si="5"/>
        <v>2800000.0000000005</v>
      </c>
      <c r="AC42" s="55">
        <f t="shared" si="6"/>
        <v>3400000.0000000005</v>
      </c>
      <c r="AD42" s="80">
        <f t="shared" si="7"/>
        <v>7</v>
      </c>
      <c r="AE42" s="84">
        <f t="shared" si="8"/>
        <v>0.48864540816326468</v>
      </c>
      <c r="AF42" s="71" t="str">
        <f t="shared" si="9"/>
        <v>Low</v>
      </c>
      <c r="AG42" s="84">
        <f t="shared" si="10"/>
        <v>5.9772908163265304E-2</v>
      </c>
      <c r="AH42" s="84">
        <f t="shared" si="11"/>
        <v>9.5227091836734709E-2</v>
      </c>
      <c r="AI42" s="73">
        <f t="shared" si="12"/>
        <v>2390916.3265306121</v>
      </c>
      <c r="AJ42" s="73">
        <f t="shared" si="13"/>
        <v>3809083.6734693884</v>
      </c>
      <c r="AK42" s="46">
        <f>VLOOKUP(H42,'1_Value &amp; risk levers'!$H$9:$O$1048576,6,FALSE)</f>
        <v>0.02</v>
      </c>
      <c r="AL42" s="46">
        <f>VLOOKUP(H42,'1_Value &amp; risk levers'!$H$9:$O$1048576,7,FALSE)</f>
        <v>0.05</v>
      </c>
      <c r="AM42" s="50">
        <f t="shared" si="14"/>
        <v>2.75E-2</v>
      </c>
      <c r="AN42" s="72">
        <f t="shared" si="15"/>
        <v>0.12790697674418605</v>
      </c>
      <c r="AO42" s="84">
        <f t="shared" si="16"/>
        <v>7.6453719743711434E-3</v>
      </c>
      <c r="AP42" s="84">
        <f t="shared" si="17"/>
        <v>1.2180209420977696E-2</v>
      </c>
      <c r="AQ42" s="55">
        <f t="shared" si="18"/>
        <v>358139.53488372103</v>
      </c>
      <c r="AR42" s="55">
        <f t="shared" si="19"/>
        <v>434883.72093023261</v>
      </c>
      <c r="AS42" s="83">
        <f t="shared" si="3"/>
        <v>41</v>
      </c>
      <c r="AT42" s="50">
        <f t="shared" si="20"/>
        <v>7.1837499999999999</v>
      </c>
      <c r="AU42" s="55" t="str">
        <f t="shared" si="21"/>
        <v>Medium</v>
      </c>
      <c r="AV42" s="34" t="s">
        <v>1531</v>
      </c>
      <c r="AW42" s="111"/>
      <c r="AX42" s="30" t="s">
        <v>1493</v>
      </c>
      <c r="AY42" s="30"/>
      <c r="AZ42" s="85" t="str">
        <f>IF(ISERROR(_xlfn.XLOOKUP(CONCATENATE(A42,"_",AV42),'Reference-Proof pt impact flag'!$I$3:$I$1048576,'Reference-Proof pt impact flag'!$G$3:$G$1048576)),"",_xlfn.XLOOKUP(CONCATENATE(A42,"_",AV42),'Reference-Proof pt impact flag'!$I$3:$I$1048576,'Reference-Proof pt impact flag'!$G$3:$G$1048576))</f>
        <v/>
      </c>
      <c r="BA42" s="74"/>
      <c r="BB42" s="74"/>
      <c r="BC42" s="74"/>
      <c r="BD42" s="74"/>
      <c r="BE42" s="74"/>
      <c r="BF42" s="74" t="e">
        <f>_xlfn.XLOOKUP(CONCATENATE(H42,"_",AV42),'Test 2 - Proof points - GPT5'!$T:$T,'Test 2 - Proof points - GPT5'!$S:$S)</f>
        <v>#N/A</v>
      </c>
      <c r="BG42" s="74" t="e">
        <f>_xlfn.XLOOKUP(CONCATENATE(H42,"_",AV42),'Test 2 -Proof points - Sonnet'!$AB:$AB,'Test 2 -Proof points - Sonnet'!$AA:$AA)</f>
        <v>#N/A</v>
      </c>
      <c r="BH42" s="74"/>
      <c r="BI42" s="74"/>
      <c r="BJ42" s="74" t="s">
        <v>1461</v>
      </c>
      <c r="BK42" s="30"/>
      <c r="BL42" s="30"/>
      <c r="BM42" s="30"/>
      <c r="BN42" s="30"/>
      <c r="BO42" s="30"/>
      <c r="BP42" s="30"/>
      <c r="BQ42" s="30"/>
      <c r="BR42" s="30"/>
      <c r="BS42" s="30"/>
      <c r="BT42" s="30"/>
      <c r="BU42" s="30"/>
      <c r="BV42" s="113"/>
    </row>
    <row r="43" spans="1:74" ht="27" hidden="1" customHeight="1" x14ac:dyDescent="0.35">
      <c r="A43" s="22">
        <v>1</v>
      </c>
      <c r="B43" s="22" t="s">
        <v>1451</v>
      </c>
      <c r="C43" s="22" t="s">
        <v>1452</v>
      </c>
      <c r="D43" s="22" t="s">
        <v>1224</v>
      </c>
      <c r="E43" s="22" t="s">
        <v>1453</v>
      </c>
      <c r="F43" s="22"/>
      <c r="G43" s="22" t="s">
        <v>1274</v>
      </c>
      <c r="H43" s="21" t="s">
        <v>1292</v>
      </c>
      <c r="I43" s="22"/>
      <c r="J43" s="21" t="s">
        <v>1462</v>
      </c>
      <c r="K43" s="30"/>
      <c r="L43" s="35" t="s">
        <v>1228</v>
      </c>
      <c r="M43" s="35" t="str">
        <f>VLOOKUP(H43,'1_Value &amp; risk levers'!$H$9:$O$1048576,2,FALSE)</f>
        <v>Not practiced / not explored so far</v>
      </c>
      <c r="N43" s="35" t="str">
        <f>VLOOKUP(H43,'1_Value &amp; risk levers'!$H$9:$O$1048576,3,FALSE)</f>
        <v>Ad-hoc initiatives to bundle volume across suppliers</v>
      </c>
      <c r="O43" s="35" t="str">
        <f>VLOOKUP(H43,'1_Value &amp; risk levers'!$H$9:$O$1048576,4,FALSE)</f>
        <v>Suppliers are evaluated for their product coverage at the time of sourcing</v>
      </c>
      <c r="P43" s="35" t="str">
        <f>VLOOKUP(H43,'1_Value &amp; risk levers'!$H$9:$O$1048576,5,FALSE)</f>
        <v>Comprehensive bundling strategy across all vegetable oils - following an optimization approach to identify the right volume mix across suppliers and SKUs</v>
      </c>
      <c r="Q43" s="77">
        <f>IF(VLOOKUP(H43,'1_Value &amp; risk levers'!$H$9:$T$1048576,13,FALSE)=0,"",VLOOKUP(H43,'1_Value &amp; risk levers'!$H$9:$T$1048576,13,FALSE))</f>
        <v>3</v>
      </c>
      <c r="R43" s="128">
        <f t="shared" si="0"/>
        <v>2</v>
      </c>
      <c r="S43" s="128" t="e">
        <f t="shared" si="1"/>
        <v>#DIV/0!</v>
      </c>
      <c r="T43" s="77"/>
      <c r="U43" s="77"/>
      <c r="V43" s="55"/>
      <c r="W43" s="71">
        <v>0.04</v>
      </c>
      <c r="X43" s="71">
        <v>0.1</v>
      </c>
      <c r="Y43" s="71">
        <f>VLOOKUP(H43,'1_Value &amp; risk levers'!$H$9:$O$1048576,8,FALSE)</f>
        <v>0.8</v>
      </c>
      <c r="Z43" s="51">
        <f t="shared" si="2"/>
        <v>7.0000000000000007E-2</v>
      </c>
      <c r="AA43" s="51">
        <f t="shared" si="4"/>
        <v>8.5000000000000006E-2</v>
      </c>
      <c r="AB43" s="55">
        <f t="shared" si="5"/>
        <v>2800000.0000000005</v>
      </c>
      <c r="AC43" s="55">
        <f t="shared" si="6"/>
        <v>3400000.0000000005</v>
      </c>
      <c r="AD43" s="80">
        <f t="shared" si="7"/>
        <v>7</v>
      </c>
      <c r="AE43" s="84">
        <f t="shared" si="8"/>
        <v>0.48864540816326468</v>
      </c>
      <c r="AF43" s="71" t="str">
        <f t="shared" si="9"/>
        <v>Low</v>
      </c>
      <c r="AG43" s="84">
        <f t="shared" si="10"/>
        <v>5.9772908163265304E-2</v>
      </c>
      <c r="AH43" s="84">
        <f t="shared" si="11"/>
        <v>9.5227091836734709E-2</v>
      </c>
      <c r="AI43" s="73">
        <f t="shared" si="12"/>
        <v>2390916.3265306121</v>
      </c>
      <c r="AJ43" s="73">
        <f t="shared" si="13"/>
        <v>3809083.6734693884</v>
      </c>
      <c r="AK43" s="46">
        <f>VLOOKUP(H43,'1_Value &amp; risk levers'!$H$9:$O$1048576,6,FALSE)</f>
        <v>0.02</v>
      </c>
      <c r="AL43" s="46">
        <f>VLOOKUP(H43,'1_Value &amp; risk levers'!$H$9:$O$1048576,7,FALSE)</f>
        <v>0.05</v>
      </c>
      <c r="AM43" s="50">
        <f t="shared" si="14"/>
        <v>2.75E-2</v>
      </c>
      <c r="AN43" s="72">
        <f t="shared" si="15"/>
        <v>0.12790697674418605</v>
      </c>
      <c r="AO43" s="84">
        <f t="shared" si="16"/>
        <v>7.6453719743711434E-3</v>
      </c>
      <c r="AP43" s="84">
        <f t="shared" si="17"/>
        <v>1.2180209420977696E-2</v>
      </c>
      <c r="AQ43" s="55">
        <f t="shared" si="18"/>
        <v>358139.53488372103</v>
      </c>
      <c r="AR43" s="55">
        <f t="shared" si="19"/>
        <v>434883.72093023261</v>
      </c>
      <c r="AS43" s="83">
        <f t="shared" si="3"/>
        <v>41</v>
      </c>
      <c r="AT43" s="50">
        <f t="shared" si="20"/>
        <v>7.1837499999999999</v>
      </c>
      <c r="AU43" s="55" t="str">
        <f t="shared" si="21"/>
        <v>Medium</v>
      </c>
      <c r="AV43" s="34" t="s">
        <v>1532</v>
      </c>
      <c r="AW43" s="111"/>
      <c r="AX43" s="30" t="s">
        <v>1493</v>
      </c>
      <c r="AY43" s="30"/>
      <c r="AZ43" s="85" t="str">
        <f>IF(ISERROR(_xlfn.XLOOKUP(CONCATENATE(A43,"_",AV43),'Reference-Proof pt impact flag'!$I$3:$I$1048576,'Reference-Proof pt impact flag'!$G$3:$G$1048576)),"",_xlfn.XLOOKUP(CONCATENATE(A43,"_",AV43),'Reference-Proof pt impact flag'!$I$3:$I$1048576,'Reference-Proof pt impact flag'!$G$3:$G$1048576))</f>
        <v/>
      </c>
      <c r="BA43" s="74"/>
      <c r="BB43" s="74"/>
      <c r="BC43" s="74"/>
      <c r="BD43" s="74"/>
      <c r="BE43" s="74"/>
      <c r="BF43" s="74" t="e">
        <f>_xlfn.XLOOKUP(CONCATENATE(H43,"_",AV43),'Test 2 - Proof points - GPT5'!$T:$T,'Test 2 - Proof points - GPT5'!$S:$S)</f>
        <v>#N/A</v>
      </c>
      <c r="BG43" s="74" t="e">
        <f>_xlfn.XLOOKUP(CONCATENATE(H43,"_",AV43),'Test 2 -Proof points - Sonnet'!$AB:$AB,'Test 2 -Proof points - Sonnet'!$AA:$AA)</f>
        <v>#N/A</v>
      </c>
      <c r="BH43" s="74"/>
      <c r="BI43" s="74"/>
      <c r="BJ43" s="74" t="s">
        <v>1461</v>
      </c>
      <c r="BK43" s="30"/>
      <c r="BL43" s="30"/>
      <c r="BM43" s="30"/>
      <c r="BN43" s="30"/>
      <c r="BO43" s="30"/>
      <c r="BP43" s="30"/>
      <c r="BQ43" s="30"/>
      <c r="BR43" s="30"/>
      <c r="BS43" s="30"/>
      <c r="BT43" s="30"/>
      <c r="BU43" s="30"/>
      <c r="BV43" s="113"/>
    </row>
    <row r="44" spans="1:74" ht="217.5" hidden="1" x14ac:dyDescent="0.35">
      <c r="A44" s="22">
        <v>2</v>
      </c>
      <c r="B44" s="22" t="s">
        <v>1451</v>
      </c>
      <c r="C44" s="22" t="s">
        <v>1452</v>
      </c>
      <c r="D44" s="22" t="s">
        <v>1224</v>
      </c>
      <c r="E44" s="22" t="s">
        <v>1453</v>
      </c>
      <c r="F44" s="22"/>
      <c r="G44" s="22" t="s">
        <v>1274</v>
      </c>
      <c r="H44" s="21" t="s">
        <v>1289</v>
      </c>
      <c r="I44" s="22"/>
      <c r="J44" s="21" t="s">
        <v>1316</v>
      </c>
      <c r="K44" s="30"/>
      <c r="L44" s="35" t="s">
        <v>1288</v>
      </c>
      <c r="M44" s="35" t="str">
        <f>VLOOKUP(H44,'1_Value &amp; risk levers'!$H$9:$O$1048576,2,FALSE)</f>
        <v>Rarely used</v>
      </c>
      <c r="N44" s="35" t="str">
        <f>VLOOKUP(H44,'1_Value &amp; risk levers'!$H$9:$O$1048576,3,FALSE)</f>
        <v>Occasionally applied in negotiations, not a structured / defined approach for category managers to follow</v>
      </c>
      <c r="O44" s="35" t="str">
        <f>VLOOKUP(H44,'1_Value &amp; risk levers'!$H$9:$O$1048576,4,FALSE)</f>
        <v>Regular practice for most vegetable oils, but requires manual calculations / manual updates</v>
      </c>
      <c r="P44" s="35" t="str">
        <f>VLOOKUP(H44,'1_Value &amp; risk levers'!$H$9:$O$1048576,5,FALSE)</f>
        <v>Advanced/ automated modeling integrated into procurement tools</v>
      </c>
      <c r="Q44" s="77">
        <f>IF(VLOOKUP(H44,'1_Value &amp; risk levers'!$H$9:$T$1048576,13,FALSE)=0,"",VLOOKUP(H44,'1_Value &amp; risk levers'!$H$9:$T$1048576,13,FALSE))</f>
        <v>1</v>
      </c>
      <c r="R44" s="128">
        <f t="shared" si="0"/>
        <v>2</v>
      </c>
      <c r="S44" s="128" t="e">
        <f t="shared" si="1"/>
        <v>#DIV/0!</v>
      </c>
      <c r="T44" s="77"/>
      <c r="U44" s="77"/>
      <c r="V44" s="55"/>
      <c r="W44" s="71">
        <v>0.04</v>
      </c>
      <c r="X44" s="71">
        <v>0.1</v>
      </c>
      <c r="Y44" s="71">
        <f>VLOOKUP(H44,'1_Value &amp; risk levers'!$H$9:$O$1048576,8,FALSE)</f>
        <v>0.8</v>
      </c>
      <c r="Z44" s="51">
        <f t="shared" si="2"/>
        <v>7.0000000000000007E-2</v>
      </c>
      <c r="AA44" s="51">
        <f t="shared" si="4"/>
        <v>8.5000000000000006E-2</v>
      </c>
      <c r="AB44" s="55">
        <f t="shared" si="5"/>
        <v>2800000.0000000005</v>
      </c>
      <c r="AC44" s="55">
        <f t="shared" si="6"/>
        <v>3400000.0000000005</v>
      </c>
      <c r="AD44" s="80">
        <f t="shared" si="7"/>
        <v>7</v>
      </c>
      <c r="AE44" s="84">
        <f t="shared" si="8"/>
        <v>0.48864540816326468</v>
      </c>
      <c r="AF44" s="71" t="str">
        <f t="shared" si="9"/>
        <v>Low</v>
      </c>
      <c r="AG44" s="84">
        <f t="shared" si="10"/>
        <v>5.9772908163265304E-2</v>
      </c>
      <c r="AH44" s="84">
        <f t="shared" si="11"/>
        <v>9.5227091836734709E-2</v>
      </c>
      <c r="AI44" s="73">
        <f t="shared" si="12"/>
        <v>2390916.3265306121</v>
      </c>
      <c r="AJ44" s="73">
        <f t="shared" si="13"/>
        <v>3809083.6734693884</v>
      </c>
      <c r="AK44" s="46">
        <f>VLOOKUP(H44,'1_Value &amp; risk levers'!$H$9:$O$1048576,6,FALSE)</f>
        <v>0.02</v>
      </c>
      <c r="AL44" s="46">
        <f>VLOOKUP(H44,'1_Value &amp; risk levers'!$H$9:$O$1048576,7,FALSE)</f>
        <v>0.05</v>
      </c>
      <c r="AM44" s="50">
        <f t="shared" si="14"/>
        <v>4.2500000000000003E-2</v>
      </c>
      <c r="AN44" s="72">
        <f t="shared" si="15"/>
        <v>0.19767441860465118</v>
      </c>
      <c r="AO44" s="84">
        <f t="shared" si="16"/>
        <v>1.1815574869482677E-2</v>
      </c>
      <c r="AP44" s="84">
        <f t="shared" si="17"/>
        <v>1.8823960014238257E-2</v>
      </c>
      <c r="AQ44" s="55">
        <f t="shared" si="18"/>
        <v>553488.37209302338</v>
      </c>
      <c r="AR44" s="55">
        <f t="shared" si="19"/>
        <v>672093.0232558141</v>
      </c>
      <c r="AS44" s="83">
        <f t="shared" si="3"/>
        <v>41</v>
      </c>
      <c r="AT44" s="50">
        <f t="shared" si="20"/>
        <v>7.18</v>
      </c>
      <c r="AU44" s="55" t="str">
        <f t="shared" si="21"/>
        <v>Medium</v>
      </c>
      <c r="AV44" s="36" t="s">
        <v>1454</v>
      </c>
      <c r="AW44" s="109" t="s">
        <v>1455</v>
      </c>
      <c r="AX44" s="37" t="s">
        <v>1456</v>
      </c>
      <c r="AY44" s="30"/>
      <c r="AZ44" s="85" t="str">
        <f>IF(ISERROR(_xlfn.XLOOKUP(CONCATENATE(A44,"_",AV44),'Reference-Proof pt impact flag'!$I$3:$I$1048576,'Reference-Proof pt impact flag'!$G$3:$G$1048576)),"",_xlfn.XLOOKUP(CONCATENATE(A44,"_",AV44),'Reference-Proof pt impact flag'!$I$3:$I$1048576,'Reference-Proof pt impact flag'!$G$3:$G$1048576))</f>
        <v/>
      </c>
      <c r="BA44" s="74"/>
      <c r="BB44" s="74"/>
      <c r="BC44" s="74"/>
      <c r="BD44" s="74"/>
      <c r="BE44" s="74"/>
      <c r="BF44" s="74" t="e">
        <f>_xlfn.XLOOKUP(CONCATENATE(H44,"_",AV44),'Test 2 - Proof points - GPT5'!$T:$T,'Test 2 - Proof points - GPT5'!$S:$S)</f>
        <v>#N/A</v>
      </c>
      <c r="BG44" s="74" t="e">
        <f>_xlfn.XLOOKUP(CONCATENATE(H44,"_",AV44),'Test 2 -Proof points - Sonnet'!$AB:$AB,'Test 2 -Proof points - Sonnet'!$AA:$AA)</f>
        <v>#N/A</v>
      </c>
      <c r="BH44" s="74"/>
      <c r="BI44" s="74"/>
      <c r="BJ44" s="74" t="s">
        <v>1533</v>
      </c>
      <c r="BK44" s="30"/>
      <c r="BL44" s="30"/>
      <c r="BM44" s="30"/>
      <c r="BN44" s="30"/>
      <c r="BO44" s="30"/>
      <c r="BP44" s="30"/>
      <c r="BQ44" s="30"/>
      <c r="BR44" s="30"/>
      <c r="BS44" s="30"/>
      <c r="BT44" s="30"/>
      <c r="BU44" s="30"/>
      <c r="BV44" s="113"/>
    </row>
    <row r="45" spans="1:74" ht="217.5" hidden="1" x14ac:dyDescent="0.35">
      <c r="A45" s="22">
        <v>2</v>
      </c>
      <c r="B45" s="22" t="s">
        <v>1451</v>
      </c>
      <c r="C45" s="22" t="s">
        <v>1452</v>
      </c>
      <c r="D45" s="22" t="s">
        <v>1224</v>
      </c>
      <c r="E45" s="22" t="s">
        <v>1453</v>
      </c>
      <c r="F45" s="22"/>
      <c r="G45" s="22" t="s">
        <v>1274</v>
      </c>
      <c r="H45" s="21" t="s">
        <v>1289</v>
      </c>
      <c r="I45" s="22"/>
      <c r="J45" s="21" t="s">
        <v>1316</v>
      </c>
      <c r="K45" s="30"/>
      <c r="L45" s="35" t="s">
        <v>1288</v>
      </c>
      <c r="M45" s="35" t="str">
        <f>VLOOKUP(H45,'1_Value &amp; risk levers'!$H$9:$O$1048576,2,FALSE)</f>
        <v>Rarely used</v>
      </c>
      <c r="N45" s="35" t="str">
        <f>VLOOKUP(H45,'1_Value &amp; risk levers'!$H$9:$O$1048576,3,FALSE)</f>
        <v>Occasionally applied in negotiations, not a structured / defined approach for category managers to follow</v>
      </c>
      <c r="O45" s="35" t="str">
        <f>VLOOKUP(H45,'1_Value &amp; risk levers'!$H$9:$O$1048576,4,FALSE)</f>
        <v>Regular practice for most vegetable oils, but requires manual calculations / manual updates</v>
      </c>
      <c r="P45" s="35" t="str">
        <f>VLOOKUP(H45,'1_Value &amp; risk levers'!$H$9:$O$1048576,5,FALSE)</f>
        <v>Advanced/ automated modeling integrated into procurement tools</v>
      </c>
      <c r="Q45" s="77">
        <f>IF(VLOOKUP(H45,'1_Value &amp; risk levers'!$H$9:$T$1048576,13,FALSE)=0,"",VLOOKUP(H45,'1_Value &amp; risk levers'!$H$9:$T$1048576,13,FALSE))</f>
        <v>1</v>
      </c>
      <c r="R45" s="128">
        <f t="shared" si="0"/>
        <v>2</v>
      </c>
      <c r="S45" s="128" t="e">
        <f t="shared" si="1"/>
        <v>#DIV/0!</v>
      </c>
      <c r="T45" s="77"/>
      <c r="U45" s="77"/>
      <c r="V45" s="55"/>
      <c r="W45" s="71">
        <v>0.04</v>
      </c>
      <c r="X45" s="71">
        <v>0.1</v>
      </c>
      <c r="Y45" s="71">
        <f>VLOOKUP(H45,'1_Value &amp; risk levers'!$H$9:$O$1048576,8,FALSE)</f>
        <v>0.8</v>
      </c>
      <c r="Z45" s="51">
        <f t="shared" si="2"/>
        <v>7.0000000000000007E-2</v>
      </c>
      <c r="AA45" s="51">
        <f t="shared" si="4"/>
        <v>8.5000000000000006E-2</v>
      </c>
      <c r="AB45" s="55">
        <f t="shared" si="5"/>
        <v>2800000.0000000005</v>
      </c>
      <c r="AC45" s="55">
        <f t="shared" si="6"/>
        <v>3400000.0000000005</v>
      </c>
      <c r="AD45" s="80">
        <f t="shared" si="7"/>
        <v>7</v>
      </c>
      <c r="AE45" s="84">
        <f t="shared" si="8"/>
        <v>0.48864540816326468</v>
      </c>
      <c r="AF45" s="71" t="str">
        <f t="shared" si="9"/>
        <v>Low</v>
      </c>
      <c r="AG45" s="84">
        <f t="shared" si="10"/>
        <v>5.9772908163265304E-2</v>
      </c>
      <c r="AH45" s="84">
        <f t="shared" si="11"/>
        <v>9.5227091836734709E-2</v>
      </c>
      <c r="AI45" s="73">
        <f t="shared" si="12"/>
        <v>2390916.3265306121</v>
      </c>
      <c r="AJ45" s="73">
        <f t="shared" si="13"/>
        <v>3809083.6734693884</v>
      </c>
      <c r="AK45" s="46">
        <f>VLOOKUP(H45,'1_Value &amp; risk levers'!$H$9:$O$1048576,6,FALSE)</f>
        <v>0.02</v>
      </c>
      <c r="AL45" s="46">
        <f>VLOOKUP(H45,'1_Value &amp; risk levers'!$H$9:$O$1048576,7,FALSE)</f>
        <v>0.05</v>
      </c>
      <c r="AM45" s="50">
        <f t="shared" si="14"/>
        <v>4.2500000000000003E-2</v>
      </c>
      <c r="AN45" s="72">
        <f t="shared" si="15"/>
        <v>0.19767441860465118</v>
      </c>
      <c r="AO45" s="84">
        <f t="shared" si="16"/>
        <v>1.1815574869482677E-2</v>
      </c>
      <c r="AP45" s="84">
        <f t="shared" si="17"/>
        <v>1.8823960014238257E-2</v>
      </c>
      <c r="AQ45" s="55">
        <f t="shared" si="18"/>
        <v>553488.37209302338</v>
      </c>
      <c r="AR45" s="55">
        <f t="shared" si="19"/>
        <v>672093.0232558141</v>
      </c>
      <c r="AS45" s="83">
        <f t="shared" si="3"/>
        <v>41</v>
      </c>
      <c r="AT45" s="50">
        <f t="shared" si="20"/>
        <v>7.18</v>
      </c>
      <c r="AU45" s="55" t="str">
        <f t="shared" si="21"/>
        <v>Medium</v>
      </c>
      <c r="AV45" s="36" t="s">
        <v>1463</v>
      </c>
      <c r="AW45" s="109" t="s">
        <v>1464</v>
      </c>
      <c r="AX45" s="37" t="s">
        <v>1456</v>
      </c>
      <c r="AY45" s="31"/>
      <c r="AZ45" s="85" t="str">
        <f>IF(ISERROR(_xlfn.XLOOKUP(CONCATENATE(A45,"_",AV45),'Reference-Proof pt impact flag'!$I$3:$I$1048576,'Reference-Proof pt impact flag'!$G$3:$G$1048576)),"",_xlfn.XLOOKUP(CONCATENATE(A45,"_",AV45),'Reference-Proof pt impact flag'!$I$3:$I$1048576,'Reference-Proof pt impact flag'!$G$3:$G$1048576))</f>
        <v/>
      </c>
      <c r="BA45" s="74"/>
      <c r="BB45" s="74"/>
      <c r="BC45" s="74"/>
      <c r="BD45" s="74"/>
      <c r="BE45" s="74"/>
      <c r="BF45" s="74" t="e">
        <f>_xlfn.XLOOKUP(CONCATENATE(H45,"_",AV45),'Test 2 - Proof points - GPT5'!$T:$T,'Test 2 - Proof points - GPT5'!$S:$S)</f>
        <v>#N/A</v>
      </c>
      <c r="BG45" s="74" t="e">
        <f>_xlfn.XLOOKUP(CONCATENATE(H45,"_",AV45),'Test 2 -Proof points - Sonnet'!$AB:$AB,'Test 2 -Proof points - Sonnet'!$AA:$AA)</f>
        <v>#N/A</v>
      </c>
      <c r="BH45" s="74"/>
      <c r="BI45" s="74"/>
      <c r="BJ45" s="74" t="s">
        <v>1533</v>
      </c>
      <c r="BK45" s="30"/>
      <c r="BL45" s="30"/>
      <c r="BM45" s="30"/>
      <c r="BN45" s="30"/>
      <c r="BO45" s="30"/>
      <c r="BP45" s="30"/>
      <c r="BQ45" s="30"/>
      <c r="BR45" s="30"/>
      <c r="BS45" s="30"/>
      <c r="BT45" s="30"/>
      <c r="BU45" s="30"/>
      <c r="BV45" s="113"/>
    </row>
    <row r="46" spans="1:74" ht="217.5" hidden="1" x14ac:dyDescent="0.35">
      <c r="A46" s="22">
        <v>2</v>
      </c>
      <c r="B46" s="22" t="s">
        <v>1451</v>
      </c>
      <c r="C46" s="22" t="s">
        <v>1452</v>
      </c>
      <c r="D46" s="22" t="s">
        <v>1224</v>
      </c>
      <c r="E46" s="22" t="s">
        <v>1453</v>
      </c>
      <c r="F46" s="22"/>
      <c r="G46" s="22" t="s">
        <v>1274</v>
      </c>
      <c r="H46" s="21" t="s">
        <v>1289</v>
      </c>
      <c r="I46" s="22"/>
      <c r="J46" s="21" t="s">
        <v>1316</v>
      </c>
      <c r="K46" s="30"/>
      <c r="L46" s="35" t="s">
        <v>1288</v>
      </c>
      <c r="M46" s="35" t="str">
        <f>VLOOKUP(H46,'1_Value &amp; risk levers'!$H$9:$O$1048576,2,FALSE)</f>
        <v>Rarely used</v>
      </c>
      <c r="N46" s="35" t="str">
        <f>VLOOKUP(H46,'1_Value &amp; risk levers'!$H$9:$O$1048576,3,FALSE)</f>
        <v>Occasionally applied in negotiations, not a structured / defined approach for category managers to follow</v>
      </c>
      <c r="O46" s="35" t="str">
        <f>VLOOKUP(H46,'1_Value &amp; risk levers'!$H$9:$O$1048576,4,FALSE)</f>
        <v>Regular practice for most vegetable oils, but requires manual calculations / manual updates</v>
      </c>
      <c r="P46" s="35" t="str">
        <f>VLOOKUP(H46,'1_Value &amp; risk levers'!$H$9:$O$1048576,5,FALSE)</f>
        <v>Advanced/ automated modeling integrated into procurement tools</v>
      </c>
      <c r="Q46" s="77">
        <f>IF(VLOOKUP(H46,'1_Value &amp; risk levers'!$H$9:$T$1048576,13,FALSE)=0,"",VLOOKUP(H46,'1_Value &amp; risk levers'!$H$9:$T$1048576,13,FALSE))</f>
        <v>1</v>
      </c>
      <c r="R46" s="128">
        <f t="shared" si="0"/>
        <v>2</v>
      </c>
      <c r="S46" s="128" t="e">
        <f t="shared" si="1"/>
        <v>#DIV/0!</v>
      </c>
      <c r="T46" s="77"/>
      <c r="U46" s="77"/>
      <c r="V46" s="55"/>
      <c r="W46" s="71">
        <v>0.04</v>
      </c>
      <c r="X46" s="71">
        <v>0.1</v>
      </c>
      <c r="Y46" s="71">
        <f>VLOOKUP(H46,'1_Value &amp; risk levers'!$H$9:$O$1048576,8,FALSE)</f>
        <v>0.8</v>
      </c>
      <c r="Z46" s="51">
        <f t="shared" si="2"/>
        <v>7.0000000000000007E-2</v>
      </c>
      <c r="AA46" s="51">
        <f t="shared" si="4"/>
        <v>8.5000000000000006E-2</v>
      </c>
      <c r="AB46" s="55">
        <f t="shared" si="5"/>
        <v>2800000.0000000005</v>
      </c>
      <c r="AC46" s="55">
        <f t="shared" si="6"/>
        <v>3400000.0000000005</v>
      </c>
      <c r="AD46" s="80">
        <f t="shared" si="7"/>
        <v>7</v>
      </c>
      <c r="AE46" s="84">
        <f t="shared" si="8"/>
        <v>0.48864540816326468</v>
      </c>
      <c r="AF46" s="71" t="str">
        <f t="shared" si="9"/>
        <v>Low</v>
      </c>
      <c r="AG46" s="84">
        <f t="shared" si="10"/>
        <v>5.9772908163265304E-2</v>
      </c>
      <c r="AH46" s="84">
        <f t="shared" si="11"/>
        <v>9.5227091836734709E-2</v>
      </c>
      <c r="AI46" s="73">
        <f t="shared" si="12"/>
        <v>2390916.3265306121</v>
      </c>
      <c r="AJ46" s="73">
        <f t="shared" si="13"/>
        <v>3809083.6734693884</v>
      </c>
      <c r="AK46" s="46">
        <f>VLOOKUP(H46,'1_Value &amp; risk levers'!$H$9:$O$1048576,6,FALSE)</f>
        <v>0.02</v>
      </c>
      <c r="AL46" s="46">
        <f>VLOOKUP(H46,'1_Value &amp; risk levers'!$H$9:$O$1048576,7,FALSE)</f>
        <v>0.05</v>
      </c>
      <c r="AM46" s="50">
        <f t="shared" si="14"/>
        <v>4.2500000000000003E-2</v>
      </c>
      <c r="AN46" s="72">
        <f t="shared" si="15"/>
        <v>0.19767441860465118</v>
      </c>
      <c r="AO46" s="84">
        <f t="shared" si="16"/>
        <v>1.1815574869482677E-2</v>
      </c>
      <c r="AP46" s="84">
        <f t="shared" si="17"/>
        <v>1.8823960014238257E-2</v>
      </c>
      <c r="AQ46" s="55">
        <f t="shared" si="18"/>
        <v>553488.37209302338</v>
      </c>
      <c r="AR46" s="55">
        <f t="shared" si="19"/>
        <v>672093.0232558141</v>
      </c>
      <c r="AS46" s="83">
        <f t="shared" si="3"/>
        <v>41</v>
      </c>
      <c r="AT46" s="50">
        <f t="shared" si="20"/>
        <v>7.18</v>
      </c>
      <c r="AU46" s="55" t="str">
        <f t="shared" si="21"/>
        <v>Medium</v>
      </c>
      <c r="AV46" s="36" t="s">
        <v>1465</v>
      </c>
      <c r="AW46" s="109" t="s">
        <v>1466</v>
      </c>
      <c r="AX46" s="37" t="s">
        <v>1456</v>
      </c>
      <c r="AY46" s="30"/>
      <c r="AZ46" s="85" t="str">
        <f>IF(ISERROR(_xlfn.XLOOKUP(CONCATENATE(A46,"_",AV46),'Reference-Proof pt impact flag'!$I$3:$I$1048576,'Reference-Proof pt impact flag'!$G$3:$G$1048576)),"",_xlfn.XLOOKUP(CONCATENATE(A46,"_",AV46),'Reference-Proof pt impact flag'!$I$3:$I$1048576,'Reference-Proof pt impact flag'!$G$3:$G$1048576))</f>
        <v/>
      </c>
      <c r="BA46" s="74"/>
      <c r="BB46" s="74"/>
      <c r="BC46" s="74"/>
      <c r="BD46" s="74"/>
      <c r="BE46" s="74"/>
      <c r="BF46" s="74" t="e">
        <f>_xlfn.XLOOKUP(CONCATENATE(H46,"_",AV46),'Test 2 - Proof points - GPT5'!$T:$T,'Test 2 - Proof points - GPT5'!$S:$S)</f>
        <v>#N/A</v>
      </c>
      <c r="BG46" s="74" t="e">
        <f>_xlfn.XLOOKUP(CONCATENATE(H46,"_",AV46),'Test 2 -Proof points - Sonnet'!$AB:$AB,'Test 2 -Proof points - Sonnet'!$AA:$AA)</f>
        <v>#N/A</v>
      </c>
      <c r="BH46" s="74"/>
      <c r="BI46" s="74"/>
      <c r="BJ46" s="74" t="s">
        <v>1533</v>
      </c>
      <c r="BK46" s="30"/>
      <c r="BL46" s="30"/>
      <c r="BM46" s="30"/>
      <c r="BN46" s="30"/>
      <c r="BO46" s="30"/>
      <c r="BP46" s="30"/>
      <c r="BQ46" s="30"/>
      <c r="BR46" s="30"/>
      <c r="BS46" s="30"/>
      <c r="BT46" s="30"/>
      <c r="BU46" s="30"/>
      <c r="BV46" s="113"/>
    </row>
    <row r="47" spans="1:74" ht="217.5" hidden="1" x14ac:dyDescent="0.35">
      <c r="A47" s="22">
        <v>2</v>
      </c>
      <c r="B47" s="22" t="s">
        <v>1451</v>
      </c>
      <c r="C47" s="22" t="s">
        <v>1452</v>
      </c>
      <c r="D47" s="22" t="s">
        <v>1224</v>
      </c>
      <c r="E47" s="22" t="s">
        <v>1453</v>
      </c>
      <c r="F47" s="22"/>
      <c r="G47" s="22" t="s">
        <v>1274</v>
      </c>
      <c r="H47" s="21" t="s">
        <v>1289</v>
      </c>
      <c r="I47" s="22"/>
      <c r="J47" s="21" t="s">
        <v>1316</v>
      </c>
      <c r="K47" s="30"/>
      <c r="L47" s="35" t="s">
        <v>1288</v>
      </c>
      <c r="M47" s="35" t="str">
        <f>VLOOKUP(H47,'1_Value &amp; risk levers'!$H$9:$O$1048576,2,FALSE)</f>
        <v>Rarely used</v>
      </c>
      <c r="N47" s="35" t="str">
        <f>VLOOKUP(H47,'1_Value &amp; risk levers'!$H$9:$O$1048576,3,FALSE)</f>
        <v>Occasionally applied in negotiations, not a structured / defined approach for category managers to follow</v>
      </c>
      <c r="O47" s="35" t="str">
        <f>VLOOKUP(H47,'1_Value &amp; risk levers'!$H$9:$O$1048576,4,FALSE)</f>
        <v>Regular practice for most vegetable oils, but requires manual calculations / manual updates</v>
      </c>
      <c r="P47" s="35" t="str">
        <f>VLOOKUP(H47,'1_Value &amp; risk levers'!$H$9:$O$1048576,5,FALSE)</f>
        <v>Advanced/ automated modeling integrated into procurement tools</v>
      </c>
      <c r="Q47" s="77">
        <f>IF(VLOOKUP(H47,'1_Value &amp; risk levers'!$H$9:$T$1048576,13,FALSE)=0,"",VLOOKUP(H47,'1_Value &amp; risk levers'!$H$9:$T$1048576,13,FALSE))</f>
        <v>1</v>
      </c>
      <c r="R47" s="128">
        <f t="shared" si="0"/>
        <v>2</v>
      </c>
      <c r="S47" s="128" t="e">
        <f t="shared" si="1"/>
        <v>#DIV/0!</v>
      </c>
      <c r="T47" s="77"/>
      <c r="U47" s="77"/>
      <c r="V47" s="55"/>
      <c r="W47" s="71">
        <v>0.04</v>
      </c>
      <c r="X47" s="71">
        <v>0.1</v>
      </c>
      <c r="Y47" s="71">
        <f>VLOOKUP(H47,'1_Value &amp; risk levers'!$H$9:$O$1048576,8,FALSE)</f>
        <v>0.8</v>
      </c>
      <c r="Z47" s="51">
        <f t="shared" si="2"/>
        <v>7.0000000000000007E-2</v>
      </c>
      <c r="AA47" s="51">
        <f t="shared" si="4"/>
        <v>8.5000000000000006E-2</v>
      </c>
      <c r="AB47" s="55">
        <f t="shared" si="5"/>
        <v>2800000.0000000005</v>
      </c>
      <c r="AC47" s="55">
        <f t="shared" si="6"/>
        <v>3400000.0000000005</v>
      </c>
      <c r="AD47" s="80">
        <f t="shared" si="7"/>
        <v>7</v>
      </c>
      <c r="AE47" s="84">
        <f t="shared" si="8"/>
        <v>0.48864540816326468</v>
      </c>
      <c r="AF47" s="71" t="str">
        <f t="shared" si="9"/>
        <v>Low</v>
      </c>
      <c r="AG47" s="84">
        <f t="shared" si="10"/>
        <v>5.9772908163265304E-2</v>
      </c>
      <c r="AH47" s="84">
        <f t="shared" si="11"/>
        <v>9.5227091836734709E-2</v>
      </c>
      <c r="AI47" s="73">
        <f t="shared" si="12"/>
        <v>2390916.3265306121</v>
      </c>
      <c r="AJ47" s="73">
        <f t="shared" si="13"/>
        <v>3809083.6734693884</v>
      </c>
      <c r="AK47" s="46">
        <f>VLOOKUP(H47,'1_Value &amp; risk levers'!$H$9:$O$1048576,6,FALSE)</f>
        <v>0.02</v>
      </c>
      <c r="AL47" s="46">
        <f>VLOOKUP(H47,'1_Value &amp; risk levers'!$H$9:$O$1048576,7,FALSE)</f>
        <v>0.05</v>
      </c>
      <c r="AM47" s="50">
        <f t="shared" si="14"/>
        <v>4.2500000000000003E-2</v>
      </c>
      <c r="AN47" s="72">
        <f t="shared" si="15"/>
        <v>0.19767441860465118</v>
      </c>
      <c r="AO47" s="84">
        <f t="shared" si="16"/>
        <v>1.1815574869482677E-2</v>
      </c>
      <c r="AP47" s="84">
        <f t="shared" si="17"/>
        <v>1.8823960014238257E-2</v>
      </c>
      <c r="AQ47" s="55">
        <f t="shared" si="18"/>
        <v>553488.37209302338</v>
      </c>
      <c r="AR47" s="55">
        <f t="shared" si="19"/>
        <v>672093.0232558141</v>
      </c>
      <c r="AS47" s="83">
        <f t="shared" si="3"/>
        <v>41</v>
      </c>
      <c r="AT47" s="50">
        <f t="shared" si="20"/>
        <v>7.18</v>
      </c>
      <c r="AU47" s="55" t="str">
        <f t="shared" si="21"/>
        <v>Medium</v>
      </c>
      <c r="AV47" s="36" t="s">
        <v>1467</v>
      </c>
      <c r="AW47" s="109" t="s">
        <v>1468</v>
      </c>
      <c r="AX47" s="37" t="s">
        <v>1456</v>
      </c>
      <c r="AY47" s="27"/>
      <c r="AZ47" s="85" t="str">
        <f>IF(ISERROR(_xlfn.XLOOKUP(CONCATENATE(A47,"_",AV47),'Reference-Proof pt impact flag'!$I$3:$I$1048576,'Reference-Proof pt impact flag'!$G$3:$G$1048576)),"",_xlfn.XLOOKUP(CONCATENATE(A47,"_",AV47),'Reference-Proof pt impact flag'!$I$3:$I$1048576,'Reference-Proof pt impact flag'!$G$3:$G$1048576))</f>
        <v/>
      </c>
      <c r="BA47" s="74"/>
      <c r="BB47" s="74"/>
      <c r="BC47" s="74"/>
      <c r="BD47" s="74"/>
      <c r="BE47" s="74"/>
      <c r="BF47" s="74" t="e">
        <f>_xlfn.XLOOKUP(CONCATENATE(H47,"_",AV47),'Test 2 - Proof points - GPT5'!$T:$T,'Test 2 - Proof points - GPT5'!$S:$S)</f>
        <v>#N/A</v>
      </c>
      <c r="BG47" s="74" t="e">
        <f>_xlfn.XLOOKUP(CONCATENATE(H47,"_",AV47),'Test 2 -Proof points - Sonnet'!$AB:$AB,'Test 2 -Proof points - Sonnet'!$AA:$AA)</f>
        <v>#N/A</v>
      </c>
      <c r="BH47" s="74"/>
      <c r="BI47" s="74"/>
      <c r="BJ47" s="74" t="s">
        <v>1533</v>
      </c>
      <c r="BK47" s="30"/>
      <c r="BL47" s="30"/>
      <c r="BM47" s="30"/>
      <c r="BN47" s="30"/>
      <c r="BO47" s="30"/>
      <c r="BP47" s="30"/>
      <c r="BQ47" s="30"/>
      <c r="BR47" s="30"/>
      <c r="BS47" s="30"/>
      <c r="BT47" s="30"/>
      <c r="BU47" s="30"/>
      <c r="BV47" s="113"/>
    </row>
    <row r="48" spans="1:74" ht="217.5" hidden="1" x14ac:dyDescent="0.35">
      <c r="A48" s="22">
        <v>2</v>
      </c>
      <c r="B48" s="22" t="s">
        <v>1451</v>
      </c>
      <c r="C48" s="22" t="s">
        <v>1452</v>
      </c>
      <c r="D48" s="22" t="s">
        <v>1224</v>
      </c>
      <c r="E48" s="22" t="s">
        <v>1453</v>
      </c>
      <c r="F48" s="22"/>
      <c r="G48" s="22" t="s">
        <v>1274</v>
      </c>
      <c r="H48" s="21" t="s">
        <v>1289</v>
      </c>
      <c r="I48" s="22"/>
      <c r="J48" s="21" t="s">
        <v>1316</v>
      </c>
      <c r="K48" s="30"/>
      <c r="L48" s="35" t="s">
        <v>1288</v>
      </c>
      <c r="M48" s="35" t="str">
        <f>VLOOKUP(H48,'1_Value &amp; risk levers'!$H$9:$O$1048576,2,FALSE)</f>
        <v>Rarely used</v>
      </c>
      <c r="N48" s="35" t="str">
        <f>VLOOKUP(H48,'1_Value &amp; risk levers'!$H$9:$O$1048576,3,FALSE)</f>
        <v>Occasionally applied in negotiations, not a structured / defined approach for category managers to follow</v>
      </c>
      <c r="O48" s="35" t="str">
        <f>VLOOKUP(H48,'1_Value &amp; risk levers'!$H$9:$O$1048576,4,FALSE)</f>
        <v>Regular practice for most vegetable oils, but requires manual calculations / manual updates</v>
      </c>
      <c r="P48" s="35" t="str">
        <f>VLOOKUP(H48,'1_Value &amp; risk levers'!$H$9:$O$1048576,5,FALSE)</f>
        <v>Advanced/ automated modeling integrated into procurement tools</v>
      </c>
      <c r="Q48" s="77">
        <f>IF(VLOOKUP(H48,'1_Value &amp; risk levers'!$H$9:$T$1048576,13,FALSE)=0,"",VLOOKUP(H48,'1_Value &amp; risk levers'!$H$9:$T$1048576,13,FALSE))</f>
        <v>1</v>
      </c>
      <c r="R48" s="128">
        <f t="shared" si="0"/>
        <v>2</v>
      </c>
      <c r="S48" s="128" t="e">
        <f t="shared" si="1"/>
        <v>#DIV/0!</v>
      </c>
      <c r="T48" s="77"/>
      <c r="U48" s="77"/>
      <c r="V48" s="55"/>
      <c r="W48" s="71">
        <v>0.04</v>
      </c>
      <c r="X48" s="71">
        <v>0.1</v>
      </c>
      <c r="Y48" s="71">
        <f>VLOOKUP(H48,'1_Value &amp; risk levers'!$H$9:$O$1048576,8,FALSE)</f>
        <v>0.8</v>
      </c>
      <c r="Z48" s="51">
        <f t="shared" si="2"/>
        <v>7.0000000000000007E-2</v>
      </c>
      <c r="AA48" s="51">
        <f t="shared" si="4"/>
        <v>8.5000000000000006E-2</v>
      </c>
      <c r="AB48" s="55">
        <f t="shared" si="5"/>
        <v>2800000.0000000005</v>
      </c>
      <c r="AC48" s="55">
        <f t="shared" si="6"/>
        <v>3400000.0000000005</v>
      </c>
      <c r="AD48" s="80">
        <f t="shared" si="7"/>
        <v>7</v>
      </c>
      <c r="AE48" s="84">
        <f t="shared" si="8"/>
        <v>0.48864540816326468</v>
      </c>
      <c r="AF48" s="71" t="str">
        <f t="shared" si="9"/>
        <v>Low</v>
      </c>
      <c r="AG48" s="84">
        <f t="shared" si="10"/>
        <v>5.9772908163265304E-2</v>
      </c>
      <c r="AH48" s="84">
        <f t="shared" si="11"/>
        <v>9.5227091836734709E-2</v>
      </c>
      <c r="AI48" s="73">
        <f t="shared" si="12"/>
        <v>2390916.3265306121</v>
      </c>
      <c r="AJ48" s="73">
        <f t="shared" si="13"/>
        <v>3809083.6734693884</v>
      </c>
      <c r="AK48" s="46">
        <f>VLOOKUP(H48,'1_Value &amp; risk levers'!$H$9:$O$1048576,6,FALSE)</f>
        <v>0.02</v>
      </c>
      <c r="AL48" s="46">
        <f>VLOOKUP(H48,'1_Value &amp; risk levers'!$H$9:$O$1048576,7,FALSE)</f>
        <v>0.05</v>
      </c>
      <c r="AM48" s="50">
        <f t="shared" si="14"/>
        <v>4.2500000000000003E-2</v>
      </c>
      <c r="AN48" s="72">
        <f t="shared" si="15"/>
        <v>0.19767441860465118</v>
      </c>
      <c r="AO48" s="84">
        <f t="shared" si="16"/>
        <v>1.1815574869482677E-2</v>
      </c>
      <c r="AP48" s="84">
        <f t="shared" si="17"/>
        <v>1.8823960014238257E-2</v>
      </c>
      <c r="AQ48" s="55">
        <f t="shared" si="18"/>
        <v>553488.37209302338</v>
      </c>
      <c r="AR48" s="55">
        <f t="shared" si="19"/>
        <v>672093.0232558141</v>
      </c>
      <c r="AS48" s="83">
        <f t="shared" si="3"/>
        <v>41</v>
      </c>
      <c r="AT48" s="50">
        <f t="shared" si="20"/>
        <v>7.18</v>
      </c>
      <c r="AU48" s="55" t="str">
        <f t="shared" si="21"/>
        <v>Medium</v>
      </c>
      <c r="AV48" s="36" t="s">
        <v>1471</v>
      </c>
      <c r="AW48" s="109" t="s">
        <v>1472</v>
      </c>
      <c r="AX48" s="37" t="s">
        <v>1456</v>
      </c>
      <c r="AY48" s="30"/>
      <c r="AZ48" s="85" t="str">
        <f>IF(ISERROR(_xlfn.XLOOKUP(CONCATENATE(A48,"_",AV48),'Reference-Proof pt impact flag'!$I$3:$I$1048576,'Reference-Proof pt impact flag'!$G$3:$G$1048576)),"",_xlfn.XLOOKUP(CONCATENATE(A48,"_",AV48),'Reference-Proof pt impact flag'!$I$3:$I$1048576,'Reference-Proof pt impact flag'!$G$3:$G$1048576))</f>
        <v/>
      </c>
      <c r="BA48" s="74"/>
      <c r="BB48" s="74"/>
      <c r="BC48" s="74"/>
      <c r="BD48" s="74"/>
      <c r="BE48" s="74"/>
      <c r="BF48" s="74" t="e">
        <f>_xlfn.XLOOKUP(CONCATENATE(H48,"_",AV48),'Test 2 - Proof points - GPT5'!$T:$T,'Test 2 - Proof points - GPT5'!$S:$S)</f>
        <v>#N/A</v>
      </c>
      <c r="BG48" s="74" t="e">
        <f>_xlfn.XLOOKUP(CONCATENATE(H48,"_",AV48),'Test 2 -Proof points - Sonnet'!$AB:$AB,'Test 2 -Proof points - Sonnet'!$AA:$AA)</f>
        <v>#N/A</v>
      </c>
      <c r="BH48" s="74"/>
      <c r="BI48" s="74"/>
      <c r="BJ48" s="74" t="s">
        <v>1533</v>
      </c>
      <c r="BK48" s="30"/>
      <c r="BL48" s="30"/>
      <c r="BM48" s="30"/>
      <c r="BN48" s="30"/>
      <c r="BO48" s="30"/>
      <c r="BP48" s="30"/>
      <c r="BQ48" s="30"/>
      <c r="BR48" s="30"/>
      <c r="BS48" s="30"/>
      <c r="BT48" s="30"/>
      <c r="BU48" s="30"/>
      <c r="BV48" s="113"/>
    </row>
    <row r="49" spans="1:74" ht="217.5" hidden="1" x14ac:dyDescent="0.35">
      <c r="A49" s="22">
        <v>2</v>
      </c>
      <c r="B49" s="22" t="s">
        <v>1451</v>
      </c>
      <c r="C49" s="22" t="s">
        <v>1452</v>
      </c>
      <c r="D49" s="22" t="s">
        <v>1224</v>
      </c>
      <c r="E49" s="22" t="s">
        <v>1453</v>
      </c>
      <c r="F49" s="22"/>
      <c r="G49" s="22" t="s">
        <v>1274</v>
      </c>
      <c r="H49" s="21" t="s">
        <v>1289</v>
      </c>
      <c r="I49" s="22"/>
      <c r="J49" s="21" t="s">
        <v>1316</v>
      </c>
      <c r="K49" s="30"/>
      <c r="L49" s="35" t="s">
        <v>1288</v>
      </c>
      <c r="M49" s="35" t="str">
        <f>VLOOKUP(H49,'1_Value &amp; risk levers'!$H$9:$O$1048576,2,FALSE)</f>
        <v>Rarely used</v>
      </c>
      <c r="N49" s="35" t="str">
        <f>VLOOKUP(H49,'1_Value &amp; risk levers'!$H$9:$O$1048576,3,FALSE)</f>
        <v>Occasionally applied in negotiations, not a structured / defined approach for category managers to follow</v>
      </c>
      <c r="O49" s="35" t="str">
        <f>VLOOKUP(H49,'1_Value &amp; risk levers'!$H$9:$O$1048576,4,FALSE)</f>
        <v>Regular practice for most vegetable oils, but requires manual calculations / manual updates</v>
      </c>
      <c r="P49" s="35" t="str">
        <f>VLOOKUP(H49,'1_Value &amp; risk levers'!$H$9:$O$1048576,5,FALSE)</f>
        <v>Advanced/ automated modeling integrated into procurement tools</v>
      </c>
      <c r="Q49" s="77">
        <f>IF(VLOOKUP(H49,'1_Value &amp; risk levers'!$H$9:$T$1048576,13,FALSE)=0,"",VLOOKUP(H49,'1_Value &amp; risk levers'!$H$9:$T$1048576,13,FALSE))</f>
        <v>1</v>
      </c>
      <c r="R49" s="128">
        <f t="shared" si="0"/>
        <v>2</v>
      </c>
      <c r="S49" s="128" t="e">
        <f t="shared" si="1"/>
        <v>#DIV/0!</v>
      </c>
      <c r="T49" s="77"/>
      <c r="U49" s="77"/>
      <c r="V49" s="55"/>
      <c r="W49" s="71">
        <v>0.04</v>
      </c>
      <c r="X49" s="71">
        <v>0.1</v>
      </c>
      <c r="Y49" s="71">
        <f>VLOOKUP(H49,'1_Value &amp; risk levers'!$H$9:$O$1048576,8,FALSE)</f>
        <v>0.8</v>
      </c>
      <c r="Z49" s="51">
        <f t="shared" si="2"/>
        <v>7.0000000000000007E-2</v>
      </c>
      <c r="AA49" s="51">
        <f t="shared" si="4"/>
        <v>8.5000000000000006E-2</v>
      </c>
      <c r="AB49" s="55">
        <f t="shared" si="5"/>
        <v>2800000.0000000005</v>
      </c>
      <c r="AC49" s="55">
        <f t="shared" si="6"/>
        <v>3400000.0000000005</v>
      </c>
      <c r="AD49" s="80">
        <f t="shared" si="7"/>
        <v>7</v>
      </c>
      <c r="AE49" s="84">
        <f t="shared" si="8"/>
        <v>0.48864540816326468</v>
      </c>
      <c r="AF49" s="71" t="str">
        <f t="shared" si="9"/>
        <v>Low</v>
      </c>
      <c r="AG49" s="84">
        <f t="shared" si="10"/>
        <v>5.9772908163265304E-2</v>
      </c>
      <c r="AH49" s="84">
        <f t="shared" si="11"/>
        <v>9.5227091836734709E-2</v>
      </c>
      <c r="AI49" s="73">
        <f t="shared" si="12"/>
        <v>2390916.3265306121</v>
      </c>
      <c r="AJ49" s="73">
        <f t="shared" si="13"/>
        <v>3809083.6734693884</v>
      </c>
      <c r="AK49" s="46">
        <f>VLOOKUP(H49,'1_Value &amp; risk levers'!$H$9:$O$1048576,6,FALSE)</f>
        <v>0.02</v>
      </c>
      <c r="AL49" s="46">
        <f>VLOOKUP(H49,'1_Value &amp; risk levers'!$H$9:$O$1048576,7,FALSE)</f>
        <v>0.05</v>
      </c>
      <c r="AM49" s="50">
        <f t="shared" si="14"/>
        <v>4.2500000000000003E-2</v>
      </c>
      <c r="AN49" s="72">
        <f t="shared" si="15"/>
        <v>0.19767441860465118</v>
      </c>
      <c r="AO49" s="84">
        <f t="shared" si="16"/>
        <v>1.1815574869482677E-2</v>
      </c>
      <c r="AP49" s="84">
        <f t="shared" si="17"/>
        <v>1.8823960014238257E-2</v>
      </c>
      <c r="AQ49" s="55">
        <f t="shared" si="18"/>
        <v>553488.37209302338</v>
      </c>
      <c r="AR49" s="55">
        <f t="shared" si="19"/>
        <v>672093.0232558141</v>
      </c>
      <c r="AS49" s="83">
        <f t="shared" si="3"/>
        <v>41</v>
      </c>
      <c r="AT49" s="50">
        <f t="shared" si="20"/>
        <v>7.18</v>
      </c>
      <c r="AU49" s="55" t="str">
        <f t="shared" si="21"/>
        <v>Medium</v>
      </c>
      <c r="AV49" s="36" t="s">
        <v>1475</v>
      </c>
      <c r="AW49" s="109" t="s">
        <v>1476</v>
      </c>
      <c r="AX49" s="37" t="s">
        <v>1456</v>
      </c>
      <c r="AY49" s="30"/>
      <c r="AZ49" s="85" t="str">
        <f>IF(ISERROR(_xlfn.XLOOKUP(CONCATENATE(A49,"_",AV49),'Reference-Proof pt impact flag'!$I$3:$I$1048576,'Reference-Proof pt impact flag'!$G$3:$G$1048576)),"",_xlfn.XLOOKUP(CONCATENATE(A49,"_",AV49),'Reference-Proof pt impact flag'!$I$3:$I$1048576,'Reference-Proof pt impact flag'!$G$3:$G$1048576))</f>
        <v/>
      </c>
      <c r="BA49" s="74"/>
      <c r="BB49" s="74"/>
      <c r="BC49" s="74"/>
      <c r="BD49" s="74"/>
      <c r="BE49" s="74"/>
      <c r="BF49" s="74" t="e">
        <f>_xlfn.XLOOKUP(CONCATENATE(H49,"_",AV49),'Test 2 - Proof points - GPT5'!$T:$T,'Test 2 - Proof points - GPT5'!$S:$S)</f>
        <v>#N/A</v>
      </c>
      <c r="BG49" s="74" t="e">
        <f>_xlfn.XLOOKUP(CONCATENATE(H49,"_",AV49),'Test 2 -Proof points - Sonnet'!$AB:$AB,'Test 2 -Proof points - Sonnet'!$AA:$AA)</f>
        <v>#N/A</v>
      </c>
      <c r="BH49" s="74"/>
      <c r="BI49" s="74"/>
      <c r="BJ49" s="74" t="s">
        <v>1533</v>
      </c>
      <c r="BK49" s="30"/>
      <c r="BL49" s="30"/>
      <c r="BM49" s="30"/>
      <c r="BN49" s="30"/>
      <c r="BO49" s="30"/>
      <c r="BP49" s="30"/>
      <c r="BQ49" s="30"/>
      <c r="BR49" s="30"/>
      <c r="BS49" s="30"/>
      <c r="BT49" s="30"/>
      <c r="BU49" s="30"/>
      <c r="BV49" s="113"/>
    </row>
    <row r="50" spans="1:74" ht="232" hidden="1" x14ac:dyDescent="0.35">
      <c r="A50" s="22">
        <v>2</v>
      </c>
      <c r="B50" s="22" t="s">
        <v>1451</v>
      </c>
      <c r="C50" s="22" t="s">
        <v>1452</v>
      </c>
      <c r="D50" s="22" t="s">
        <v>1224</v>
      </c>
      <c r="E50" s="22" t="s">
        <v>1453</v>
      </c>
      <c r="F50" s="22"/>
      <c r="G50" s="22" t="s">
        <v>1274</v>
      </c>
      <c r="H50" s="21" t="s">
        <v>1289</v>
      </c>
      <c r="I50" s="22"/>
      <c r="J50" s="21" t="s">
        <v>1316</v>
      </c>
      <c r="K50" s="30"/>
      <c r="L50" s="35" t="s">
        <v>1288</v>
      </c>
      <c r="M50" s="35" t="str">
        <f>VLOOKUP(H50,'1_Value &amp; risk levers'!$H$9:$O$1048576,2,FALSE)</f>
        <v>Rarely used</v>
      </c>
      <c r="N50" s="35" t="str">
        <f>VLOOKUP(H50,'1_Value &amp; risk levers'!$H$9:$O$1048576,3,FALSE)</f>
        <v>Occasionally applied in negotiations, not a structured / defined approach for category managers to follow</v>
      </c>
      <c r="O50" s="35" t="str">
        <f>VLOOKUP(H50,'1_Value &amp; risk levers'!$H$9:$O$1048576,4,FALSE)</f>
        <v>Regular practice for most vegetable oils, but requires manual calculations / manual updates</v>
      </c>
      <c r="P50" s="35" t="str">
        <f>VLOOKUP(H50,'1_Value &amp; risk levers'!$H$9:$O$1048576,5,FALSE)</f>
        <v>Advanced/ automated modeling integrated into procurement tools</v>
      </c>
      <c r="Q50" s="77">
        <f>IF(VLOOKUP(H50,'1_Value &amp; risk levers'!$H$9:$T$1048576,13,FALSE)=0,"",VLOOKUP(H50,'1_Value &amp; risk levers'!$H$9:$T$1048576,13,FALSE))</f>
        <v>1</v>
      </c>
      <c r="R50" s="128">
        <f t="shared" si="0"/>
        <v>2</v>
      </c>
      <c r="S50" s="128" t="e">
        <f t="shared" si="1"/>
        <v>#DIV/0!</v>
      </c>
      <c r="T50" s="77"/>
      <c r="U50" s="77"/>
      <c r="V50" s="55"/>
      <c r="W50" s="71">
        <v>0.04</v>
      </c>
      <c r="X50" s="71">
        <v>0.1</v>
      </c>
      <c r="Y50" s="71">
        <f>VLOOKUP(H50,'1_Value &amp; risk levers'!$H$9:$O$1048576,8,FALSE)</f>
        <v>0.8</v>
      </c>
      <c r="Z50" s="51">
        <f t="shared" si="2"/>
        <v>7.0000000000000007E-2</v>
      </c>
      <c r="AA50" s="51">
        <f t="shared" si="4"/>
        <v>8.5000000000000006E-2</v>
      </c>
      <c r="AB50" s="55">
        <f t="shared" si="5"/>
        <v>2800000.0000000005</v>
      </c>
      <c r="AC50" s="55">
        <f t="shared" si="6"/>
        <v>3400000.0000000005</v>
      </c>
      <c r="AD50" s="80">
        <f t="shared" si="7"/>
        <v>7</v>
      </c>
      <c r="AE50" s="84">
        <f t="shared" si="8"/>
        <v>0.48864540816326468</v>
      </c>
      <c r="AF50" s="71" t="str">
        <f t="shared" si="9"/>
        <v>Low</v>
      </c>
      <c r="AG50" s="84">
        <f t="shared" si="10"/>
        <v>5.9772908163265304E-2</v>
      </c>
      <c r="AH50" s="84">
        <f t="shared" si="11"/>
        <v>9.5227091836734709E-2</v>
      </c>
      <c r="AI50" s="73">
        <f t="shared" si="12"/>
        <v>2390916.3265306121</v>
      </c>
      <c r="AJ50" s="73">
        <f t="shared" si="13"/>
        <v>3809083.6734693884</v>
      </c>
      <c r="AK50" s="46">
        <f>VLOOKUP(H50,'1_Value &amp; risk levers'!$H$9:$O$1048576,6,FALSE)</f>
        <v>0.02</v>
      </c>
      <c r="AL50" s="46">
        <f>VLOOKUP(H50,'1_Value &amp; risk levers'!$H$9:$O$1048576,7,FALSE)</f>
        <v>0.05</v>
      </c>
      <c r="AM50" s="50">
        <f t="shared" si="14"/>
        <v>4.2500000000000003E-2</v>
      </c>
      <c r="AN50" s="72">
        <f>IF(AM50="","",AM50/SUMIFS($AM$3:$AM$1048576,$AV$3:$AV$1048576,"Regional Spend Addressability"))</f>
        <v>0.19767441860465118</v>
      </c>
      <c r="AO50" s="84">
        <f t="shared" si="16"/>
        <v>1.1815574869482677E-2</v>
      </c>
      <c r="AP50" s="84">
        <f t="shared" si="17"/>
        <v>1.8823960014238257E-2</v>
      </c>
      <c r="AQ50" s="55">
        <f t="shared" si="18"/>
        <v>553488.37209302338</v>
      </c>
      <c r="AR50" s="55">
        <f t="shared" si="19"/>
        <v>672093.0232558141</v>
      </c>
      <c r="AS50" s="83">
        <f t="shared" si="3"/>
        <v>41</v>
      </c>
      <c r="AT50" s="50">
        <f t="shared" si="20"/>
        <v>7.18</v>
      </c>
      <c r="AU50" s="55" t="str">
        <f t="shared" si="21"/>
        <v>Medium</v>
      </c>
      <c r="AV50" s="36" t="s">
        <v>1477</v>
      </c>
      <c r="AW50" s="110" t="s">
        <v>1534</v>
      </c>
      <c r="AX50" s="37" t="s">
        <v>1456</v>
      </c>
      <c r="AY50" s="31" t="s">
        <v>1535</v>
      </c>
      <c r="AZ50" s="85" t="str">
        <f>IF(ISERROR(_xlfn.XLOOKUP(CONCATENATE(A50,"_",AV50),'Reference-Proof pt impact flag'!$I$3:$I$1048576,'Reference-Proof pt impact flag'!$G$3:$G$1048576)),"",_xlfn.XLOOKUP(CONCATENATE(A50,"_",AV50),'Reference-Proof pt impact flag'!$I$3:$I$1048576,'Reference-Proof pt impact flag'!$G$3:$G$1048576))</f>
        <v>Low</v>
      </c>
      <c r="BA50" s="27" t="s">
        <v>1458</v>
      </c>
      <c r="BB50" s="30"/>
      <c r="BC50" s="30"/>
      <c r="BD50" s="30"/>
      <c r="BE50" s="74" t="s">
        <v>1536</v>
      </c>
      <c r="BF50" s="74" t="str">
        <f>_xlfn.XLOOKUP(CONCATENATE(H50,"_",AV50),'Test 2 - Proof points - GPT5'!$T:$T,'Test 2 - Proof points - GPT5'!$S:$S)</f>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 REFINED SUNFLOWER OIL EDIBLE (suppliers: 13, plants: 2) — price/kg 1.65-2.09 (median 1.86; spread 24%). Potential value ≈ $1,565,056 by aligning 50% volume to P25–P10 pricing. Actions: Run competitive re-bids on the cited SKUs, standardize specs, and lock indexed contracts where volatility is high. Prioritize suppliers with proven capability across Malaysia/Australia plants to converge to best-in-class pricing.</v>
      </c>
      <c r="BG50" s="74" t="e">
        <f>_xlfn.XLOOKUP(CONCATENATE(H50,"_",AV50),'Test 2 -Proof points - Sonnet'!$AB:$AB,'Test 2 -Proof points - Sonnet'!$AA:$AA)</f>
        <v>#N/A</v>
      </c>
      <c r="BH50" s="74" t="s">
        <v>1537</v>
      </c>
      <c r="BI50" s="74"/>
      <c r="BJ50" s="74" t="s">
        <v>1533</v>
      </c>
      <c r="BK50" s="30"/>
      <c r="BL50" s="30"/>
      <c r="BM50" s="30"/>
      <c r="BN50" s="30"/>
      <c r="BO50" s="30" t="s">
        <v>132</v>
      </c>
      <c r="BP50" s="30"/>
      <c r="BQ50" s="30"/>
      <c r="BR50" s="30"/>
      <c r="BS50" s="30"/>
      <c r="BT50" s="30"/>
      <c r="BU50" s="30"/>
      <c r="BV50" s="113" t="s">
        <v>132</v>
      </c>
    </row>
    <row r="51" spans="1:74" ht="217.5" hidden="1" x14ac:dyDescent="0.35">
      <c r="A51" s="22">
        <v>2</v>
      </c>
      <c r="B51" s="22" t="s">
        <v>1451</v>
      </c>
      <c r="C51" s="22" t="s">
        <v>1452</v>
      </c>
      <c r="D51" s="22" t="s">
        <v>1224</v>
      </c>
      <c r="E51" s="22" t="s">
        <v>1453</v>
      </c>
      <c r="F51" s="22"/>
      <c r="G51" s="22" t="s">
        <v>1274</v>
      </c>
      <c r="H51" s="21" t="s">
        <v>1289</v>
      </c>
      <c r="I51" s="22"/>
      <c r="J51" s="21" t="s">
        <v>1316</v>
      </c>
      <c r="K51" s="30"/>
      <c r="L51" s="35" t="s">
        <v>1288</v>
      </c>
      <c r="M51" s="35" t="str">
        <f>VLOOKUP(H51,'1_Value &amp; risk levers'!$H$9:$O$1048576,2,FALSE)</f>
        <v>Rarely used</v>
      </c>
      <c r="N51" s="35" t="str">
        <f>VLOOKUP(H51,'1_Value &amp; risk levers'!$H$9:$O$1048576,3,FALSE)</f>
        <v>Occasionally applied in negotiations, not a structured / defined approach for category managers to follow</v>
      </c>
      <c r="O51" s="35" t="str">
        <f>VLOOKUP(H51,'1_Value &amp; risk levers'!$H$9:$O$1048576,4,FALSE)</f>
        <v>Regular practice for most vegetable oils, but requires manual calculations / manual updates</v>
      </c>
      <c r="P51" s="35" t="str">
        <f>VLOOKUP(H51,'1_Value &amp; risk levers'!$H$9:$O$1048576,5,FALSE)</f>
        <v>Advanced/ automated modeling integrated into procurement tools</v>
      </c>
      <c r="Q51" s="77">
        <f>IF(VLOOKUP(H51,'1_Value &amp; risk levers'!$H$9:$T$1048576,13,FALSE)=0,"",VLOOKUP(H51,'1_Value &amp; risk levers'!$H$9:$T$1048576,13,FALSE))</f>
        <v>1</v>
      </c>
      <c r="R51" s="128">
        <f t="shared" si="0"/>
        <v>2</v>
      </c>
      <c r="S51" s="128" t="e">
        <f t="shared" si="1"/>
        <v>#DIV/0!</v>
      </c>
      <c r="T51" s="77"/>
      <c r="U51" s="77"/>
      <c r="V51" s="55"/>
      <c r="W51" s="71">
        <v>0.04</v>
      </c>
      <c r="X51" s="71">
        <v>0.1</v>
      </c>
      <c r="Y51" s="71">
        <f>VLOOKUP(H51,'1_Value &amp; risk levers'!$H$9:$O$1048576,8,FALSE)</f>
        <v>0.8</v>
      </c>
      <c r="Z51" s="51">
        <f t="shared" si="2"/>
        <v>7.0000000000000007E-2</v>
      </c>
      <c r="AA51" s="51">
        <f t="shared" si="4"/>
        <v>8.5000000000000006E-2</v>
      </c>
      <c r="AB51" s="55">
        <f t="shared" si="5"/>
        <v>2800000.0000000005</v>
      </c>
      <c r="AC51" s="55">
        <f t="shared" si="6"/>
        <v>3400000.0000000005</v>
      </c>
      <c r="AD51" s="80">
        <f t="shared" si="7"/>
        <v>7</v>
      </c>
      <c r="AE51" s="84">
        <f t="shared" si="8"/>
        <v>0.48864540816326468</v>
      </c>
      <c r="AF51" s="71" t="str">
        <f t="shared" si="9"/>
        <v>Low</v>
      </c>
      <c r="AG51" s="84">
        <f t="shared" si="10"/>
        <v>5.9772908163265304E-2</v>
      </c>
      <c r="AH51" s="84">
        <f t="shared" si="11"/>
        <v>9.5227091836734709E-2</v>
      </c>
      <c r="AI51" s="73">
        <f t="shared" si="12"/>
        <v>2390916.3265306121</v>
      </c>
      <c r="AJ51" s="73">
        <f t="shared" si="13"/>
        <v>3809083.6734693884</v>
      </c>
      <c r="AK51" s="46">
        <f>VLOOKUP(H51,'1_Value &amp; risk levers'!$H$9:$O$1048576,6,FALSE)</f>
        <v>0.02</v>
      </c>
      <c r="AL51" s="46">
        <f>VLOOKUP(H51,'1_Value &amp; risk levers'!$H$9:$O$1048576,7,FALSE)</f>
        <v>0.05</v>
      </c>
      <c r="AM51" s="50">
        <f t="shared" si="14"/>
        <v>4.2500000000000003E-2</v>
      </c>
      <c r="AN51" s="72">
        <f t="shared" si="15"/>
        <v>0.19767441860465118</v>
      </c>
      <c r="AO51" s="84">
        <f t="shared" si="16"/>
        <v>1.1815574869482677E-2</v>
      </c>
      <c r="AP51" s="84">
        <f t="shared" si="17"/>
        <v>1.8823960014238257E-2</v>
      </c>
      <c r="AQ51" s="55">
        <f t="shared" si="18"/>
        <v>553488.37209302338</v>
      </c>
      <c r="AR51" s="55">
        <f t="shared" si="19"/>
        <v>672093.0232558141</v>
      </c>
      <c r="AS51" s="83">
        <f t="shared" si="3"/>
        <v>41</v>
      </c>
      <c r="AT51" s="50">
        <f t="shared" si="20"/>
        <v>7.18</v>
      </c>
      <c r="AU51" s="55" t="str">
        <f t="shared" si="21"/>
        <v>Medium</v>
      </c>
      <c r="AV51" s="36" t="s">
        <v>1481</v>
      </c>
      <c r="AW51" s="110" t="s">
        <v>1482</v>
      </c>
      <c r="AX51" s="37" t="s">
        <v>1456</v>
      </c>
      <c r="AY51" s="30"/>
      <c r="AZ51" s="85" t="str">
        <f>IF(ISERROR(_xlfn.XLOOKUP(CONCATENATE(A51,"_",AV51),'Reference-Proof pt impact flag'!$I$3:$I$1048576,'Reference-Proof pt impact flag'!$G$3:$G$1048576)),"",_xlfn.XLOOKUP(CONCATENATE(A51,"_",AV51),'Reference-Proof pt impact flag'!$I$3:$I$1048576,'Reference-Proof pt impact flag'!$G$3:$G$1048576))</f>
        <v/>
      </c>
      <c r="BA51" s="74"/>
      <c r="BB51" s="74"/>
      <c r="BC51" s="74"/>
      <c r="BD51" s="74"/>
      <c r="BE51" s="74"/>
      <c r="BF51" s="74" t="e">
        <f>_xlfn.XLOOKUP(CONCATENATE(H51,"_",AV51),'Test 2 - Proof points - GPT5'!$T:$T,'Test 2 - Proof points - GPT5'!$S:$S)</f>
        <v>#N/A</v>
      </c>
      <c r="BG51" s="74" t="e">
        <f>_xlfn.XLOOKUP(CONCATENATE(H51,"_",AV51),'Test 2 -Proof points - Sonnet'!$AB:$AB,'Test 2 -Proof points - Sonnet'!$AA:$AA)</f>
        <v>#N/A</v>
      </c>
      <c r="BH51" s="74"/>
      <c r="BI51" s="74"/>
      <c r="BJ51" s="74" t="s">
        <v>1533</v>
      </c>
      <c r="BK51" s="30"/>
      <c r="BL51" s="30"/>
      <c r="BM51" s="30"/>
      <c r="BN51" s="30"/>
      <c r="BO51" s="30"/>
      <c r="BP51" s="30"/>
      <c r="BQ51" s="30"/>
      <c r="BR51" s="30"/>
      <c r="BS51" s="30"/>
      <c r="BT51" s="30"/>
      <c r="BU51" s="30"/>
      <c r="BV51" s="113"/>
    </row>
    <row r="52" spans="1:74" ht="217.5" hidden="1" x14ac:dyDescent="0.35">
      <c r="A52" s="22">
        <v>2</v>
      </c>
      <c r="B52" s="22" t="s">
        <v>1451</v>
      </c>
      <c r="C52" s="22" t="s">
        <v>1452</v>
      </c>
      <c r="D52" s="22" t="s">
        <v>1224</v>
      </c>
      <c r="E52" s="22" t="s">
        <v>1453</v>
      </c>
      <c r="F52" s="22"/>
      <c r="G52" s="22" t="s">
        <v>1274</v>
      </c>
      <c r="H52" s="21" t="s">
        <v>1289</v>
      </c>
      <c r="I52" s="22"/>
      <c r="J52" s="21" t="s">
        <v>1316</v>
      </c>
      <c r="K52" s="30"/>
      <c r="L52" s="35" t="s">
        <v>1288</v>
      </c>
      <c r="M52" s="35" t="str">
        <f>VLOOKUP(H52,'1_Value &amp; risk levers'!$H$9:$O$1048576,2,FALSE)</f>
        <v>Rarely used</v>
      </c>
      <c r="N52" s="35" t="str">
        <f>VLOOKUP(H52,'1_Value &amp; risk levers'!$H$9:$O$1048576,3,FALSE)</f>
        <v>Occasionally applied in negotiations, not a structured / defined approach for category managers to follow</v>
      </c>
      <c r="O52" s="35" t="str">
        <f>VLOOKUP(H52,'1_Value &amp; risk levers'!$H$9:$O$1048576,4,FALSE)</f>
        <v>Regular practice for most vegetable oils, but requires manual calculations / manual updates</v>
      </c>
      <c r="P52" s="35" t="str">
        <f>VLOOKUP(H52,'1_Value &amp; risk levers'!$H$9:$O$1048576,5,FALSE)</f>
        <v>Advanced/ automated modeling integrated into procurement tools</v>
      </c>
      <c r="Q52" s="77">
        <f>IF(VLOOKUP(H52,'1_Value &amp; risk levers'!$H$9:$T$1048576,13,FALSE)=0,"",VLOOKUP(H52,'1_Value &amp; risk levers'!$H$9:$T$1048576,13,FALSE))</f>
        <v>1</v>
      </c>
      <c r="R52" s="128">
        <f t="shared" si="0"/>
        <v>2</v>
      </c>
      <c r="S52" s="128" t="e">
        <f t="shared" si="1"/>
        <v>#DIV/0!</v>
      </c>
      <c r="T52" s="77"/>
      <c r="U52" s="77"/>
      <c r="V52" s="55"/>
      <c r="W52" s="71">
        <v>0.04</v>
      </c>
      <c r="X52" s="71">
        <v>0.1</v>
      </c>
      <c r="Y52" s="71">
        <f>VLOOKUP(H52,'1_Value &amp; risk levers'!$H$9:$O$1048576,8,FALSE)</f>
        <v>0.8</v>
      </c>
      <c r="Z52" s="51">
        <f t="shared" si="2"/>
        <v>7.0000000000000007E-2</v>
      </c>
      <c r="AA52" s="51">
        <f t="shared" si="4"/>
        <v>8.5000000000000006E-2</v>
      </c>
      <c r="AB52" s="55">
        <f t="shared" si="5"/>
        <v>2800000.0000000005</v>
      </c>
      <c r="AC52" s="55">
        <f t="shared" si="6"/>
        <v>3400000.0000000005</v>
      </c>
      <c r="AD52" s="80">
        <f t="shared" si="7"/>
        <v>7</v>
      </c>
      <c r="AE52" s="84">
        <f t="shared" si="8"/>
        <v>0.48864540816326468</v>
      </c>
      <c r="AF52" s="71" t="str">
        <f t="shared" si="9"/>
        <v>Low</v>
      </c>
      <c r="AG52" s="84">
        <f t="shared" si="10"/>
        <v>5.9772908163265304E-2</v>
      </c>
      <c r="AH52" s="84">
        <f t="shared" si="11"/>
        <v>9.5227091836734709E-2</v>
      </c>
      <c r="AI52" s="73">
        <f t="shared" si="12"/>
        <v>2390916.3265306121</v>
      </c>
      <c r="AJ52" s="73">
        <f t="shared" si="13"/>
        <v>3809083.6734693884</v>
      </c>
      <c r="AK52" s="46">
        <f>VLOOKUP(H52,'1_Value &amp; risk levers'!$H$9:$O$1048576,6,FALSE)</f>
        <v>0.02</v>
      </c>
      <c r="AL52" s="46">
        <f>VLOOKUP(H52,'1_Value &amp; risk levers'!$H$9:$O$1048576,7,FALSE)</f>
        <v>0.05</v>
      </c>
      <c r="AM52" s="50">
        <f t="shared" si="14"/>
        <v>4.2500000000000003E-2</v>
      </c>
      <c r="AN52" s="72">
        <f t="shared" si="15"/>
        <v>0.19767441860465118</v>
      </c>
      <c r="AO52" s="84">
        <f t="shared" si="16"/>
        <v>1.1815574869482677E-2</v>
      </c>
      <c r="AP52" s="84">
        <f t="shared" si="17"/>
        <v>1.8823960014238257E-2</v>
      </c>
      <c r="AQ52" s="55">
        <f t="shared" si="18"/>
        <v>553488.37209302338</v>
      </c>
      <c r="AR52" s="55">
        <f t="shared" si="19"/>
        <v>672093.0232558141</v>
      </c>
      <c r="AS52" s="83">
        <f t="shared" si="3"/>
        <v>41</v>
      </c>
      <c r="AT52" s="50">
        <f t="shared" si="20"/>
        <v>7.18</v>
      </c>
      <c r="AU52" s="55" t="str">
        <f t="shared" si="21"/>
        <v>Medium</v>
      </c>
      <c r="AV52" s="36" t="s">
        <v>1483</v>
      </c>
      <c r="AW52" s="110" t="s">
        <v>1484</v>
      </c>
      <c r="AX52" s="37" t="s">
        <v>1456</v>
      </c>
      <c r="AY52" s="27"/>
      <c r="AZ52" s="85" t="str">
        <f>IF(ISERROR(_xlfn.XLOOKUP(CONCATENATE(A52,"_",AV52),'Reference-Proof pt impact flag'!$I$3:$I$1048576,'Reference-Proof pt impact flag'!$G$3:$G$1048576)),"",_xlfn.XLOOKUP(CONCATENATE(A52,"_",AV52),'Reference-Proof pt impact flag'!$I$3:$I$1048576,'Reference-Proof pt impact flag'!$G$3:$G$1048576))</f>
        <v/>
      </c>
      <c r="BA52" s="74"/>
      <c r="BB52" s="74"/>
      <c r="BC52" s="74"/>
      <c r="BD52" s="74"/>
      <c r="BE52" s="74"/>
      <c r="BF52" s="74" t="e">
        <f>_xlfn.XLOOKUP(CONCATENATE(H52,"_",AV52),'Test 2 - Proof points - GPT5'!$T:$T,'Test 2 - Proof points - GPT5'!$S:$S)</f>
        <v>#N/A</v>
      </c>
      <c r="BG52" s="74" t="e">
        <f>_xlfn.XLOOKUP(CONCATENATE(H52,"_",AV52),'Test 2 -Proof points - Sonnet'!$AB:$AB,'Test 2 -Proof points - Sonnet'!$AA:$AA)</f>
        <v>#N/A</v>
      </c>
      <c r="BH52" s="74"/>
      <c r="BI52" s="74"/>
      <c r="BJ52" s="74" t="s">
        <v>1533</v>
      </c>
      <c r="BK52" s="30"/>
      <c r="BL52" s="30"/>
      <c r="BM52" s="30"/>
      <c r="BN52" s="30"/>
      <c r="BO52" s="30"/>
      <c r="BP52" s="30"/>
      <c r="BQ52" s="30"/>
      <c r="BR52" s="30"/>
      <c r="BS52" s="30"/>
      <c r="BT52" s="30"/>
      <c r="BU52" s="30"/>
      <c r="BV52" s="113"/>
    </row>
    <row r="53" spans="1:74" ht="217.5" hidden="1" x14ac:dyDescent="0.35">
      <c r="A53" s="22">
        <v>2</v>
      </c>
      <c r="B53" s="22" t="s">
        <v>1451</v>
      </c>
      <c r="C53" s="22" t="s">
        <v>1452</v>
      </c>
      <c r="D53" s="22" t="s">
        <v>1224</v>
      </c>
      <c r="E53" s="22" t="s">
        <v>1453</v>
      </c>
      <c r="F53" s="22"/>
      <c r="G53" s="22" t="s">
        <v>1274</v>
      </c>
      <c r="H53" s="21" t="s">
        <v>1289</v>
      </c>
      <c r="I53" s="22"/>
      <c r="J53" s="21" t="s">
        <v>1316</v>
      </c>
      <c r="K53" s="30"/>
      <c r="L53" s="35" t="s">
        <v>1288</v>
      </c>
      <c r="M53" s="35" t="str">
        <f>VLOOKUP(H53,'1_Value &amp; risk levers'!$H$9:$O$1048576,2,FALSE)</f>
        <v>Rarely used</v>
      </c>
      <c r="N53" s="35" t="str">
        <f>VLOOKUP(H53,'1_Value &amp; risk levers'!$H$9:$O$1048576,3,FALSE)</f>
        <v>Occasionally applied in negotiations, not a structured / defined approach for category managers to follow</v>
      </c>
      <c r="O53" s="35" t="str">
        <f>VLOOKUP(H53,'1_Value &amp; risk levers'!$H$9:$O$1048576,4,FALSE)</f>
        <v>Regular practice for most vegetable oils, but requires manual calculations / manual updates</v>
      </c>
      <c r="P53" s="35" t="str">
        <f>VLOOKUP(H53,'1_Value &amp; risk levers'!$H$9:$O$1048576,5,FALSE)</f>
        <v>Advanced/ automated modeling integrated into procurement tools</v>
      </c>
      <c r="Q53" s="77">
        <f>IF(VLOOKUP(H53,'1_Value &amp; risk levers'!$H$9:$T$1048576,13,FALSE)=0,"",VLOOKUP(H53,'1_Value &amp; risk levers'!$H$9:$T$1048576,13,FALSE))</f>
        <v>1</v>
      </c>
      <c r="R53" s="128">
        <f t="shared" si="0"/>
        <v>2</v>
      </c>
      <c r="S53" s="128" t="e">
        <f t="shared" si="1"/>
        <v>#DIV/0!</v>
      </c>
      <c r="T53" s="77"/>
      <c r="U53" s="77"/>
      <c r="V53" s="55"/>
      <c r="W53" s="71">
        <v>0.04</v>
      </c>
      <c r="X53" s="71">
        <v>0.1</v>
      </c>
      <c r="Y53" s="71">
        <f>VLOOKUP(H53,'1_Value &amp; risk levers'!$H$9:$O$1048576,8,FALSE)</f>
        <v>0.8</v>
      </c>
      <c r="Z53" s="51">
        <f t="shared" si="2"/>
        <v>7.0000000000000007E-2</v>
      </c>
      <c r="AA53" s="51">
        <f t="shared" si="4"/>
        <v>8.5000000000000006E-2</v>
      </c>
      <c r="AB53" s="55">
        <f t="shared" si="5"/>
        <v>2800000.0000000005</v>
      </c>
      <c r="AC53" s="55">
        <f t="shared" si="6"/>
        <v>3400000.0000000005</v>
      </c>
      <c r="AD53" s="80">
        <f t="shared" si="7"/>
        <v>7</v>
      </c>
      <c r="AE53" s="84">
        <f t="shared" si="8"/>
        <v>0.48864540816326468</v>
      </c>
      <c r="AF53" s="71" t="str">
        <f t="shared" si="9"/>
        <v>Low</v>
      </c>
      <c r="AG53" s="84">
        <f t="shared" si="10"/>
        <v>5.9772908163265304E-2</v>
      </c>
      <c r="AH53" s="84">
        <f t="shared" si="11"/>
        <v>9.5227091836734709E-2</v>
      </c>
      <c r="AI53" s="73">
        <f t="shared" si="12"/>
        <v>2390916.3265306121</v>
      </c>
      <c r="AJ53" s="73">
        <f t="shared" si="13"/>
        <v>3809083.6734693884</v>
      </c>
      <c r="AK53" s="46">
        <f>VLOOKUP(H53,'1_Value &amp; risk levers'!$H$9:$O$1048576,6,FALSE)</f>
        <v>0.02</v>
      </c>
      <c r="AL53" s="46">
        <f>VLOOKUP(H53,'1_Value &amp; risk levers'!$H$9:$O$1048576,7,FALSE)</f>
        <v>0.05</v>
      </c>
      <c r="AM53" s="50">
        <f t="shared" si="14"/>
        <v>4.2500000000000003E-2</v>
      </c>
      <c r="AN53" s="72">
        <f t="shared" si="15"/>
        <v>0.19767441860465118</v>
      </c>
      <c r="AO53" s="84">
        <f t="shared" si="16"/>
        <v>1.1815574869482677E-2</v>
      </c>
      <c r="AP53" s="84">
        <f t="shared" si="17"/>
        <v>1.8823960014238257E-2</v>
      </c>
      <c r="AQ53" s="55">
        <f t="shared" si="18"/>
        <v>553488.37209302338</v>
      </c>
      <c r="AR53" s="55">
        <f t="shared" si="19"/>
        <v>672093.0232558141</v>
      </c>
      <c r="AS53" s="83">
        <f t="shared" si="3"/>
        <v>41</v>
      </c>
      <c r="AT53" s="50">
        <f t="shared" si="20"/>
        <v>7.18</v>
      </c>
      <c r="AU53" s="55" t="str">
        <f t="shared" si="21"/>
        <v>Medium</v>
      </c>
      <c r="AV53" s="36" t="s">
        <v>1486</v>
      </c>
      <c r="AW53" s="110" t="s">
        <v>1487</v>
      </c>
      <c r="AX53" s="37" t="s">
        <v>1456</v>
      </c>
      <c r="AY53" s="30"/>
      <c r="AZ53" s="85" t="str">
        <f>IF(ISERROR(_xlfn.XLOOKUP(CONCATENATE(A53,"_",AV53),'Reference-Proof pt impact flag'!$I$3:$I$1048576,'Reference-Proof pt impact flag'!$G$3:$G$1048576)),"",_xlfn.XLOOKUP(CONCATENATE(A53,"_",AV53),'Reference-Proof pt impact flag'!$I$3:$I$1048576,'Reference-Proof pt impact flag'!$G$3:$G$1048576))</f>
        <v/>
      </c>
      <c r="BA53" s="74"/>
      <c r="BB53" s="74"/>
      <c r="BC53" s="74"/>
      <c r="BD53" s="74"/>
      <c r="BE53" s="74"/>
      <c r="BF53" s="74" t="e">
        <f>_xlfn.XLOOKUP(CONCATENATE(H53,"_",AV53),'Test 2 - Proof points - GPT5'!$T:$T,'Test 2 - Proof points - GPT5'!$S:$S)</f>
        <v>#N/A</v>
      </c>
      <c r="BG53" s="74" t="e">
        <f>_xlfn.XLOOKUP(CONCATENATE(H53,"_",AV53),'Test 2 -Proof points - Sonnet'!$AB:$AB,'Test 2 -Proof points - Sonnet'!$AA:$AA)</f>
        <v>#N/A</v>
      </c>
      <c r="BH53" s="74"/>
      <c r="BI53" s="74"/>
      <c r="BJ53" s="74" t="s">
        <v>1533</v>
      </c>
      <c r="BK53" s="30"/>
      <c r="BL53" s="30"/>
      <c r="BM53" s="30"/>
      <c r="BN53" s="30"/>
      <c r="BO53" s="30"/>
      <c r="BP53" s="30"/>
      <c r="BQ53" s="30"/>
      <c r="BR53" s="30"/>
      <c r="BS53" s="30"/>
      <c r="BT53" s="30"/>
      <c r="BU53" s="30"/>
      <c r="BV53" s="113"/>
    </row>
    <row r="54" spans="1:74" ht="217.5" hidden="1" x14ac:dyDescent="0.35">
      <c r="A54" s="22">
        <v>2</v>
      </c>
      <c r="B54" s="22" t="s">
        <v>1451</v>
      </c>
      <c r="C54" s="22" t="s">
        <v>1452</v>
      </c>
      <c r="D54" s="22" t="s">
        <v>1224</v>
      </c>
      <c r="E54" s="22" t="s">
        <v>1453</v>
      </c>
      <c r="F54" s="22"/>
      <c r="G54" s="22" t="s">
        <v>1274</v>
      </c>
      <c r="H54" s="21" t="s">
        <v>1289</v>
      </c>
      <c r="I54" s="22"/>
      <c r="J54" s="21" t="s">
        <v>1316</v>
      </c>
      <c r="K54" s="30"/>
      <c r="L54" s="35" t="s">
        <v>1288</v>
      </c>
      <c r="M54" s="35" t="str">
        <f>VLOOKUP(H54,'1_Value &amp; risk levers'!$H$9:$O$1048576,2,FALSE)</f>
        <v>Rarely used</v>
      </c>
      <c r="N54" s="35" t="str">
        <f>VLOOKUP(H54,'1_Value &amp; risk levers'!$H$9:$O$1048576,3,FALSE)</f>
        <v>Occasionally applied in negotiations, not a structured / defined approach for category managers to follow</v>
      </c>
      <c r="O54" s="35" t="str">
        <f>VLOOKUP(H54,'1_Value &amp; risk levers'!$H$9:$O$1048576,4,FALSE)</f>
        <v>Regular practice for most vegetable oils, but requires manual calculations / manual updates</v>
      </c>
      <c r="P54" s="35" t="str">
        <f>VLOOKUP(H54,'1_Value &amp; risk levers'!$H$9:$O$1048576,5,FALSE)</f>
        <v>Advanced/ automated modeling integrated into procurement tools</v>
      </c>
      <c r="Q54" s="77">
        <f>IF(VLOOKUP(H54,'1_Value &amp; risk levers'!$H$9:$T$1048576,13,FALSE)=0,"",VLOOKUP(H54,'1_Value &amp; risk levers'!$H$9:$T$1048576,13,FALSE))</f>
        <v>1</v>
      </c>
      <c r="R54" s="128">
        <f t="shared" si="0"/>
        <v>2</v>
      </c>
      <c r="S54" s="128" t="e">
        <f t="shared" si="1"/>
        <v>#DIV/0!</v>
      </c>
      <c r="T54" s="77"/>
      <c r="U54" s="77"/>
      <c r="V54" s="55"/>
      <c r="W54" s="71">
        <v>0.04</v>
      </c>
      <c r="X54" s="71">
        <v>0.1</v>
      </c>
      <c r="Y54" s="71">
        <f>VLOOKUP(H54,'1_Value &amp; risk levers'!$H$9:$O$1048576,8,FALSE)</f>
        <v>0.8</v>
      </c>
      <c r="Z54" s="51">
        <f t="shared" si="2"/>
        <v>7.0000000000000007E-2</v>
      </c>
      <c r="AA54" s="51">
        <f t="shared" si="4"/>
        <v>8.5000000000000006E-2</v>
      </c>
      <c r="AB54" s="55">
        <f t="shared" si="5"/>
        <v>2800000.0000000005</v>
      </c>
      <c r="AC54" s="55">
        <f t="shared" si="6"/>
        <v>3400000.0000000005</v>
      </c>
      <c r="AD54" s="80">
        <f t="shared" si="7"/>
        <v>7</v>
      </c>
      <c r="AE54" s="84">
        <f t="shared" si="8"/>
        <v>0.48864540816326468</v>
      </c>
      <c r="AF54" s="71" t="str">
        <f t="shared" si="9"/>
        <v>Low</v>
      </c>
      <c r="AG54" s="84">
        <f t="shared" si="10"/>
        <v>5.9772908163265304E-2</v>
      </c>
      <c r="AH54" s="84">
        <f t="shared" si="11"/>
        <v>9.5227091836734709E-2</v>
      </c>
      <c r="AI54" s="73">
        <f t="shared" si="12"/>
        <v>2390916.3265306121</v>
      </c>
      <c r="AJ54" s="73">
        <f t="shared" si="13"/>
        <v>3809083.6734693884</v>
      </c>
      <c r="AK54" s="46">
        <f>VLOOKUP(H54,'1_Value &amp; risk levers'!$H$9:$O$1048576,6,FALSE)</f>
        <v>0.02</v>
      </c>
      <c r="AL54" s="46">
        <f>VLOOKUP(H54,'1_Value &amp; risk levers'!$H$9:$O$1048576,7,FALSE)</f>
        <v>0.05</v>
      </c>
      <c r="AM54" s="50">
        <f t="shared" si="14"/>
        <v>4.2500000000000003E-2</v>
      </c>
      <c r="AN54" s="72">
        <f t="shared" si="15"/>
        <v>0.19767441860465118</v>
      </c>
      <c r="AO54" s="84">
        <f t="shared" si="16"/>
        <v>1.1815574869482677E-2</v>
      </c>
      <c r="AP54" s="84">
        <f t="shared" si="17"/>
        <v>1.8823960014238257E-2</v>
      </c>
      <c r="AQ54" s="55">
        <f t="shared" si="18"/>
        <v>553488.37209302338</v>
      </c>
      <c r="AR54" s="55">
        <f t="shared" si="19"/>
        <v>672093.0232558141</v>
      </c>
      <c r="AS54" s="83">
        <f t="shared" si="3"/>
        <v>41</v>
      </c>
      <c r="AT54" s="50">
        <f t="shared" si="20"/>
        <v>7.18</v>
      </c>
      <c r="AU54" s="55" t="str">
        <f t="shared" si="21"/>
        <v>Medium</v>
      </c>
      <c r="AV54" s="36" t="s">
        <v>1488</v>
      </c>
      <c r="AW54" s="110" t="s">
        <v>1489</v>
      </c>
      <c r="AX54" s="37" t="s">
        <v>1456</v>
      </c>
      <c r="AY54" s="30"/>
      <c r="AZ54" s="85" t="str">
        <f>IF(ISERROR(_xlfn.XLOOKUP(CONCATENATE(A54,"_",AV54),'Reference-Proof pt impact flag'!$I$3:$I$1048576,'Reference-Proof pt impact flag'!$G$3:$G$1048576)),"",_xlfn.XLOOKUP(CONCATENATE(A54,"_",AV54),'Reference-Proof pt impact flag'!$I$3:$I$1048576,'Reference-Proof pt impact flag'!$G$3:$G$1048576))</f>
        <v/>
      </c>
      <c r="BA54" s="74"/>
      <c r="BB54" s="74"/>
      <c r="BC54" s="74"/>
      <c r="BD54" s="74"/>
      <c r="BE54" s="74"/>
      <c r="BF54" s="74" t="e">
        <f>_xlfn.XLOOKUP(CONCATENATE(H54,"_",AV54),'Test 2 - Proof points - GPT5'!$T:$T,'Test 2 - Proof points - GPT5'!$S:$S)</f>
        <v>#N/A</v>
      </c>
      <c r="BG54" s="74" t="e">
        <f>_xlfn.XLOOKUP(CONCATENATE(H54,"_",AV54),'Test 2 -Proof points - Sonnet'!$AB:$AB,'Test 2 -Proof points - Sonnet'!$AA:$AA)</f>
        <v>#N/A</v>
      </c>
      <c r="BH54" s="74"/>
      <c r="BI54" s="74"/>
      <c r="BJ54" s="74" t="s">
        <v>1533</v>
      </c>
      <c r="BK54" s="30"/>
      <c r="BL54" s="30"/>
      <c r="BM54" s="30"/>
      <c r="BN54" s="30"/>
      <c r="BO54" s="30"/>
      <c r="BP54" s="30"/>
      <c r="BQ54" s="30"/>
      <c r="BR54" s="30"/>
      <c r="BS54" s="30"/>
      <c r="BT54" s="30"/>
      <c r="BU54" s="30"/>
      <c r="BV54" s="113"/>
    </row>
    <row r="55" spans="1:74" ht="217.5" hidden="1" x14ac:dyDescent="0.35">
      <c r="A55" s="22">
        <v>2</v>
      </c>
      <c r="B55" s="22" t="s">
        <v>1451</v>
      </c>
      <c r="C55" s="22" t="s">
        <v>1452</v>
      </c>
      <c r="D55" s="22" t="s">
        <v>1224</v>
      </c>
      <c r="E55" s="22" t="s">
        <v>1453</v>
      </c>
      <c r="F55" s="22"/>
      <c r="G55" s="22" t="s">
        <v>1274</v>
      </c>
      <c r="H55" s="21" t="s">
        <v>1289</v>
      </c>
      <c r="I55" s="22"/>
      <c r="J55" s="21" t="s">
        <v>1316</v>
      </c>
      <c r="K55" s="30"/>
      <c r="L55" s="35" t="s">
        <v>1288</v>
      </c>
      <c r="M55" s="35" t="str">
        <f>VLOOKUP(H55,'1_Value &amp; risk levers'!$H$9:$O$1048576,2,FALSE)</f>
        <v>Rarely used</v>
      </c>
      <c r="N55" s="35" t="str">
        <f>VLOOKUP(H55,'1_Value &amp; risk levers'!$H$9:$O$1048576,3,FALSE)</f>
        <v>Occasionally applied in negotiations, not a structured / defined approach for category managers to follow</v>
      </c>
      <c r="O55" s="35" t="str">
        <f>VLOOKUP(H55,'1_Value &amp; risk levers'!$H$9:$O$1048576,4,FALSE)</f>
        <v>Regular practice for most vegetable oils, but requires manual calculations / manual updates</v>
      </c>
      <c r="P55" s="35" t="str">
        <f>VLOOKUP(H55,'1_Value &amp; risk levers'!$H$9:$O$1048576,5,FALSE)</f>
        <v>Advanced/ automated modeling integrated into procurement tools</v>
      </c>
      <c r="Q55" s="77">
        <f>IF(VLOOKUP(H55,'1_Value &amp; risk levers'!$H$9:$T$1048576,13,FALSE)=0,"",VLOOKUP(H55,'1_Value &amp; risk levers'!$H$9:$T$1048576,13,FALSE))</f>
        <v>1</v>
      </c>
      <c r="R55" s="128">
        <f t="shared" si="0"/>
        <v>2</v>
      </c>
      <c r="S55" s="128" t="e">
        <f t="shared" si="1"/>
        <v>#DIV/0!</v>
      </c>
      <c r="T55" s="77"/>
      <c r="U55" s="77"/>
      <c r="V55" s="55"/>
      <c r="W55" s="71">
        <v>0.04</v>
      </c>
      <c r="X55" s="71">
        <v>0.1</v>
      </c>
      <c r="Y55" s="71">
        <f>VLOOKUP(H55,'1_Value &amp; risk levers'!$H$9:$O$1048576,8,FALSE)</f>
        <v>0.8</v>
      </c>
      <c r="Z55" s="51">
        <f t="shared" si="2"/>
        <v>7.0000000000000007E-2</v>
      </c>
      <c r="AA55" s="51">
        <f t="shared" si="4"/>
        <v>8.5000000000000006E-2</v>
      </c>
      <c r="AB55" s="55">
        <f t="shared" si="5"/>
        <v>2800000.0000000005</v>
      </c>
      <c r="AC55" s="55">
        <f t="shared" si="6"/>
        <v>3400000.0000000005</v>
      </c>
      <c r="AD55" s="80">
        <f t="shared" si="7"/>
        <v>7</v>
      </c>
      <c r="AE55" s="84">
        <f t="shared" si="8"/>
        <v>0.48864540816326468</v>
      </c>
      <c r="AF55" s="71" t="str">
        <f t="shared" si="9"/>
        <v>Low</v>
      </c>
      <c r="AG55" s="84">
        <f t="shared" si="10"/>
        <v>5.9772908163265304E-2</v>
      </c>
      <c r="AH55" s="84">
        <f t="shared" si="11"/>
        <v>9.5227091836734709E-2</v>
      </c>
      <c r="AI55" s="73">
        <f t="shared" si="12"/>
        <v>2390916.3265306121</v>
      </c>
      <c r="AJ55" s="73">
        <f t="shared" si="13"/>
        <v>3809083.6734693884</v>
      </c>
      <c r="AK55" s="46">
        <f>VLOOKUP(H55,'1_Value &amp; risk levers'!$H$9:$O$1048576,6,FALSE)</f>
        <v>0.02</v>
      </c>
      <c r="AL55" s="46">
        <f>VLOOKUP(H55,'1_Value &amp; risk levers'!$H$9:$O$1048576,7,FALSE)</f>
        <v>0.05</v>
      </c>
      <c r="AM55" s="50">
        <f t="shared" si="14"/>
        <v>4.2500000000000003E-2</v>
      </c>
      <c r="AN55" s="72">
        <f t="shared" si="15"/>
        <v>0.19767441860465118</v>
      </c>
      <c r="AO55" s="84">
        <f t="shared" si="16"/>
        <v>1.1815574869482677E-2</v>
      </c>
      <c r="AP55" s="84">
        <f t="shared" si="17"/>
        <v>1.8823960014238257E-2</v>
      </c>
      <c r="AQ55" s="55">
        <f t="shared" si="18"/>
        <v>553488.37209302338</v>
      </c>
      <c r="AR55" s="55">
        <f t="shared" si="19"/>
        <v>672093.0232558141</v>
      </c>
      <c r="AS55" s="83">
        <f t="shared" si="3"/>
        <v>41</v>
      </c>
      <c r="AT55" s="50">
        <f t="shared" si="20"/>
        <v>7.18</v>
      </c>
      <c r="AU55" s="55" t="str">
        <f t="shared" si="21"/>
        <v>Medium</v>
      </c>
      <c r="AV55" s="36" t="s">
        <v>1490</v>
      </c>
      <c r="AW55" s="110" t="s">
        <v>1491</v>
      </c>
      <c r="AX55" s="37" t="s">
        <v>1456</v>
      </c>
      <c r="AY55" s="30"/>
      <c r="AZ55" s="85" t="str">
        <f>IF(ISERROR(_xlfn.XLOOKUP(CONCATENATE(A55,"_",AV55),'Reference-Proof pt impact flag'!$I$3:$I$1048576,'Reference-Proof pt impact flag'!$G$3:$G$1048576)),"",_xlfn.XLOOKUP(CONCATENATE(A55,"_",AV55),'Reference-Proof pt impact flag'!$I$3:$I$1048576,'Reference-Proof pt impact flag'!$G$3:$G$1048576))</f>
        <v/>
      </c>
      <c r="BA55" s="74"/>
      <c r="BB55" s="74"/>
      <c r="BC55" s="74"/>
      <c r="BD55" s="74"/>
      <c r="BE55" s="74"/>
      <c r="BF55" s="74" t="e">
        <f>_xlfn.XLOOKUP(CONCATENATE(H55,"_",AV55),'Test 2 - Proof points - GPT5'!$T:$T,'Test 2 - Proof points - GPT5'!$S:$S)</f>
        <v>#N/A</v>
      </c>
      <c r="BG55" s="74" t="e">
        <f>_xlfn.XLOOKUP(CONCATENATE(H55,"_",AV55),'Test 2 -Proof points - Sonnet'!$AB:$AB,'Test 2 -Proof points - Sonnet'!$AA:$AA)</f>
        <v>#N/A</v>
      </c>
      <c r="BH55" s="74"/>
      <c r="BI55" s="74"/>
      <c r="BJ55" s="74" t="s">
        <v>1533</v>
      </c>
      <c r="BK55" s="30"/>
      <c r="BL55" s="30"/>
      <c r="BM55" s="30"/>
      <c r="BN55" s="30"/>
      <c r="BO55" s="30"/>
      <c r="BP55" s="30"/>
      <c r="BQ55" s="30"/>
      <c r="BR55" s="30"/>
      <c r="BS55" s="30"/>
      <c r="BT55" s="30"/>
      <c r="BU55" s="30"/>
      <c r="BV55" s="113"/>
    </row>
    <row r="56" spans="1:74" ht="217.5" hidden="1" x14ac:dyDescent="0.35">
      <c r="A56" s="22">
        <v>2</v>
      </c>
      <c r="B56" s="22" t="s">
        <v>1451</v>
      </c>
      <c r="C56" s="22" t="s">
        <v>1452</v>
      </c>
      <c r="D56" s="22" t="s">
        <v>1224</v>
      </c>
      <c r="E56" s="22" t="s">
        <v>1453</v>
      </c>
      <c r="F56" s="22"/>
      <c r="G56" s="22" t="s">
        <v>1274</v>
      </c>
      <c r="H56" s="21" t="s">
        <v>1289</v>
      </c>
      <c r="I56" s="22"/>
      <c r="J56" s="21" t="s">
        <v>1316</v>
      </c>
      <c r="K56" s="30"/>
      <c r="L56" s="35" t="s">
        <v>1288</v>
      </c>
      <c r="M56" s="35" t="str">
        <f>VLOOKUP(H56,'1_Value &amp; risk levers'!$H$9:$O$1048576,2,FALSE)</f>
        <v>Rarely used</v>
      </c>
      <c r="N56" s="35" t="str">
        <f>VLOOKUP(H56,'1_Value &amp; risk levers'!$H$9:$O$1048576,3,FALSE)</f>
        <v>Occasionally applied in negotiations, not a structured / defined approach for category managers to follow</v>
      </c>
      <c r="O56" s="35" t="str">
        <f>VLOOKUP(H56,'1_Value &amp; risk levers'!$H$9:$O$1048576,4,FALSE)</f>
        <v>Regular practice for most vegetable oils, but requires manual calculations / manual updates</v>
      </c>
      <c r="P56" s="35" t="str">
        <f>VLOOKUP(H56,'1_Value &amp; risk levers'!$H$9:$O$1048576,5,FALSE)</f>
        <v>Advanced/ automated modeling integrated into procurement tools</v>
      </c>
      <c r="Q56" s="77">
        <f>IF(VLOOKUP(H56,'1_Value &amp; risk levers'!$H$9:$T$1048576,13,FALSE)=0,"",VLOOKUP(H56,'1_Value &amp; risk levers'!$H$9:$T$1048576,13,FALSE))</f>
        <v>1</v>
      </c>
      <c r="R56" s="128">
        <f t="shared" si="0"/>
        <v>2</v>
      </c>
      <c r="S56" s="128" t="e">
        <f t="shared" si="1"/>
        <v>#DIV/0!</v>
      </c>
      <c r="T56" s="77"/>
      <c r="U56" s="77"/>
      <c r="V56" s="55"/>
      <c r="W56" s="71">
        <v>0.04</v>
      </c>
      <c r="X56" s="71">
        <v>0.1</v>
      </c>
      <c r="Y56" s="71">
        <f>VLOOKUP(H56,'1_Value &amp; risk levers'!$H$9:$O$1048576,8,FALSE)</f>
        <v>0.8</v>
      </c>
      <c r="Z56" s="51">
        <f t="shared" si="2"/>
        <v>7.0000000000000007E-2</v>
      </c>
      <c r="AA56" s="51">
        <f t="shared" si="4"/>
        <v>8.5000000000000006E-2</v>
      </c>
      <c r="AB56" s="55">
        <f t="shared" si="5"/>
        <v>2800000.0000000005</v>
      </c>
      <c r="AC56" s="55">
        <f t="shared" si="6"/>
        <v>3400000.0000000005</v>
      </c>
      <c r="AD56" s="80">
        <f t="shared" si="7"/>
        <v>7</v>
      </c>
      <c r="AE56" s="84">
        <f t="shared" si="8"/>
        <v>0.48864540816326468</v>
      </c>
      <c r="AF56" s="71" t="str">
        <f t="shared" si="9"/>
        <v>Low</v>
      </c>
      <c r="AG56" s="84">
        <f t="shared" si="10"/>
        <v>5.9772908163265304E-2</v>
      </c>
      <c r="AH56" s="84">
        <f t="shared" si="11"/>
        <v>9.5227091836734709E-2</v>
      </c>
      <c r="AI56" s="73">
        <f t="shared" si="12"/>
        <v>2390916.3265306121</v>
      </c>
      <c r="AJ56" s="73">
        <f t="shared" si="13"/>
        <v>3809083.6734693884</v>
      </c>
      <c r="AK56" s="46">
        <f>VLOOKUP(H56,'1_Value &amp; risk levers'!$H$9:$O$1048576,6,FALSE)</f>
        <v>0.02</v>
      </c>
      <c r="AL56" s="46">
        <f>VLOOKUP(H56,'1_Value &amp; risk levers'!$H$9:$O$1048576,7,FALSE)</f>
        <v>0.05</v>
      </c>
      <c r="AM56" s="50">
        <f t="shared" si="14"/>
        <v>4.2500000000000003E-2</v>
      </c>
      <c r="AN56" s="72">
        <f t="shared" si="15"/>
        <v>0.19767441860465118</v>
      </c>
      <c r="AO56" s="84">
        <f t="shared" si="16"/>
        <v>1.1815574869482677E-2</v>
      </c>
      <c r="AP56" s="84">
        <f t="shared" si="17"/>
        <v>1.8823960014238257E-2</v>
      </c>
      <c r="AQ56" s="55">
        <f t="shared" si="18"/>
        <v>553488.37209302338</v>
      </c>
      <c r="AR56" s="55">
        <f t="shared" si="19"/>
        <v>672093.0232558141</v>
      </c>
      <c r="AS56" s="83">
        <f t="shared" si="3"/>
        <v>41</v>
      </c>
      <c r="AT56" s="50">
        <f t="shared" si="20"/>
        <v>7.18</v>
      </c>
      <c r="AU56" s="55" t="str">
        <f t="shared" si="21"/>
        <v>Medium</v>
      </c>
      <c r="AV56" s="34" t="s">
        <v>1492</v>
      </c>
      <c r="AW56" s="112" t="s">
        <v>1538</v>
      </c>
      <c r="AX56" s="30" t="s">
        <v>1493</v>
      </c>
      <c r="AY56" s="30"/>
      <c r="AZ56" s="85" t="str">
        <f>IF(ISERROR(_xlfn.XLOOKUP(CONCATENATE(A56,"_",AV56),'Reference-Proof pt impact flag'!$I$3:$I$1048576,'Reference-Proof pt impact flag'!$G$3:$G$1048576)),"",_xlfn.XLOOKUP(CONCATENATE(A56,"_",AV56),'Reference-Proof pt impact flag'!$I$3:$I$1048576,'Reference-Proof pt impact flag'!$G$3:$G$1048576))</f>
        <v/>
      </c>
      <c r="BA56" s="74"/>
      <c r="BB56" s="74"/>
      <c r="BC56" s="74"/>
      <c r="BD56" s="74"/>
      <c r="BE56" s="74"/>
      <c r="BF56" s="74" t="e">
        <f>_xlfn.XLOOKUP(CONCATENATE(H56,"_",AV56),'Test 2 - Proof points - GPT5'!$T:$T,'Test 2 - Proof points - GPT5'!$S:$S)</f>
        <v>#N/A</v>
      </c>
      <c r="BG56" s="74" t="e">
        <f>_xlfn.XLOOKUP(CONCATENATE(H56,"_",AV56),'Test 2 -Proof points - Sonnet'!$AB:$AB,'Test 2 -Proof points - Sonnet'!$AA:$AA)</f>
        <v>#N/A</v>
      </c>
      <c r="BH56" s="74"/>
      <c r="BI56" s="74"/>
      <c r="BJ56" s="74" t="s">
        <v>1533</v>
      </c>
      <c r="BK56" s="30"/>
      <c r="BL56" s="30"/>
      <c r="BM56" s="30"/>
      <c r="BN56" s="30"/>
      <c r="BO56" s="30"/>
      <c r="BP56" s="30"/>
      <c r="BQ56" s="30"/>
      <c r="BR56" s="30"/>
      <c r="BS56" s="30"/>
      <c r="BT56" s="30"/>
      <c r="BU56" s="30"/>
      <c r="BV56" s="113"/>
    </row>
    <row r="57" spans="1:74" ht="217.5" hidden="1" x14ac:dyDescent="0.35">
      <c r="A57" s="22">
        <v>2</v>
      </c>
      <c r="B57" s="22" t="s">
        <v>1451</v>
      </c>
      <c r="C57" s="22" t="s">
        <v>1452</v>
      </c>
      <c r="D57" s="22" t="s">
        <v>1224</v>
      </c>
      <c r="E57" s="22" t="s">
        <v>1453</v>
      </c>
      <c r="F57" s="22"/>
      <c r="G57" s="22" t="s">
        <v>1274</v>
      </c>
      <c r="H57" s="21" t="s">
        <v>1289</v>
      </c>
      <c r="I57" s="22"/>
      <c r="J57" s="21" t="s">
        <v>1316</v>
      </c>
      <c r="K57" s="30"/>
      <c r="L57" s="35" t="s">
        <v>1288</v>
      </c>
      <c r="M57" s="35" t="str">
        <f>VLOOKUP(H57,'1_Value &amp; risk levers'!$H$9:$O$1048576,2,FALSE)</f>
        <v>Rarely used</v>
      </c>
      <c r="N57" s="35" t="str">
        <f>VLOOKUP(H57,'1_Value &amp; risk levers'!$H$9:$O$1048576,3,FALSE)</f>
        <v>Occasionally applied in negotiations, not a structured / defined approach for category managers to follow</v>
      </c>
      <c r="O57" s="35" t="str">
        <f>VLOOKUP(H57,'1_Value &amp; risk levers'!$H$9:$O$1048576,4,FALSE)</f>
        <v>Regular practice for most vegetable oils, but requires manual calculations / manual updates</v>
      </c>
      <c r="P57" s="35" t="str">
        <f>VLOOKUP(H57,'1_Value &amp; risk levers'!$H$9:$O$1048576,5,FALSE)</f>
        <v>Advanced/ automated modeling integrated into procurement tools</v>
      </c>
      <c r="Q57" s="77">
        <f>IF(VLOOKUP(H57,'1_Value &amp; risk levers'!$H$9:$T$1048576,13,FALSE)=0,"",VLOOKUP(H57,'1_Value &amp; risk levers'!$H$9:$T$1048576,13,FALSE))</f>
        <v>1</v>
      </c>
      <c r="R57" s="128">
        <f t="shared" si="0"/>
        <v>2</v>
      </c>
      <c r="S57" s="128" t="e">
        <f t="shared" si="1"/>
        <v>#DIV/0!</v>
      </c>
      <c r="T57" s="77"/>
      <c r="U57" s="77"/>
      <c r="V57" s="55"/>
      <c r="W57" s="71">
        <v>0.04</v>
      </c>
      <c r="X57" s="71">
        <v>0.1</v>
      </c>
      <c r="Y57" s="71">
        <f>VLOOKUP(H57,'1_Value &amp; risk levers'!$H$9:$O$1048576,8,FALSE)</f>
        <v>0.8</v>
      </c>
      <c r="Z57" s="51">
        <f t="shared" si="2"/>
        <v>7.0000000000000007E-2</v>
      </c>
      <c r="AA57" s="51">
        <f t="shared" si="4"/>
        <v>8.5000000000000006E-2</v>
      </c>
      <c r="AB57" s="55">
        <f t="shared" si="5"/>
        <v>2800000.0000000005</v>
      </c>
      <c r="AC57" s="55">
        <f t="shared" si="6"/>
        <v>3400000.0000000005</v>
      </c>
      <c r="AD57" s="80">
        <f t="shared" si="7"/>
        <v>7</v>
      </c>
      <c r="AE57" s="84">
        <f t="shared" si="8"/>
        <v>0.48864540816326468</v>
      </c>
      <c r="AF57" s="71" t="str">
        <f t="shared" si="9"/>
        <v>Low</v>
      </c>
      <c r="AG57" s="84">
        <f t="shared" si="10"/>
        <v>5.9772908163265304E-2</v>
      </c>
      <c r="AH57" s="84">
        <f t="shared" si="11"/>
        <v>9.5227091836734709E-2</v>
      </c>
      <c r="AI57" s="73">
        <f t="shared" si="12"/>
        <v>2390916.3265306121</v>
      </c>
      <c r="AJ57" s="73">
        <f t="shared" si="13"/>
        <v>3809083.6734693884</v>
      </c>
      <c r="AK57" s="46">
        <f>VLOOKUP(H57,'1_Value &amp; risk levers'!$H$9:$O$1048576,6,FALSE)</f>
        <v>0.02</v>
      </c>
      <c r="AL57" s="46">
        <f>VLOOKUP(H57,'1_Value &amp; risk levers'!$H$9:$O$1048576,7,FALSE)</f>
        <v>0.05</v>
      </c>
      <c r="AM57" s="50">
        <f t="shared" si="14"/>
        <v>4.2500000000000003E-2</v>
      </c>
      <c r="AN57" s="72">
        <f t="shared" si="15"/>
        <v>0.19767441860465118</v>
      </c>
      <c r="AO57" s="84">
        <f t="shared" si="16"/>
        <v>1.1815574869482677E-2</v>
      </c>
      <c r="AP57" s="84">
        <f t="shared" si="17"/>
        <v>1.8823960014238257E-2</v>
      </c>
      <c r="AQ57" s="55">
        <f t="shared" si="18"/>
        <v>553488.37209302338</v>
      </c>
      <c r="AR57" s="55">
        <f t="shared" si="19"/>
        <v>672093.0232558141</v>
      </c>
      <c r="AS57" s="83">
        <f t="shared" si="3"/>
        <v>41</v>
      </c>
      <c r="AT57" s="50">
        <f t="shared" si="20"/>
        <v>7.18</v>
      </c>
      <c r="AU57" s="55" t="str">
        <f t="shared" si="21"/>
        <v>Medium</v>
      </c>
      <c r="AV57" s="34" t="s">
        <v>1494</v>
      </c>
      <c r="AW57" s="112" t="s">
        <v>1539</v>
      </c>
      <c r="AX57" s="30" t="s">
        <v>1493</v>
      </c>
      <c r="AY57" s="30"/>
      <c r="AZ57" s="85" t="str">
        <f>IF(ISERROR(_xlfn.XLOOKUP(CONCATENATE(A57,"_",AV57),'Reference-Proof pt impact flag'!$I$3:$I$1048576,'Reference-Proof pt impact flag'!$G$3:$G$1048576)),"",_xlfn.XLOOKUP(CONCATENATE(A57,"_",AV57),'Reference-Proof pt impact flag'!$I$3:$I$1048576,'Reference-Proof pt impact flag'!$G$3:$G$1048576))</f>
        <v/>
      </c>
      <c r="BA57" s="74"/>
      <c r="BB57" s="74"/>
      <c r="BC57" s="74"/>
      <c r="BD57" s="74"/>
      <c r="BE57" s="74"/>
      <c r="BF57" s="74" t="e">
        <f>_xlfn.XLOOKUP(CONCATENATE(H57,"_",AV57),'Test 2 - Proof points - GPT5'!$T:$T,'Test 2 - Proof points - GPT5'!$S:$S)</f>
        <v>#N/A</v>
      </c>
      <c r="BG57" s="74" t="e">
        <f>_xlfn.XLOOKUP(CONCATENATE(H57,"_",AV57),'Test 2 -Proof points - Sonnet'!$AB:$AB,'Test 2 -Proof points - Sonnet'!$AA:$AA)</f>
        <v>#N/A</v>
      </c>
      <c r="BH57" s="74"/>
      <c r="BI57" s="74"/>
      <c r="BJ57" s="74" t="s">
        <v>1533</v>
      </c>
      <c r="BK57" s="30"/>
      <c r="BL57" s="30"/>
      <c r="BM57" s="30"/>
      <c r="BN57" s="30"/>
      <c r="BO57" s="30"/>
      <c r="BP57" s="30"/>
      <c r="BQ57" s="30"/>
      <c r="BR57" s="30"/>
      <c r="BS57" s="30"/>
      <c r="BT57" s="30"/>
      <c r="BU57" s="30"/>
      <c r="BV57" s="113"/>
    </row>
    <row r="58" spans="1:74" ht="217.5" hidden="1" x14ac:dyDescent="0.35">
      <c r="A58" s="22">
        <v>2</v>
      </c>
      <c r="B58" s="22" t="s">
        <v>1451</v>
      </c>
      <c r="C58" s="22" t="s">
        <v>1452</v>
      </c>
      <c r="D58" s="22" t="s">
        <v>1224</v>
      </c>
      <c r="E58" s="22" t="s">
        <v>1453</v>
      </c>
      <c r="F58" s="22"/>
      <c r="G58" s="22" t="s">
        <v>1274</v>
      </c>
      <c r="H58" s="21" t="s">
        <v>1289</v>
      </c>
      <c r="I58" s="22"/>
      <c r="J58" s="21" t="s">
        <v>1316</v>
      </c>
      <c r="K58" s="30"/>
      <c r="L58" s="35" t="s">
        <v>1288</v>
      </c>
      <c r="M58" s="35" t="str">
        <f>VLOOKUP(H58,'1_Value &amp; risk levers'!$H$9:$O$1048576,2,FALSE)</f>
        <v>Rarely used</v>
      </c>
      <c r="N58" s="35" t="str">
        <f>VLOOKUP(H58,'1_Value &amp; risk levers'!$H$9:$O$1048576,3,FALSE)</f>
        <v>Occasionally applied in negotiations, not a structured / defined approach for category managers to follow</v>
      </c>
      <c r="O58" s="35" t="str">
        <f>VLOOKUP(H58,'1_Value &amp; risk levers'!$H$9:$O$1048576,4,FALSE)</f>
        <v>Regular practice for most vegetable oils, but requires manual calculations / manual updates</v>
      </c>
      <c r="P58" s="35" t="str">
        <f>VLOOKUP(H58,'1_Value &amp; risk levers'!$H$9:$O$1048576,5,FALSE)</f>
        <v>Advanced/ automated modeling integrated into procurement tools</v>
      </c>
      <c r="Q58" s="77">
        <f>IF(VLOOKUP(H58,'1_Value &amp; risk levers'!$H$9:$T$1048576,13,FALSE)=0,"",VLOOKUP(H58,'1_Value &amp; risk levers'!$H$9:$T$1048576,13,FALSE))</f>
        <v>1</v>
      </c>
      <c r="R58" s="128">
        <f t="shared" si="0"/>
        <v>2</v>
      </c>
      <c r="S58" s="128" t="e">
        <f t="shared" si="1"/>
        <v>#DIV/0!</v>
      </c>
      <c r="T58" s="77"/>
      <c r="U58" s="77"/>
      <c r="V58" s="55"/>
      <c r="W58" s="71">
        <v>0.04</v>
      </c>
      <c r="X58" s="71">
        <v>0.1</v>
      </c>
      <c r="Y58" s="71">
        <f>VLOOKUP(H58,'1_Value &amp; risk levers'!$H$9:$O$1048576,8,FALSE)</f>
        <v>0.8</v>
      </c>
      <c r="Z58" s="51">
        <f t="shared" si="2"/>
        <v>7.0000000000000007E-2</v>
      </c>
      <c r="AA58" s="51">
        <f t="shared" si="4"/>
        <v>8.5000000000000006E-2</v>
      </c>
      <c r="AB58" s="55">
        <f t="shared" si="5"/>
        <v>2800000.0000000005</v>
      </c>
      <c r="AC58" s="55">
        <f t="shared" si="6"/>
        <v>3400000.0000000005</v>
      </c>
      <c r="AD58" s="80">
        <f t="shared" si="7"/>
        <v>7</v>
      </c>
      <c r="AE58" s="84">
        <f t="shared" si="8"/>
        <v>0.48864540816326468</v>
      </c>
      <c r="AF58" s="71" t="str">
        <f t="shared" si="9"/>
        <v>Low</v>
      </c>
      <c r="AG58" s="84">
        <f t="shared" si="10"/>
        <v>5.9772908163265304E-2</v>
      </c>
      <c r="AH58" s="84">
        <f t="shared" si="11"/>
        <v>9.5227091836734709E-2</v>
      </c>
      <c r="AI58" s="73">
        <f t="shared" si="12"/>
        <v>2390916.3265306121</v>
      </c>
      <c r="AJ58" s="73">
        <f t="shared" si="13"/>
        <v>3809083.6734693884</v>
      </c>
      <c r="AK58" s="46">
        <f>VLOOKUP(H58,'1_Value &amp; risk levers'!$H$9:$O$1048576,6,FALSE)</f>
        <v>0.02</v>
      </c>
      <c r="AL58" s="46">
        <f>VLOOKUP(H58,'1_Value &amp; risk levers'!$H$9:$O$1048576,7,FALSE)</f>
        <v>0.05</v>
      </c>
      <c r="AM58" s="50">
        <f t="shared" si="14"/>
        <v>4.2500000000000003E-2</v>
      </c>
      <c r="AN58" s="72">
        <f t="shared" si="15"/>
        <v>0.19767441860465118</v>
      </c>
      <c r="AO58" s="84">
        <f t="shared" si="16"/>
        <v>1.1815574869482677E-2</v>
      </c>
      <c r="AP58" s="84">
        <f t="shared" si="17"/>
        <v>1.8823960014238257E-2</v>
      </c>
      <c r="AQ58" s="55">
        <f t="shared" si="18"/>
        <v>553488.37209302338</v>
      </c>
      <c r="AR58" s="55">
        <f t="shared" si="19"/>
        <v>672093.0232558141</v>
      </c>
      <c r="AS58" s="83">
        <f t="shared" si="3"/>
        <v>41</v>
      </c>
      <c r="AT58" s="50">
        <f t="shared" si="20"/>
        <v>7.18</v>
      </c>
      <c r="AU58" s="55" t="str">
        <f t="shared" si="21"/>
        <v>Medium</v>
      </c>
      <c r="AV58" s="34" t="s">
        <v>1495</v>
      </c>
      <c r="AW58" s="111"/>
      <c r="AX58" s="30" t="s">
        <v>1493</v>
      </c>
      <c r="AY58" s="30"/>
      <c r="AZ58" s="85" t="str">
        <f>IF(ISERROR(_xlfn.XLOOKUP(CONCATENATE(A58,"_",AV58),'Reference-Proof pt impact flag'!$I$3:$I$1048576,'Reference-Proof pt impact flag'!$G$3:$G$1048576)),"",_xlfn.XLOOKUP(CONCATENATE(A58,"_",AV58),'Reference-Proof pt impact flag'!$I$3:$I$1048576,'Reference-Proof pt impact flag'!$G$3:$G$1048576))</f>
        <v/>
      </c>
      <c r="BA58" s="74"/>
      <c r="BB58" s="74"/>
      <c r="BC58" s="74"/>
      <c r="BD58" s="74"/>
      <c r="BE58" s="74"/>
      <c r="BF58" s="74" t="e">
        <f>_xlfn.XLOOKUP(CONCATENATE(H58,"_",AV58),'Test 2 - Proof points - GPT5'!$T:$T,'Test 2 - Proof points - GPT5'!$S:$S)</f>
        <v>#N/A</v>
      </c>
      <c r="BG58" s="74" t="e">
        <f>_xlfn.XLOOKUP(CONCATENATE(H58,"_",AV58),'Test 2 -Proof points - Sonnet'!$AB:$AB,'Test 2 -Proof points - Sonnet'!$AA:$AA)</f>
        <v>#N/A</v>
      </c>
      <c r="BH58" s="74"/>
      <c r="BI58" s="74"/>
      <c r="BJ58" s="74" t="s">
        <v>1533</v>
      </c>
      <c r="BK58" s="30"/>
      <c r="BL58" s="30"/>
      <c r="BM58" s="30"/>
      <c r="BN58" s="30"/>
      <c r="BO58" s="30"/>
      <c r="BP58" s="30"/>
      <c r="BQ58" s="30"/>
      <c r="BR58" s="30"/>
      <c r="BS58" s="30"/>
      <c r="BT58" s="30"/>
      <c r="BU58" s="30"/>
      <c r="BV58" s="113"/>
    </row>
    <row r="59" spans="1:74" ht="217.5" hidden="1" x14ac:dyDescent="0.35">
      <c r="A59" s="22">
        <v>2</v>
      </c>
      <c r="B59" s="22" t="s">
        <v>1451</v>
      </c>
      <c r="C59" s="22" t="s">
        <v>1452</v>
      </c>
      <c r="D59" s="22" t="s">
        <v>1224</v>
      </c>
      <c r="E59" s="22" t="s">
        <v>1453</v>
      </c>
      <c r="F59" s="22"/>
      <c r="G59" s="22" t="s">
        <v>1274</v>
      </c>
      <c r="H59" s="21" t="s">
        <v>1289</v>
      </c>
      <c r="I59" s="22"/>
      <c r="J59" s="21" t="s">
        <v>1316</v>
      </c>
      <c r="K59" s="30"/>
      <c r="L59" s="35" t="s">
        <v>1288</v>
      </c>
      <c r="M59" s="35" t="str">
        <f>VLOOKUP(H59,'1_Value &amp; risk levers'!$H$9:$O$1048576,2,FALSE)</f>
        <v>Rarely used</v>
      </c>
      <c r="N59" s="35" t="str">
        <f>VLOOKUP(H59,'1_Value &amp; risk levers'!$H$9:$O$1048576,3,FALSE)</f>
        <v>Occasionally applied in negotiations, not a structured / defined approach for category managers to follow</v>
      </c>
      <c r="O59" s="35" t="str">
        <f>VLOOKUP(H59,'1_Value &amp; risk levers'!$H$9:$O$1048576,4,FALSE)</f>
        <v>Regular practice for most vegetable oils, but requires manual calculations / manual updates</v>
      </c>
      <c r="P59" s="35" t="str">
        <f>VLOOKUP(H59,'1_Value &amp; risk levers'!$H$9:$O$1048576,5,FALSE)</f>
        <v>Advanced/ automated modeling integrated into procurement tools</v>
      </c>
      <c r="Q59" s="77">
        <f>IF(VLOOKUP(H59,'1_Value &amp; risk levers'!$H$9:$T$1048576,13,FALSE)=0,"",VLOOKUP(H59,'1_Value &amp; risk levers'!$H$9:$T$1048576,13,FALSE))</f>
        <v>1</v>
      </c>
      <c r="R59" s="128">
        <f t="shared" si="0"/>
        <v>2</v>
      </c>
      <c r="S59" s="128" t="e">
        <f t="shared" si="1"/>
        <v>#DIV/0!</v>
      </c>
      <c r="T59" s="77"/>
      <c r="U59" s="77"/>
      <c r="V59" s="55"/>
      <c r="W59" s="71">
        <v>0.04</v>
      </c>
      <c r="X59" s="71">
        <v>0.1</v>
      </c>
      <c r="Y59" s="71">
        <f>VLOOKUP(H59,'1_Value &amp; risk levers'!$H$9:$O$1048576,8,FALSE)</f>
        <v>0.8</v>
      </c>
      <c r="Z59" s="51">
        <f t="shared" si="2"/>
        <v>7.0000000000000007E-2</v>
      </c>
      <c r="AA59" s="51">
        <f t="shared" si="4"/>
        <v>8.5000000000000006E-2</v>
      </c>
      <c r="AB59" s="55">
        <f t="shared" si="5"/>
        <v>2800000.0000000005</v>
      </c>
      <c r="AC59" s="55">
        <f t="shared" si="6"/>
        <v>3400000.0000000005</v>
      </c>
      <c r="AD59" s="80">
        <f t="shared" si="7"/>
        <v>7</v>
      </c>
      <c r="AE59" s="84">
        <f t="shared" si="8"/>
        <v>0.48864540816326468</v>
      </c>
      <c r="AF59" s="71" t="str">
        <f t="shared" si="9"/>
        <v>Low</v>
      </c>
      <c r="AG59" s="84">
        <f t="shared" si="10"/>
        <v>5.9772908163265304E-2</v>
      </c>
      <c r="AH59" s="84">
        <f t="shared" si="11"/>
        <v>9.5227091836734709E-2</v>
      </c>
      <c r="AI59" s="73">
        <f t="shared" si="12"/>
        <v>2390916.3265306121</v>
      </c>
      <c r="AJ59" s="73">
        <f t="shared" si="13"/>
        <v>3809083.6734693884</v>
      </c>
      <c r="AK59" s="46">
        <f>VLOOKUP(H59,'1_Value &amp; risk levers'!$H$9:$O$1048576,6,FALSE)</f>
        <v>0.02</v>
      </c>
      <c r="AL59" s="46">
        <f>VLOOKUP(H59,'1_Value &amp; risk levers'!$H$9:$O$1048576,7,FALSE)</f>
        <v>0.05</v>
      </c>
      <c r="AM59" s="50">
        <f t="shared" si="14"/>
        <v>4.2500000000000003E-2</v>
      </c>
      <c r="AN59" s="72">
        <f t="shared" si="15"/>
        <v>0.19767441860465118</v>
      </c>
      <c r="AO59" s="84">
        <f t="shared" si="16"/>
        <v>1.1815574869482677E-2</v>
      </c>
      <c r="AP59" s="84">
        <f t="shared" si="17"/>
        <v>1.8823960014238257E-2</v>
      </c>
      <c r="AQ59" s="55">
        <f t="shared" si="18"/>
        <v>553488.37209302338</v>
      </c>
      <c r="AR59" s="55">
        <f t="shared" si="19"/>
        <v>672093.0232558141</v>
      </c>
      <c r="AS59" s="83">
        <f t="shared" si="3"/>
        <v>41</v>
      </c>
      <c r="AT59" s="50">
        <f t="shared" si="20"/>
        <v>7.18</v>
      </c>
      <c r="AU59" s="55" t="str">
        <f t="shared" si="21"/>
        <v>Medium</v>
      </c>
      <c r="AV59" s="34" t="s">
        <v>1496</v>
      </c>
      <c r="AW59" s="111"/>
      <c r="AX59" s="30" t="s">
        <v>1493</v>
      </c>
      <c r="AY59" s="30"/>
      <c r="AZ59" s="85" t="str">
        <f>IF(ISERROR(_xlfn.XLOOKUP(CONCATENATE(A59,"_",AV59),'Reference-Proof pt impact flag'!$I$3:$I$1048576,'Reference-Proof pt impact flag'!$G$3:$G$1048576)),"",_xlfn.XLOOKUP(CONCATENATE(A59,"_",AV59),'Reference-Proof pt impact flag'!$I$3:$I$1048576,'Reference-Proof pt impact flag'!$G$3:$G$1048576))</f>
        <v/>
      </c>
      <c r="BA59" s="74"/>
      <c r="BB59" s="74"/>
      <c r="BC59" s="74"/>
      <c r="BD59" s="74"/>
      <c r="BE59" s="74"/>
      <c r="BF59" s="74" t="e">
        <f>_xlfn.XLOOKUP(CONCATENATE(H59,"_",AV59),'Test 2 - Proof points - GPT5'!$T:$T,'Test 2 - Proof points - GPT5'!$S:$S)</f>
        <v>#N/A</v>
      </c>
      <c r="BG59" s="74" t="e">
        <f>_xlfn.XLOOKUP(CONCATENATE(H59,"_",AV59),'Test 2 -Proof points - Sonnet'!$AB:$AB,'Test 2 -Proof points - Sonnet'!$AA:$AA)</f>
        <v>#N/A</v>
      </c>
      <c r="BH59" s="74"/>
      <c r="BI59" s="74"/>
      <c r="BJ59" s="74" t="s">
        <v>1533</v>
      </c>
      <c r="BK59" s="30"/>
      <c r="BL59" s="30"/>
      <c r="BM59" s="30"/>
      <c r="BN59" s="30"/>
      <c r="BO59" s="30"/>
      <c r="BP59" s="30"/>
      <c r="BQ59" s="30"/>
      <c r="BR59" s="30"/>
      <c r="BS59" s="30"/>
      <c r="BT59" s="30"/>
      <c r="BU59" s="30"/>
      <c r="BV59" s="113"/>
    </row>
    <row r="60" spans="1:74" ht="217.5" hidden="1" x14ac:dyDescent="0.35">
      <c r="A60" s="22">
        <v>2</v>
      </c>
      <c r="B60" s="22" t="s">
        <v>1451</v>
      </c>
      <c r="C60" s="22" t="s">
        <v>1452</v>
      </c>
      <c r="D60" s="22" t="s">
        <v>1224</v>
      </c>
      <c r="E60" s="22" t="s">
        <v>1453</v>
      </c>
      <c r="F60" s="22"/>
      <c r="G60" s="22" t="s">
        <v>1274</v>
      </c>
      <c r="H60" s="21" t="s">
        <v>1289</v>
      </c>
      <c r="I60" s="22"/>
      <c r="J60" s="21" t="s">
        <v>1316</v>
      </c>
      <c r="K60" s="30"/>
      <c r="L60" s="35" t="s">
        <v>1288</v>
      </c>
      <c r="M60" s="35" t="str">
        <f>VLOOKUP(H60,'1_Value &amp; risk levers'!$H$9:$O$1048576,2,FALSE)</f>
        <v>Rarely used</v>
      </c>
      <c r="N60" s="35" t="str">
        <f>VLOOKUP(H60,'1_Value &amp; risk levers'!$H$9:$O$1048576,3,FALSE)</f>
        <v>Occasionally applied in negotiations, not a structured / defined approach for category managers to follow</v>
      </c>
      <c r="O60" s="35" t="str">
        <f>VLOOKUP(H60,'1_Value &amp; risk levers'!$H$9:$O$1048576,4,FALSE)</f>
        <v>Regular practice for most vegetable oils, but requires manual calculations / manual updates</v>
      </c>
      <c r="P60" s="35" t="str">
        <f>VLOOKUP(H60,'1_Value &amp; risk levers'!$H$9:$O$1048576,5,FALSE)</f>
        <v>Advanced/ automated modeling integrated into procurement tools</v>
      </c>
      <c r="Q60" s="77">
        <f>IF(VLOOKUP(H60,'1_Value &amp; risk levers'!$H$9:$T$1048576,13,FALSE)=0,"",VLOOKUP(H60,'1_Value &amp; risk levers'!$H$9:$T$1048576,13,FALSE))</f>
        <v>1</v>
      </c>
      <c r="R60" s="128">
        <f t="shared" si="0"/>
        <v>2</v>
      </c>
      <c r="S60" s="128" t="e">
        <f t="shared" si="1"/>
        <v>#DIV/0!</v>
      </c>
      <c r="T60" s="77"/>
      <c r="U60" s="77"/>
      <c r="V60" s="55"/>
      <c r="W60" s="71">
        <v>0.04</v>
      </c>
      <c r="X60" s="71">
        <v>0.1</v>
      </c>
      <c r="Y60" s="71">
        <f>VLOOKUP(H60,'1_Value &amp; risk levers'!$H$9:$O$1048576,8,FALSE)</f>
        <v>0.8</v>
      </c>
      <c r="Z60" s="51">
        <f t="shared" si="2"/>
        <v>7.0000000000000007E-2</v>
      </c>
      <c r="AA60" s="51">
        <f t="shared" si="4"/>
        <v>8.5000000000000006E-2</v>
      </c>
      <c r="AB60" s="55">
        <f t="shared" si="5"/>
        <v>2800000.0000000005</v>
      </c>
      <c r="AC60" s="55">
        <f t="shared" si="6"/>
        <v>3400000.0000000005</v>
      </c>
      <c r="AD60" s="80">
        <f t="shared" si="7"/>
        <v>7</v>
      </c>
      <c r="AE60" s="84">
        <f t="shared" si="8"/>
        <v>0.48864540816326468</v>
      </c>
      <c r="AF60" s="71" t="str">
        <f t="shared" si="9"/>
        <v>Low</v>
      </c>
      <c r="AG60" s="84">
        <f t="shared" si="10"/>
        <v>5.9772908163265304E-2</v>
      </c>
      <c r="AH60" s="84">
        <f t="shared" si="11"/>
        <v>9.5227091836734709E-2</v>
      </c>
      <c r="AI60" s="73">
        <f t="shared" si="12"/>
        <v>2390916.3265306121</v>
      </c>
      <c r="AJ60" s="73">
        <f t="shared" si="13"/>
        <v>3809083.6734693884</v>
      </c>
      <c r="AK60" s="46">
        <f>VLOOKUP(H60,'1_Value &amp; risk levers'!$H$9:$O$1048576,6,FALSE)</f>
        <v>0.02</v>
      </c>
      <c r="AL60" s="46">
        <f>VLOOKUP(H60,'1_Value &amp; risk levers'!$H$9:$O$1048576,7,FALSE)</f>
        <v>0.05</v>
      </c>
      <c r="AM60" s="50">
        <f t="shared" si="14"/>
        <v>4.2500000000000003E-2</v>
      </c>
      <c r="AN60" s="72">
        <f t="shared" si="15"/>
        <v>0.19767441860465118</v>
      </c>
      <c r="AO60" s="84">
        <f t="shared" si="16"/>
        <v>1.1815574869482677E-2</v>
      </c>
      <c r="AP60" s="84">
        <f t="shared" si="17"/>
        <v>1.8823960014238257E-2</v>
      </c>
      <c r="AQ60" s="55">
        <f t="shared" si="18"/>
        <v>553488.37209302338</v>
      </c>
      <c r="AR60" s="55">
        <f t="shared" si="19"/>
        <v>672093.0232558141</v>
      </c>
      <c r="AS60" s="83">
        <f t="shared" si="3"/>
        <v>41</v>
      </c>
      <c r="AT60" s="50">
        <f t="shared" si="20"/>
        <v>7.18</v>
      </c>
      <c r="AU60" s="55" t="str">
        <f t="shared" si="21"/>
        <v>Medium</v>
      </c>
      <c r="AV60" s="34" t="s">
        <v>1499</v>
      </c>
      <c r="AW60" s="111"/>
      <c r="AX60" s="30" t="s">
        <v>1493</v>
      </c>
      <c r="AY60" s="30"/>
      <c r="AZ60" s="85" t="str">
        <f>IF(ISERROR(_xlfn.XLOOKUP(CONCATENATE(A60,"_",AV60),'Reference-Proof pt impact flag'!$I$3:$I$1048576,'Reference-Proof pt impact flag'!$G$3:$G$1048576)),"",_xlfn.XLOOKUP(CONCATENATE(A60,"_",AV60),'Reference-Proof pt impact flag'!$I$3:$I$1048576,'Reference-Proof pt impact flag'!$G$3:$G$1048576))</f>
        <v/>
      </c>
      <c r="BA60" s="74"/>
      <c r="BB60" s="74"/>
      <c r="BC60" s="74"/>
      <c r="BD60" s="74"/>
      <c r="BE60" s="74"/>
      <c r="BF60" s="74" t="e">
        <f>_xlfn.XLOOKUP(CONCATENATE(H60,"_",AV60),'Test 2 - Proof points - GPT5'!$T:$T,'Test 2 - Proof points - GPT5'!$S:$S)</f>
        <v>#N/A</v>
      </c>
      <c r="BG60" s="74" t="e">
        <f>_xlfn.XLOOKUP(CONCATENATE(H60,"_",AV60),'Test 2 -Proof points - Sonnet'!$AB:$AB,'Test 2 -Proof points - Sonnet'!$AA:$AA)</f>
        <v>#N/A</v>
      </c>
      <c r="BH60" s="74"/>
      <c r="BI60" s="74"/>
      <c r="BJ60" s="74" t="s">
        <v>1533</v>
      </c>
      <c r="BK60" s="30"/>
      <c r="BL60" s="30"/>
      <c r="BM60" s="30"/>
      <c r="BN60" s="30"/>
      <c r="BO60" s="30"/>
      <c r="BP60" s="30"/>
      <c r="BQ60" s="30"/>
      <c r="BR60" s="30"/>
      <c r="BS60" s="30"/>
      <c r="BT60" s="30"/>
      <c r="BU60" s="30"/>
      <c r="BV60" s="113"/>
    </row>
    <row r="61" spans="1:74" ht="217.5" hidden="1" x14ac:dyDescent="0.35">
      <c r="A61" s="22">
        <v>2</v>
      </c>
      <c r="B61" s="22" t="s">
        <v>1451</v>
      </c>
      <c r="C61" s="22" t="s">
        <v>1452</v>
      </c>
      <c r="D61" s="22" t="s">
        <v>1224</v>
      </c>
      <c r="E61" s="22" t="s">
        <v>1453</v>
      </c>
      <c r="F61" s="22"/>
      <c r="G61" s="22" t="s">
        <v>1274</v>
      </c>
      <c r="H61" s="21" t="s">
        <v>1289</v>
      </c>
      <c r="I61" s="22"/>
      <c r="J61" s="21" t="s">
        <v>1316</v>
      </c>
      <c r="K61" s="30"/>
      <c r="L61" s="35" t="s">
        <v>1288</v>
      </c>
      <c r="M61" s="35" t="str">
        <f>VLOOKUP(H61,'1_Value &amp; risk levers'!$H$9:$O$1048576,2,FALSE)</f>
        <v>Rarely used</v>
      </c>
      <c r="N61" s="35" t="str">
        <f>VLOOKUP(H61,'1_Value &amp; risk levers'!$H$9:$O$1048576,3,FALSE)</f>
        <v>Occasionally applied in negotiations, not a structured / defined approach for category managers to follow</v>
      </c>
      <c r="O61" s="35" t="str">
        <f>VLOOKUP(H61,'1_Value &amp; risk levers'!$H$9:$O$1048576,4,FALSE)</f>
        <v>Regular practice for most vegetable oils, but requires manual calculations / manual updates</v>
      </c>
      <c r="P61" s="35" t="str">
        <f>VLOOKUP(H61,'1_Value &amp; risk levers'!$H$9:$O$1048576,5,FALSE)</f>
        <v>Advanced/ automated modeling integrated into procurement tools</v>
      </c>
      <c r="Q61" s="77">
        <f>IF(VLOOKUP(H61,'1_Value &amp; risk levers'!$H$9:$T$1048576,13,FALSE)=0,"",VLOOKUP(H61,'1_Value &amp; risk levers'!$H$9:$T$1048576,13,FALSE))</f>
        <v>1</v>
      </c>
      <c r="R61" s="128">
        <f t="shared" si="0"/>
        <v>2</v>
      </c>
      <c r="S61" s="128" t="e">
        <f t="shared" si="1"/>
        <v>#DIV/0!</v>
      </c>
      <c r="T61" s="77"/>
      <c r="U61" s="77"/>
      <c r="V61" s="55"/>
      <c r="W61" s="71">
        <v>0.04</v>
      </c>
      <c r="X61" s="71">
        <v>0.1</v>
      </c>
      <c r="Y61" s="71">
        <f>VLOOKUP(H61,'1_Value &amp; risk levers'!$H$9:$O$1048576,8,FALSE)</f>
        <v>0.8</v>
      </c>
      <c r="Z61" s="51">
        <f t="shared" si="2"/>
        <v>7.0000000000000007E-2</v>
      </c>
      <c r="AA61" s="51">
        <f t="shared" si="4"/>
        <v>8.5000000000000006E-2</v>
      </c>
      <c r="AB61" s="55">
        <f t="shared" si="5"/>
        <v>2800000.0000000005</v>
      </c>
      <c r="AC61" s="55">
        <f t="shared" si="6"/>
        <v>3400000.0000000005</v>
      </c>
      <c r="AD61" s="80">
        <f t="shared" si="7"/>
        <v>7</v>
      </c>
      <c r="AE61" s="84">
        <f t="shared" si="8"/>
        <v>0.48864540816326468</v>
      </c>
      <c r="AF61" s="71" t="str">
        <f t="shared" si="9"/>
        <v>Low</v>
      </c>
      <c r="AG61" s="84">
        <f t="shared" si="10"/>
        <v>5.9772908163265304E-2</v>
      </c>
      <c r="AH61" s="84">
        <f t="shared" si="11"/>
        <v>9.5227091836734709E-2</v>
      </c>
      <c r="AI61" s="73">
        <f t="shared" si="12"/>
        <v>2390916.3265306121</v>
      </c>
      <c r="AJ61" s="73">
        <f t="shared" si="13"/>
        <v>3809083.6734693884</v>
      </c>
      <c r="AK61" s="46">
        <f>VLOOKUP(H61,'1_Value &amp; risk levers'!$H$9:$O$1048576,6,FALSE)</f>
        <v>0.02</v>
      </c>
      <c r="AL61" s="46">
        <f>VLOOKUP(H61,'1_Value &amp; risk levers'!$H$9:$O$1048576,7,FALSE)</f>
        <v>0.05</v>
      </c>
      <c r="AM61" s="50">
        <f t="shared" si="14"/>
        <v>4.2500000000000003E-2</v>
      </c>
      <c r="AN61" s="72">
        <f t="shared" si="15"/>
        <v>0.19767441860465118</v>
      </c>
      <c r="AO61" s="84">
        <f t="shared" si="16"/>
        <v>1.1815574869482677E-2</v>
      </c>
      <c r="AP61" s="84">
        <f t="shared" si="17"/>
        <v>1.8823960014238257E-2</v>
      </c>
      <c r="AQ61" s="55">
        <f t="shared" si="18"/>
        <v>553488.37209302338</v>
      </c>
      <c r="AR61" s="55">
        <f t="shared" si="19"/>
        <v>672093.0232558141</v>
      </c>
      <c r="AS61" s="83">
        <f t="shared" si="3"/>
        <v>41</v>
      </c>
      <c r="AT61" s="50">
        <f t="shared" si="20"/>
        <v>7.18</v>
      </c>
      <c r="AU61" s="55" t="str">
        <f t="shared" si="21"/>
        <v>Medium</v>
      </c>
      <c r="AV61" s="34" t="s">
        <v>1500</v>
      </c>
      <c r="AW61" s="111"/>
      <c r="AX61" s="30" t="s">
        <v>1493</v>
      </c>
      <c r="AY61" s="30"/>
      <c r="AZ61" s="85" t="str">
        <f>IF(ISERROR(_xlfn.XLOOKUP(CONCATENATE(A61,"_",AV61),'Reference-Proof pt impact flag'!$I$3:$I$1048576,'Reference-Proof pt impact flag'!$G$3:$G$1048576)),"",_xlfn.XLOOKUP(CONCATENATE(A61,"_",AV61),'Reference-Proof pt impact flag'!$I$3:$I$1048576,'Reference-Proof pt impact flag'!$G$3:$G$1048576))</f>
        <v/>
      </c>
      <c r="BA61" s="74"/>
      <c r="BB61" s="74"/>
      <c r="BC61" s="74"/>
      <c r="BD61" s="74"/>
      <c r="BE61" s="74"/>
      <c r="BF61" s="74" t="e">
        <f>_xlfn.XLOOKUP(CONCATENATE(H61,"_",AV61),'Test 2 - Proof points - GPT5'!$T:$T,'Test 2 - Proof points - GPT5'!$S:$S)</f>
        <v>#N/A</v>
      </c>
      <c r="BG61" s="74" t="e">
        <f>_xlfn.XLOOKUP(CONCATENATE(H61,"_",AV61),'Test 2 -Proof points - Sonnet'!$AB:$AB,'Test 2 -Proof points - Sonnet'!$AA:$AA)</f>
        <v>#N/A</v>
      </c>
      <c r="BH61" s="74"/>
      <c r="BI61" s="74"/>
      <c r="BJ61" s="74" t="s">
        <v>1533</v>
      </c>
      <c r="BK61" s="30"/>
      <c r="BL61" s="30"/>
      <c r="BM61" s="30"/>
      <c r="BN61" s="30"/>
      <c r="BO61" s="30"/>
      <c r="BP61" s="30"/>
      <c r="BQ61" s="30"/>
      <c r="BR61" s="30"/>
      <c r="BS61" s="30"/>
      <c r="BT61" s="30"/>
      <c r="BU61" s="30"/>
      <c r="BV61" s="113"/>
    </row>
    <row r="62" spans="1:74" ht="217.5" hidden="1" x14ac:dyDescent="0.35">
      <c r="A62" s="22">
        <v>2</v>
      </c>
      <c r="B62" s="22" t="s">
        <v>1451</v>
      </c>
      <c r="C62" s="22" t="s">
        <v>1452</v>
      </c>
      <c r="D62" s="22" t="s">
        <v>1224</v>
      </c>
      <c r="E62" s="22" t="s">
        <v>1453</v>
      </c>
      <c r="F62" s="22"/>
      <c r="G62" s="22" t="s">
        <v>1274</v>
      </c>
      <c r="H62" s="21" t="s">
        <v>1289</v>
      </c>
      <c r="I62" s="22"/>
      <c r="J62" s="21" t="s">
        <v>1316</v>
      </c>
      <c r="K62" s="30"/>
      <c r="L62" s="35" t="s">
        <v>1288</v>
      </c>
      <c r="M62" s="35" t="str">
        <f>VLOOKUP(H62,'1_Value &amp; risk levers'!$H$9:$O$1048576,2,FALSE)</f>
        <v>Rarely used</v>
      </c>
      <c r="N62" s="35" t="str">
        <f>VLOOKUP(H62,'1_Value &amp; risk levers'!$H$9:$O$1048576,3,FALSE)</f>
        <v>Occasionally applied in negotiations, not a structured / defined approach for category managers to follow</v>
      </c>
      <c r="O62" s="35" t="str">
        <f>VLOOKUP(H62,'1_Value &amp; risk levers'!$H$9:$O$1048576,4,FALSE)</f>
        <v>Regular practice for most vegetable oils, but requires manual calculations / manual updates</v>
      </c>
      <c r="P62" s="35" t="str">
        <f>VLOOKUP(H62,'1_Value &amp; risk levers'!$H$9:$O$1048576,5,FALSE)</f>
        <v>Advanced/ automated modeling integrated into procurement tools</v>
      </c>
      <c r="Q62" s="77">
        <f>IF(VLOOKUP(H62,'1_Value &amp; risk levers'!$H$9:$T$1048576,13,FALSE)=0,"",VLOOKUP(H62,'1_Value &amp; risk levers'!$H$9:$T$1048576,13,FALSE))</f>
        <v>1</v>
      </c>
      <c r="R62" s="128">
        <f t="shared" si="0"/>
        <v>2</v>
      </c>
      <c r="S62" s="128" t="e">
        <f t="shared" si="1"/>
        <v>#DIV/0!</v>
      </c>
      <c r="T62" s="77"/>
      <c r="U62" s="77"/>
      <c r="V62" s="55"/>
      <c r="W62" s="71">
        <v>0.04</v>
      </c>
      <c r="X62" s="71">
        <v>0.1</v>
      </c>
      <c r="Y62" s="71">
        <f>VLOOKUP(H62,'1_Value &amp; risk levers'!$H$9:$O$1048576,8,FALSE)</f>
        <v>0.8</v>
      </c>
      <c r="Z62" s="51">
        <f t="shared" si="2"/>
        <v>7.0000000000000007E-2</v>
      </c>
      <c r="AA62" s="51">
        <f t="shared" si="4"/>
        <v>8.5000000000000006E-2</v>
      </c>
      <c r="AB62" s="55">
        <f t="shared" si="5"/>
        <v>2800000.0000000005</v>
      </c>
      <c r="AC62" s="55">
        <f t="shared" si="6"/>
        <v>3400000.0000000005</v>
      </c>
      <c r="AD62" s="80">
        <f t="shared" si="7"/>
        <v>7</v>
      </c>
      <c r="AE62" s="84">
        <f t="shared" si="8"/>
        <v>0.48864540816326468</v>
      </c>
      <c r="AF62" s="71" t="str">
        <f t="shared" si="9"/>
        <v>Low</v>
      </c>
      <c r="AG62" s="84">
        <f t="shared" si="10"/>
        <v>5.9772908163265304E-2</v>
      </c>
      <c r="AH62" s="84">
        <f t="shared" si="11"/>
        <v>9.5227091836734709E-2</v>
      </c>
      <c r="AI62" s="73">
        <f t="shared" si="12"/>
        <v>2390916.3265306121</v>
      </c>
      <c r="AJ62" s="73">
        <f t="shared" si="13"/>
        <v>3809083.6734693884</v>
      </c>
      <c r="AK62" s="46">
        <f>VLOOKUP(H62,'1_Value &amp; risk levers'!$H$9:$O$1048576,6,FALSE)</f>
        <v>0.02</v>
      </c>
      <c r="AL62" s="46">
        <f>VLOOKUP(H62,'1_Value &amp; risk levers'!$H$9:$O$1048576,7,FALSE)</f>
        <v>0.05</v>
      </c>
      <c r="AM62" s="50">
        <f t="shared" si="14"/>
        <v>4.2500000000000003E-2</v>
      </c>
      <c r="AN62" s="72">
        <f t="shared" si="15"/>
        <v>0.19767441860465118</v>
      </c>
      <c r="AO62" s="84">
        <f t="shared" si="16"/>
        <v>1.1815574869482677E-2</v>
      </c>
      <c r="AP62" s="84">
        <f t="shared" si="17"/>
        <v>1.8823960014238257E-2</v>
      </c>
      <c r="AQ62" s="55">
        <f t="shared" si="18"/>
        <v>553488.37209302338</v>
      </c>
      <c r="AR62" s="55">
        <f t="shared" si="19"/>
        <v>672093.0232558141</v>
      </c>
      <c r="AS62" s="83">
        <f t="shared" si="3"/>
        <v>41</v>
      </c>
      <c r="AT62" s="50">
        <f t="shared" si="20"/>
        <v>7.18</v>
      </c>
      <c r="AU62" s="55" t="str">
        <f t="shared" si="21"/>
        <v>Medium</v>
      </c>
      <c r="AV62" s="34" t="s">
        <v>1501</v>
      </c>
      <c r="AW62" s="111"/>
      <c r="AX62" s="30" t="s">
        <v>1493</v>
      </c>
      <c r="AY62" s="30"/>
      <c r="AZ62" s="85" t="str">
        <f>IF(ISERROR(_xlfn.XLOOKUP(CONCATENATE(A62,"_",AV62),'Reference-Proof pt impact flag'!$I$3:$I$1048576,'Reference-Proof pt impact flag'!$G$3:$G$1048576)),"",_xlfn.XLOOKUP(CONCATENATE(A62,"_",AV62),'Reference-Proof pt impact flag'!$I$3:$I$1048576,'Reference-Proof pt impact flag'!$G$3:$G$1048576))</f>
        <v/>
      </c>
      <c r="BA62" s="74"/>
      <c r="BB62" s="74"/>
      <c r="BC62" s="74"/>
      <c r="BD62" s="74"/>
      <c r="BE62" s="74"/>
      <c r="BF62" s="74" t="e">
        <f>_xlfn.XLOOKUP(CONCATENATE(H62,"_",AV62),'Test 2 - Proof points - GPT5'!$T:$T,'Test 2 - Proof points - GPT5'!$S:$S)</f>
        <v>#N/A</v>
      </c>
      <c r="BG62" s="74" t="e">
        <f>_xlfn.XLOOKUP(CONCATENATE(H62,"_",AV62),'Test 2 -Proof points - Sonnet'!$AB:$AB,'Test 2 -Proof points - Sonnet'!$AA:$AA)</f>
        <v>#N/A</v>
      </c>
      <c r="BH62" s="74"/>
      <c r="BI62" s="74"/>
      <c r="BJ62" s="74" t="s">
        <v>1533</v>
      </c>
      <c r="BK62" s="30"/>
      <c r="BL62" s="30"/>
      <c r="BM62" s="30"/>
      <c r="BN62" s="30"/>
      <c r="BO62" s="30"/>
      <c r="BP62" s="30"/>
      <c r="BQ62" s="30"/>
      <c r="BR62" s="30"/>
      <c r="BS62" s="30"/>
      <c r="BT62" s="30"/>
      <c r="BU62" s="30"/>
      <c r="BV62" s="113"/>
    </row>
    <row r="63" spans="1:74" ht="217.5" hidden="1" x14ac:dyDescent="0.35">
      <c r="A63" s="22">
        <v>2</v>
      </c>
      <c r="B63" s="22" t="s">
        <v>1451</v>
      </c>
      <c r="C63" s="22" t="s">
        <v>1452</v>
      </c>
      <c r="D63" s="22" t="s">
        <v>1224</v>
      </c>
      <c r="E63" s="22" t="s">
        <v>1453</v>
      </c>
      <c r="F63" s="22"/>
      <c r="G63" s="22" t="s">
        <v>1274</v>
      </c>
      <c r="H63" s="21" t="s">
        <v>1289</v>
      </c>
      <c r="I63" s="22"/>
      <c r="J63" s="21" t="s">
        <v>1316</v>
      </c>
      <c r="K63" s="30"/>
      <c r="L63" s="35" t="s">
        <v>1288</v>
      </c>
      <c r="M63" s="35" t="str">
        <f>VLOOKUP(H63,'1_Value &amp; risk levers'!$H$9:$O$1048576,2,FALSE)</f>
        <v>Rarely used</v>
      </c>
      <c r="N63" s="35" t="str">
        <f>VLOOKUP(H63,'1_Value &amp; risk levers'!$H$9:$O$1048576,3,FALSE)</f>
        <v>Occasionally applied in negotiations, not a structured / defined approach for category managers to follow</v>
      </c>
      <c r="O63" s="35" t="str">
        <f>VLOOKUP(H63,'1_Value &amp; risk levers'!$H$9:$O$1048576,4,FALSE)</f>
        <v>Regular practice for most vegetable oils, but requires manual calculations / manual updates</v>
      </c>
      <c r="P63" s="35" t="str">
        <f>VLOOKUP(H63,'1_Value &amp; risk levers'!$H$9:$O$1048576,5,FALSE)</f>
        <v>Advanced/ automated modeling integrated into procurement tools</v>
      </c>
      <c r="Q63" s="77">
        <f>IF(VLOOKUP(H63,'1_Value &amp; risk levers'!$H$9:$T$1048576,13,FALSE)=0,"",VLOOKUP(H63,'1_Value &amp; risk levers'!$H$9:$T$1048576,13,FALSE))</f>
        <v>1</v>
      </c>
      <c r="R63" s="128">
        <f t="shared" si="0"/>
        <v>2</v>
      </c>
      <c r="S63" s="128" t="e">
        <f t="shared" si="1"/>
        <v>#DIV/0!</v>
      </c>
      <c r="T63" s="77"/>
      <c r="U63" s="77"/>
      <c r="V63" s="55"/>
      <c r="W63" s="71">
        <v>0.04</v>
      </c>
      <c r="X63" s="71">
        <v>0.1</v>
      </c>
      <c r="Y63" s="71">
        <f>VLOOKUP(H63,'1_Value &amp; risk levers'!$H$9:$O$1048576,8,FALSE)</f>
        <v>0.8</v>
      </c>
      <c r="Z63" s="51">
        <f t="shared" si="2"/>
        <v>7.0000000000000007E-2</v>
      </c>
      <c r="AA63" s="51">
        <f t="shared" si="4"/>
        <v>8.5000000000000006E-2</v>
      </c>
      <c r="AB63" s="55">
        <f t="shared" si="5"/>
        <v>2800000.0000000005</v>
      </c>
      <c r="AC63" s="55">
        <f t="shared" si="6"/>
        <v>3400000.0000000005</v>
      </c>
      <c r="AD63" s="80">
        <f t="shared" si="7"/>
        <v>7</v>
      </c>
      <c r="AE63" s="84">
        <f t="shared" si="8"/>
        <v>0.48864540816326468</v>
      </c>
      <c r="AF63" s="71" t="str">
        <f t="shared" si="9"/>
        <v>Low</v>
      </c>
      <c r="AG63" s="84">
        <f t="shared" si="10"/>
        <v>5.9772908163265304E-2</v>
      </c>
      <c r="AH63" s="84">
        <f t="shared" si="11"/>
        <v>9.5227091836734709E-2</v>
      </c>
      <c r="AI63" s="73">
        <f t="shared" si="12"/>
        <v>2390916.3265306121</v>
      </c>
      <c r="AJ63" s="73">
        <f t="shared" si="13"/>
        <v>3809083.6734693884</v>
      </c>
      <c r="AK63" s="46">
        <f>VLOOKUP(H63,'1_Value &amp; risk levers'!$H$9:$O$1048576,6,FALSE)</f>
        <v>0.02</v>
      </c>
      <c r="AL63" s="46">
        <f>VLOOKUP(H63,'1_Value &amp; risk levers'!$H$9:$O$1048576,7,FALSE)</f>
        <v>0.05</v>
      </c>
      <c r="AM63" s="50">
        <f t="shared" si="14"/>
        <v>4.2500000000000003E-2</v>
      </c>
      <c r="AN63" s="72">
        <f t="shared" si="15"/>
        <v>0.19767441860465118</v>
      </c>
      <c r="AO63" s="84">
        <f t="shared" si="16"/>
        <v>1.1815574869482677E-2</v>
      </c>
      <c r="AP63" s="84">
        <f t="shared" si="17"/>
        <v>1.8823960014238257E-2</v>
      </c>
      <c r="AQ63" s="55">
        <f t="shared" si="18"/>
        <v>553488.37209302338</v>
      </c>
      <c r="AR63" s="55">
        <f t="shared" si="19"/>
        <v>672093.0232558141</v>
      </c>
      <c r="AS63" s="83">
        <f t="shared" si="3"/>
        <v>41</v>
      </c>
      <c r="AT63" s="50">
        <f t="shared" si="20"/>
        <v>7.18</v>
      </c>
      <c r="AU63" s="55" t="str">
        <f t="shared" si="21"/>
        <v>Medium</v>
      </c>
      <c r="AV63" s="34" t="s">
        <v>1502</v>
      </c>
      <c r="AW63" s="111"/>
      <c r="AX63" s="30" t="s">
        <v>1493</v>
      </c>
      <c r="AY63" s="30"/>
      <c r="AZ63" s="85" t="str">
        <f>IF(ISERROR(_xlfn.XLOOKUP(CONCATENATE(A63,"_",AV63),'Reference-Proof pt impact flag'!$I$3:$I$1048576,'Reference-Proof pt impact flag'!$G$3:$G$1048576)),"",_xlfn.XLOOKUP(CONCATENATE(A63,"_",AV63),'Reference-Proof pt impact flag'!$I$3:$I$1048576,'Reference-Proof pt impact flag'!$G$3:$G$1048576))</f>
        <v/>
      </c>
      <c r="BA63" s="74"/>
      <c r="BB63" s="74"/>
      <c r="BC63" s="74"/>
      <c r="BD63" s="74"/>
      <c r="BE63" s="74"/>
      <c r="BF63" s="74" t="e">
        <f>_xlfn.XLOOKUP(CONCATENATE(H63,"_",AV63),'Test 2 - Proof points - GPT5'!$T:$T,'Test 2 - Proof points - GPT5'!$S:$S)</f>
        <v>#N/A</v>
      </c>
      <c r="BG63" s="74" t="e">
        <f>_xlfn.XLOOKUP(CONCATENATE(H63,"_",AV63),'Test 2 -Proof points - Sonnet'!$AB:$AB,'Test 2 -Proof points - Sonnet'!$AA:$AA)</f>
        <v>#N/A</v>
      </c>
      <c r="BH63" s="74"/>
      <c r="BI63" s="74"/>
      <c r="BJ63" s="74" t="s">
        <v>1533</v>
      </c>
      <c r="BK63" s="30"/>
      <c r="BL63" s="30"/>
      <c r="BM63" s="30"/>
      <c r="BN63" s="30"/>
      <c r="BO63" s="30"/>
      <c r="BP63" s="30"/>
      <c r="BQ63" s="30"/>
      <c r="BR63" s="30"/>
      <c r="BS63" s="30"/>
      <c r="BT63" s="30"/>
      <c r="BU63" s="30"/>
      <c r="BV63" s="113"/>
    </row>
    <row r="64" spans="1:74" ht="217.5" hidden="1" x14ac:dyDescent="0.35">
      <c r="A64" s="22">
        <v>2</v>
      </c>
      <c r="B64" s="22" t="s">
        <v>1451</v>
      </c>
      <c r="C64" s="22" t="s">
        <v>1452</v>
      </c>
      <c r="D64" s="22" t="s">
        <v>1224</v>
      </c>
      <c r="E64" s="22" t="s">
        <v>1453</v>
      </c>
      <c r="F64" s="22"/>
      <c r="G64" s="22" t="s">
        <v>1274</v>
      </c>
      <c r="H64" s="21" t="s">
        <v>1289</v>
      </c>
      <c r="I64" s="22"/>
      <c r="J64" s="21" t="s">
        <v>1316</v>
      </c>
      <c r="K64" s="30"/>
      <c r="L64" s="35" t="s">
        <v>1288</v>
      </c>
      <c r="M64" s="35" t="str">
        <f>VLOOKUP(H64,'1_Value &amp; risk levers'!$H$9:$O$1048576,2,FALSE)</f>
        <v>Rarely used</v>
      </c>
      <c r="N64" s="35" t="str">
        <f>VLOOKUP(H64,'1_Value &amp; risk levers'!$H$9:$O$1048576,3,FALSE)</f>
        <v>Occasionally applied in negotiations, not a structured / defined approach for category managers to follow</v>
      </c>
      <c r="O64" s="35" t="str">
        <f>VLOOKUP(H64,'1_Value &amp; risk levers'!$H$9:$O$1048576,4,FALSE)</f>
        <v>Regular practice for most vegetable oils, but requires manual calculations / manual updates</v>
      </c>
      <c r="P64" s="35" t="str">
        <f>VLOOKUP(H64,'1_Value &amp; risk levers'!$H$9:$O$1048576,5,FALSE)</f>
        <v>Advanced/ automated modeling integrated into procurement tools</v>
      </c>
      <c r="Q64" s="77">
        <f>IF(VLOOKUP(H64,'1_Value &amp; risk levers'!$H$9:$T$1048576,13,FALSE)=0,"",VLOOKUP(H64,'1_Value &amp; risk levers'!$H$9:$T$1048576,13,FALSE))</f>
        <v>1</v>
      </c>
      <c r="R64" s="128">
        <f t="shared" si="0"/>
        <v>2</v>
      </c>
      <c r="S64" s="128" t="e">
        <f t="shared" si="1"/>
        <v>#DIV/0!</v>
      </c>
      <c r="T64" s="77"/>
      <c r="U64" s="77"/>
      <c r="V64" s="55"/>
      <c r="W64" s="71">
        <v>0.04</v>
      </c>
      <c r="X64" s="71">
        <v>0.1</v>
      </c>
      <c r="Y64" s="71">
        <f>VLOOKUP(H64,'1_Value &amp; risk levers'!$H$9:$O$1048576,8,FALSE)</f>
        <v>0.8</v>
      </c>
      <c r="Z64" s="51">
        <f t="shared" si="2"/>
        <v>7.0000000000000007E-2</v>
      </c>
      <c r="AA64" s="51">
        <f t="shared" si="4"/>
        <v>8.5000000000000006E-2</v>
      </c>
      <c r="AB64" s="55">
        <f t="shared" si="5"/>
        <v>2800000.0000000005</v>
      </c>
      <c r="AC64" s="55">
        <f t="shared" si="6"/>
        <v>3400000.0000000005</v>
      </c>
      <c r="AD64" s="80">
        <f t="shared" si="7"/>
        <v>7</v>
      </c>
      <c r="AE64" s="84">
        <f t="shared" si="8"/>
        <v>0.48864540816326468</v>
      </c>
      <c r="AF64" s="71" t="str">
        <f t="shared" si="9"/>
        <v>Low</v>
      </c>
      <c r="AG64" s="84">
        <f t="shared" si="10"/>
        <v>5.9772908163265304E-2</v>
      </c>
      <c r="AH64" s="84">
        <f t="shared" si="11"/>
        <v>9.5227091836734709E-2</v>
      </c>
      <c r="AI64" s="73">
        <f t="shared" si="12"/>
        <v>2390916.3265306121</v>
      </c>
      <c r="AJ64" s="73">
        <f t="shared" si="13"/>
        <v>3809083.6734693884</v>
      </c>
      <c r="AK64" s="46">
        <f>VLOOKUP(H64,'1_Value &amp; risk levers'!$H$9:$O$1048576,6,FALSE)</f>
        <v>0.02</v>
      </c>
      <c r="AL64" s="46">
        <f>VLOOKUP(H64,'1_Value &amp; risk levers'!$H$9:$O$1048576,7,FALSE)</f>
        <v>0.05</v>
      </c>
      <c r="AM64" s="50">
        <f t="shared" si="14"/>
        <v>4.2500000000000003E-2</v>
      </c>
      <c r="AN64" s="72">
        <f t="shared" si="15"/>
        <v>0.19767441860465118</v>
      </c>
      <c r="AO64" s="84">
        <f t="shared" si="16"/>
        <v>1.1815574869482677E-2</v>
      </c>
      <c r="AP64" s="84">
        <f t="shared" si="17"/>
        <v>1.8823960014238257E-2</v>
      </c>
      <c r="AQ64" s="55">
        <f t="shared" si="18"/>
        <v>553488.37209302338</v>
      </c>
      <c r="AR64" s="55">
        <f t="shared" si="19"/>
        <v>672093.0232558141</v>
      </c>
      <c r="AS64" s="83">
        <f t="shared" si="3"/>
        <v>41</v>
      </c>
      <c r="AT64" s="50">
        <f t="shared" si="20"/>
        <v>7.18</v>
      </c>
      <c r="AU64" s="55" t="str">
        <f t="shared" si="21"/>
        <v>Medium</v>
      </c>
      <c r="AV64" s="34" t="s">
        <v>1503</v>
      </c>
      <c r="AW64" s="111"/>
      <c r="AX64" s="30" t="s">
        <v>1493</v>
      </c>
      <c r="AY64" s="30"/>
      <c r="AZ64" s="85" t="str">
        <f>IF(ISERROR(_xlfn.XLOOKUP(CONCATENATE(A64,"_",AV64),'Reference-Proof pt impact flag'!$I$3:$I$1048576,'Reference-Proof pt impact flag'!$G$3:$G$1048576)),"",_xlfn.XLOOKUP(CONCATENATE(A64,"_",AV64),'Reference-Proof pt impact flag'!$I$3:$I$1048576,'Reference-Proof pt impact flag'!$G$3:$G$1048576))</f>
        <v/>
      </c>
      <c r="BA64" s="74"/>
      <c r="BB64" s="74"/>
      <c r="BC64" s="74"/>
      <c r="BD64" s="74"/>
      <c r="BE64" s="74"/>
      <c r="BF64" s="74" t="e">
        <f>_xlfn.XLOOKUP(CONCATENATE(H64,"_",AV64),'Test 2 - Proof points - GPT5'!$T:$T,'Test 2 - Proof points - GPT5'!$S:$S)</f>
        <v>#N/A</v>
      </c>
      <c r="BG64" s="74" t="e">
        <f>_xlfn.XLOOKUP(CONCATENATE(H64,"_",AV64),'Test 2 -Proof points - Sonnet'!$AB:$AB,'Test 2 -Proof points - Sonnet'!$AA:$AA)</f>
        <v>#N/A</v>
      </c>
      <c r="BH64" s="74"/>
      <c r="BI64" s="74"/>
      <c r="BJ64" s="74" t="s">
        <v>1533</v>
      </c>
      <c r="BK64" s="30"/>
      <c r="BL64" s="30"/>
      <c r="BM64" s="30"/>
      <c r="BN64" s="30"/>
      <c r="BO64" s="30"/>
      <c r="BP64" s="30"/>
      <c r="BQ64" s="30"/>
      <c r="BR64" s="30"/>
      <c r="BS64" s="30"/>
      <c r="BT64" s="30"/>
      <c r="BU64" s="30"/>
      <c r="BV64" s="113"/>
    </row>
    <row r="65" spans="1:74" ht="217.5" hidden="1" x14ac:dyDescent="0.35">
      <c r="A65" s="22">
        <v>2</v>
      </c>
      <c r="B65" s="22" t="s">
        <v>1451</v>
      </c>
      <c r="C65" s="22" t="s">
        <v>1452</v>
      </c>
      <c r="D65" s="22" t="s">
        <v>1224</v>
      </c>
      <c r="E65" s="22" t="s">
        <v>1453</v>
      </c>
      <c r="F65" s="22"/>
      <c r="G65" s="22" t="s">
        <v>1274</v>
      </c>
      <c r="H65" s="21" t="s">
        <v>1289</v>
      </c>
      <c r="I65" s="22"/>
      <c r="J65" s="21" t="s">
        <v>1316</v>
      </c>
      <c r="K65" s="30"/>
      <c r="L65" s="35" t="s">
        <v>1288</v>
      </c>
      <c r="M65" s="35" t="str">
        <f>VLOOKUP(H65,'1_Value &amp; risk levers'!$H$9:$O$1048576,2,FALSE)</f>
        <v>Rarely used</v>
      </c>
      <c r="N65" s="35" t="str">
        <f>VLOOKUP(H65,'1_Value &amp; risk levers'!$H$9:$O$1048576,3,FALSE)</f>
        <v>Occasionally applied in negotiations, not a structured / defined approach for category managers to follow</v>
      </c>
      <c r="O65" s="35" t="str">
        <f>VLOOKUP(H65,'1_Value &amp; risk levers'!$H$9:$O$1048576,4,FALSE)</f>
        <v>Regular practice for most vegetable oils, but requires manual calculations / manual updates</v>
      </c>
      <c r="P65" s="35" t="str">
        <f>VLOOKUP(H65,'1_Value &amp; risk levers'!$H$9:$O$1048576,5,FALSE)</f>
        <v>Advanced/ automated modeling integrated into procurement tools</v>
      </c>
      <c r="Q65" s="77">
        <f>IF(VLOOKUP(H65,'1_Value &amp; risk levers'!$H$9:$T$1048576,13,FALSE)=0,"",VLOOKUP(H65,'1_Value &amp; risk levers'!$H$9:$T$1048576,13,FALSE))</f>
        <v>1</v>
      </c>
      <c r="R65" s="128">
        <f t="shared" si="0"/>
        <v>2</v>
      </c>
      <c r="S65" s="128" t="e">
        <f t="shared" si="1"/>
        <v>#DIV/0!</v>
      </c>
      <c r="T65" s="77"/>
      <c r="U65" s="77"/>
      <c r="V65" s="55"/>
      <c r="W65" s="71">
        <v>0.04</v>
      </c>
      <c r="X65" s="71">
        <v>0.1</v>
      </c>
      <c r="Y65" s="71">
        <f>VLOOKUP(H65,'1_Value &amp; risk levers'!$H$9:$O$1048576,8,FALSE)</f>
        <v>0.8</v>
      </c>
      <c r="Z65" s="51">
        <f t="shared" si="2"/>
        <v>7.0000000000000007E-2</v>
      </c>
      <c r="AA65" s="51">
        <f t="shared" si="4"/>
        <v>8.5000000000000006E-2</v>
      </c>
      <c r="AB65" s="55">
        <f t="shared" si="5"/>
        <v>2800000.0000000005</v>
      </c>
      <c r="AC65" s="55">
        <f t="shared" si="6"/>
        <v>3400000.0000000005</v>
      </c>
      <c r="AD65" s="80">
        <f t="shared" si="7"/>
        <v>7</v>
      </c>
      <c r="AE65" s="84">
        <f t="shared" si="8"/>
        <v>0.48864540816326468</v>
      </c>
      <c r="AF65" s="71" t="str">
        <f t="shared" si="9"/>
        <v>Low</v>
      </c>
      <c r="AG65" s="84">
        <f t="shared" si="10"/>
        <v>5.9772908163265304E-2</v>
      </c>
      <c r="AH65" s="84">
        <f t="shared" si="11"/>
        <v>9.5227091836734709E-2</v>
      </c>
      <c r="AI65" s="73">
        <f t="shared" si="12"/>
        <v>2390916.3265306121</v>
      </c>
      <c r="AJ65" s="73">
        <f t="shared" si="13"/>
        <v>3809083.6734693884</v>
      </c>
      <c r="AK65" s="46">
        <f>VLOOKUP(H65,'1_Value &amp; risk levers'!$H$9:$O$1048576,6,FALSE)</f>
        <v>0.02</v>
      </c>
      <c r="AL65" s="46">
        <f>VLOOKUP(H65,'1_Value &amp; risk levers'!$H$9:$O$1048576,7,FALSE)</f>
        <v>0.05</v>
      </c>
      <c r="AM65" s="50">
        <f t="shared" si="14"/>
        <v>4.2500000000000003E-2</v>
      </c>
      <c r="AN65" s="72">
        <f t="shared" si="15"/>
        <v>0.19767441860465118</v>
      </c>
      <c r="AO65" s="84">
        <f t="shared" si="16"/>
        <v>1.1815574869482677E-2</v>
      </c>
      <c r="AP65" s="84">
        <f t="shared" si="17"/>
        <v>1.8823960014238257E-2</v>
      </c>
      <c r="AQ65" s="55">
        <f t="shared" si="18"/>
        <v>553488.37209302338</v>
      </c>
      <c r="AR65" s="55">
        <f t="shared" si="19"/>
        <v>672093.0232558141</v>
      </c>
      <c r="AS65" s="83">
        <f t="shared" si="3"/>
        <v>41</v>
      </c>
      <c r="AT65" s="50">
        <f t="shared" si="20"/>
        <v>7.18</v>
      </c>
      <c r="AU65" s="55" t="str">
        <f t="shared" si="21"/>
        <v>Medium</v>
      </c>
      <c r="AV65" s="34" t="s">
        <v>1504</v>
      </c>
      <c r="AW65" s="111"/>
      <c r="AX65" s="30" t="s">
        <v>1493</v>
      </c>
      <c r="AY65" s="30"/>
      <c r="AZ65" s="85" t="str">
        <f>IF(ISERROR(_xlfn.XLOOKUP(CONCATENATE(A65,"_",AV65),'Reference-Proof pt impact flag'!$I$3:$I$1048576,'Reference-Proof pt impact flag'!$G$3:$G$1048576)),"",_xlfn.XLOOKUP(CONCATENATE(A65,"_",AV65),'Reference-Proof pt impact flag'!$I$3:$I$1048576,'Reference-Proof pt impact flag'!$G$3:$G$1048576))</f>
        <v/>
      </c>
      <c r="BA65" s="74"/>
      <c r="BB65" s="74"/>
      <c r="BC65" s="74"/>
      <c r="BD65" s="74"/>
      <c r="BE65" s="74"/>
      <c r="BF65" s="74" t="e">
        <f>_xlfn.XLOOKUP(CONCATENATE(H65,"_",AV65),'Test 2 - Proof points - GPT5'!$T:$T,'Test 2 - Proof points - GPT5'!$S:$S)</f>
        <v>#N/A</v>
      </c>
      <c r="BG65" s="74" t="e">
        <f>_xlfn.XLOOKUP(CONCATENATE(H65,"_",AV65),'Test 2 -Proof points - Sonnet'!$AB:$AB,'Test 2 -Proof points - Sonnet'!$AA:$AA)</f>
        <v>#N/A</v>
      </c>
      <c r="BH65" s="74"/>
      <c r="BI65" s="74"/>
      <c r="BJ65" s="74" t="s">
        <v>1533</v>
      </c>
      <c r="BK65" s="30"/>
      <c r="BL65" s="30"/>
      <c r="BM65" s="30"/>
      <c r="BN65" s="30"/>
      <c r="BO65" s="30"/>
      <c r="BP65" s="30"/>
      <c r="BQ65" s="30"/>
      <c r="BR65" s="30"/>
      <c r="BS65" s="30"/>
      <c r="BT65" s="30"/>
      <c r="BU65" s="30"/>
      <c r="BV65" s="113"/>
    </row>
    <row r="66" spans="1:74" ht="217.5" hidden="1" x14ac:dyDescent="0.35">
      <c r="A66" s="22">
        <v>2</v>
      </c>
      <c r="B66" s="22" t="s">
        <v>1451</v>
      </c>
      <c r="C66" s="22" t="s">
        <v>1452</v>
      </c>
      <c r="D66" s="22" t="s">
        <v>1224</v>
      </c>
      <c r="E66" s="22" t="s">
        <v>1453</v>
      </c>
      <c r="F66" s="22"/>
      <c r="G66" s="22" t="s">
        <v>1274</v>
      </c>
      <c r="H66" s="21" t="s">
        <v>1289</v>
      </c>
      <c r="I66" s="22"/>
      <c r="J66" s="21" t="s">
        <v>1316</v>
      </c>
      <c r="K66" s="30"/>
      <c r="L66" s="35" t="s">
        <v>1288</v>
      </c>
      <c r="M66" s="35" t="str">
        <f>VLOOKUP(H66,'1_Value &amp; risk levers'!$H$9:$O$1048576,2,FALSE)</f>
        <v>Rarely used</v>
      </c>
      <c r="N66" s="35" t="str">
        <f>VLOOKUP(H66,'1_Value &amp; risk levers'!$H$9:$O$1048576,3,FALSE)</f>
        <v>Occasionally applied in negotiations, not a structured / defined approach for category managers to follow</v>
      </c>
      <c r="O66" s="35" t="str">
        <f>VLOOKUP(H66,'1_Value &amp; risk levers'!$H$9:$O$1048576,4,FALSE)</f>
        <v>Regular practice for most vegetable oils, but requires manual calculations / manual updates</v>
      </c>
      <c r="P66" s="35" t="str">
        <f>VLOOKUP(H66,'1_Value &amp; risk levers'!$H$9:$O$1048576,5,FALSE)</f>
        <v>Advanced/ automated modeling integrated into procurement tools</v>
      </c>
      <c r="Q66" s="77">
        <f>IF(VLOOKUP(H66,'1_Value &amp; risk levers'!$H$9:$T$1048576,13,FALSE)=0,"",VLOOKUP(H66,'1_Value &amp; risk levers'!$H$9:$T$1048576,13,FALSE))</f>
        <v>1</v>
      </c>
      <c r="R66" s="128">
        <f t="shared" si="0"/>
        <v>2</v>
      </c>
      <c r="S66" s="128" t="e">
        <f t="shared" si="1"/>
        <v>#DIV/0!</v>
      </c>
      <c r="T66" s="77"/>
      <c r="U66" s="77"/>
      <c r="V66" s="55"/>
      <c r="W66" s="71">
        <v>0.04</v>
      </c>
      <c r="X66" s="71">
        <v>0.1</v>
      </c>
      <c r="Y66" s="71">
        <f>VLOOKUP(H66,'1_Value &amp; risk levers'!$H$9:$O$1048576,8,FALSE)</f>
        <v>0.8</v>
      </c>
      <c r="Z66" s="51">
        <f t="shared" si="2"/>
        <v>7.0000000000000007E-2</v>
      </c>
      <c r="AA66" s="51">
        <f t="shared" si="4"/>
        <v>8.5000000000000006E-2</v>
      </c>
      <c r="AB66" s="55">
        <f t="shared" si="5"/>
        <v>2800000.0000000005</v>
      </c>
      <c r="AC66" s="55">
        <f t="shared" si="6"/>
        <v>3400000.0000000005</v>
      </c>
      <c r="AD66" s="80">
        <f t="shared" si="7"/>
        <v>7</v>
      </c>
      <c r="AE66" s="84">
        <f t="shared" si="8"/>
        <v>0.48864540816326468</v>
      </c>
      <c r="AF66" s="71" t="str">
        <f t="shared" si="9"/>
        <v>Low</v>
      </c>
      <c r="AG66" s="84">
        <f t="shared" si="10"/>
        <v>5.9772908163265304E-2</v>
      </c>
      <c r="AH66" s="84">
        <f t="shared" si="11"/>
        <v>9.5227091836734709E-2</v>
      </c>
      <c r="AI66" s="73">
        <f t="shared" si="12"/>
        <v>2390916.3265306121</v>
      </c>
      <c r="AJ66" s="73">
        <f t="shared" si="13"/>
        <v>3809083.6734693884</v>
      </c>
      <c r="AK66" s="46">
        <f>VLOOKUP(H66,'1_Value &amp; risk levers'!$H$9:$O$1048576,6,FALSE)</f>
        <v>0.02</v>
      </c>
      <c r="AL66" s="46">
        <f>VLOOKUP(H66,'1_Value &amp; risk levers'!$H$9:$O$1048576,7,FALSE)</f>
        <v>0.05</v>
      </c>
      <c r="AM66" s="50">
        <f t="shared" si="14"/>
        <v>4.2500000000000003E-2</v>
      </c>
      <c r="AN66" s="72">
        <f t="shared" si="15"/>
        <v>0.19767441860465118</v>
      </c>
      <c r="AO66" s="84">
        <f t="shared" si="16"/>
        <v>1.1815574869482677E-2</v>
      </c>
      <c r="AP66" s="84">
        <f t="shared" si="17"/>
        <v>1.8823960014238257E-2</v>
      </c>
      <c r="AQ66" s="55">
        <f t="shared" si="18"/>
        <v>553488.37209302338</v>
      </c>
      <c r="AR66" s="55">
        <f t="shared" si="19"/>
        <v>672093.0232558141</v>
      </c>
      <c r="AS66" s="83">
        <f t="shared" si="3"/>
        <v>41</v>
      </c>
      <c r="AT66" s="50">
        <f t="shared" si="20"/>
        <v>7.18</v>
      </c>
      <c r="AU66" s="55" t="str">
        <f t="shared" si="21"/>
        <v>Medium</v>
      </c>
      <c r="AV66" s="34" t="s">
        <v>1505</v>
      </c>
      <c r="AW66" s="111"/>
      <c r="AX66" s="30" t="s">
        <v>1493</v>
      </c>
      <c r="AY66" s="30"/>
      <c r="AZ66" s="85" t="str">
        <f>IF(ISERROR(_xlfn.XLOOKUP(CONCATENATE(A66,"_",AV66),'Reference-Proof pt impact flag'!$I$3:$I$1048576,'Reference-Proof pt impact flag'!$G$3:$G$1048576)),"",_xlfn.XLOOKUP(CONCATENATE(A66,"_",AV66),'Reference-Proof pt impact flag'!$I$3:$I$1048576,'Reference-Proof pt impact flag'!$G$3:$G$1048576))</f>
        <v/>
      </c>
      <c r="BA66" s="74"/>
      <c r="BB66" s="74"/>
      <c r="BC66" s="74"/>
      <c r="BD66" s="74"/>
      <c r="BE66" s="74"/>
      <c r="BF66" s="74" t="e">
        <f>_xlfn.XLOOKUP(CONCATENATE(H66,"_",AV66),'Test 2 - Proof points - GPT5'!$T:$T,'Test 2 - Proof points - GPT5'!$S:$S)</f>
        <v>#N/A</v>
      </c>
      <c r="BG66" s="74" t="e">
        <f>_xlfn.XLOOKUP(CONCATENATE(H66,"_",AV66),'Test 2 -Proof points - Sonnet'!$AB:$AB,'Test 2 -Proof points - Sonnet'!$AA:$AA)</f>
        <v>#N/A</v>
      </c>
      <c r="BH66" s="74"/>
      <c r="BI66" s="74"/>
      <c r="BJ66" s="74" t="s">
        <v>1533</v>
      </c>
      <c r="BK66" s="30"/>
      <c r="BL66" s="30"/>
      <c r="BM66" s="30"/>
      <c r="BN66" s="30"/>
      <c r="BO66" s="30"/>
      <c r="BP66" s="30"/>
      <c r="BQ66" s="30"/>
      <c r="BR66" s="30"/>
      <c r="BS66" s="30"/>
      <c r="BT66" s="30"/>
      <c r="BU66" s="30"/>
      <c r="BV66" s="113"/>
    </row>
    <row r="67" spans="1:74" ht="232" hidden="1" x14ac:dyDescent="0.35">
      <c r="A67" s="22">
        <v>2</v>
      </c>
      <c r="B67" s="22" t="s">
        <v>1451</v>
      </c>
      <c r="C67" s="22" t="s">
        <v>1452</v>
      </c>
      <c r="D67" s="22" t="s">
        <v>1224</v>
      </c>
      <c r="E67" s="22" t="s">
        <v>1453</v>
      </c>
      <c r="F67" s="22"/>
      <c r="G67" s="22" t="s">
        <v>1274</v>
      </c>
      <c r="H67" s="21" t="s">
        <v>1289</v>
      </c>
      <c r="I67" s="22"/>
      <c r="J67" s="21" t="s">
        <v>1316</v>
      </c>
      <c r="K67" s="30"/>
      <c r="L67" s="35" t="s">
        <v>1288</v>
      </c>
      <c r="M67" s="35" t="str">
        <f>VLOOKUP(H67,'1_Value &amp; risk levers'!$H$9:$O$1048576,2,FALSE)</f>
        <v>Rarely used</v>
      </c>
      <c r="N67" s="35" t="str">
        <f>VLOOKUP(H67,'1_Value &amp; risk levers'!$H$9:$O$1048576,3,FALSE)</f>
        <v>Occasionally applied in negotiations, not a structured / defined approach for category managers to follow</v>
      </c>
      <c r="O67" s="35" t="str">
        <f>VLOOKUP(H67,'1_Value &amp; risk levers'!$H$9:$O$1048576,4,FALSE)</f>
        <v>Regular practice for most vegetable oils, but requires manual calculations / manual updates</v>
      </c>
      <c r="P67" s="35" t="str">
        <f>VLOOKUP(H67,'1_Value &amp; risk levers'!$H$9:$O$1048576,5,FALSE)</f>
        <v>Advanced/ automated modeling integrated into procurement tools</v>
      </c>
      <c r="Q67" s="77">
        <f>IF(VLOOKUP(H67,'1_Value &amp; risk levers'!$H$9:$T$1048576,13,FALSE)=0,"",VLOOKUP(H67,'1_Value &amp; risk levers'!$H$9:$T$1048576,13,FALSE))</f>
        <v>1</v>
      </c>
      <c r="R67" s="128">
        <f t="shared" ref="R67:R130" si="22">AVERAGEIFS($Q$3:$Q$1048576,$G$3:$G$1048576,"Value")</f>
        <v>2</v>
      </c>
      <c r="S67" s="128" t="e">
        <f t="shared" ref="S67:S130" si="23">AVERAGEIFS($Q$3:$Q$1048576,$G$3:$G$1048576,"Risk")</f>
        <v>#DIV/0!</v>
      </c>
      <c r="T67" s="77"/>
      <c r="U67" s="77"/>
      <c r="V67" s="55"/>
      <c r="W67" s="71">
        <v>0.04</v>
      </c>
      <c r="X67" s="71">
        <v>0.1</v>
      </c>
      <c r="Y67" s="71">
        <f>VLOOKUP(H67,'1_Value &amp; risk levers'!$H$9:$O$1048576,8,FALSE)</f>
        <v>0.8</v>
      </c>
      <c r="Z67" s="51">
        <f t="shared" ref="Z67:Z130" si="24">(4-AVERAGEIFS($Q$3:$Q$1048576,$AV$3:$AV$1048576,"Inflation"))*(X67-W67)/4+W67</f>
        <v>7.0000000000000007E-2</v>
      </c>
      <c r="AA67" s="51">
        <f t="shared" si="4"/>
        <v>8.5000000000000006E-2</v>
      </c>
      <c r="AB67" s="55">
        <f t="shared" si="5"/>
        <v>2800000.0000000005</v>
      </c>
      <c r="AC67" s="55">
        <f t="shared" si="6"/>
        <v>3400000.0000000005</v>
      </c>
      <c r="AD67" s="80">
        <f t="shared" si="7"/>
        <v>7</v>
      </c>
      <c r="AE67" s="84">
        <f t="shared" si="8"/>
        <v>0.48864540816326468</v>
      </c>
      <c r="AF67" s="71" t="str">
        <f t="shared" si="9"/>
        <v>Low</v>
      </c>
      <c r="AG67" s="84">
        <f t="shared" si="10"/>
        <v>5.9772908163265304E-2</v>
      </c>
      <c r="AH67" s="84">
        <f t="shared" si="11"/>
        <v>9.5227091836734709E-2</v>
      </c>
      <c r="AI67" s="73">
        <f t="shared" si="12"/>
        <v>2390916.3265306121</v>
      </c>
      <c r="AJ67" s="73">
        <f t="shared" si="13"/>
        <v>3809083.6734693884</v>
      </c>
      <c r="AK67" s="46">
        <f>VLOOKUP(H67,'1_Value &amp; risk levers'!$H$9:$O$1048576,6,FALSE)</f>
        <v>0.02</v>
      </c>
      <c r="AL67" s="46">
        <f>VLOOKUP(H67,'1_Value &amp; risk levers'!$H$9:$O$1048576,7,FALSE)</f>
        <v>0.05</v>
      </c>
      <c r="AM67" s="50">
        <f t="shared" si="14"/>
        <v>4.2500000000000003E-2</v>
      </c>
      <c r="AN67" s="72">
        <f t="shared" si="15"/>
        <v>0.19767441860465118</v>
      </c>
      <c r="AO67" s="84">
        <f t="shared" si="16"/>
        <v>1.1815574869482677E-2</v>
      </c>
      <c r="AP67" s="84">
        <f t="shared" si="17"/>
        <v>1.8823960014238257E-2</v>
      </c>
      <c r="AQ67" s="55">
        <f t="shared" si="18"/>
        <v>553488.37209302338</v>
      </c>
      <c r="AR67" s="55">
        <f t="shared" si="19"/>
        <v>672093.0232558141</v>
      </c>
      <c r="AS67" s="83">
        <f t="shared" ref="AS67:AS130" si="25">COUNTIFS($A$3:$A$1048576,A67,$BG$3:$BG$1048576,"&lt;&gt;")</f>
        <v>41</v>
      </c>
      <c r="AT67" s="50">
        <f t="shared" si="20"/>
        <v>7.18</v>
      </c>
      <c r="AU67" s="55" t="str">
        <f t="shared" si="21"/>
        <v>Medium</v>
      </c>
      <c r="AV67" s="34" t="s">
        <v>1506</v>
      </c>
      <c r="AW67" s="111"/>
      <c r="AX67" s="30" t="s">
        <v>1493</v>
      </c>
      <c r="AY67" s="27" t="s">
        <v>1540</v>
      </c>
      <c r="AZ67" s="85" t="str">
        <f>IF(ISERROR(_xlfn.XLOOKUP(CONCATENATE(A67,"_",AV67),'Reference-Proof pt impact flag'!$I$3:$I$1048576,'Reference-Proof pt impact flag'!$G$3:$G$1048576)),"",_xlfn.XLOOKUP(CONCATENATE(A67,"_",AV67),'Reference-Proof pt impact flag'!$I$3:$I$1048576,'Reference-Proof pt impact flag'!$G$3:$G$1048576))</f>
        <v>High</v>
      </c>
      <c r="BA67" s="27" t="s">
        <v>1458</v>
      </c>
      <c r="BB67" s="30" t="s">
        <v>1446</v>
      </c>
      <c r="BC67" s="27" t="s">
        <v>1541</v>
      </c>
      <c r="BD67" s="85" t="s">
        <v>1521</v>
      </c>
      <c r="BE67" s="74" t="s">
        <v>1542</v>
      </c>
      <c r="BF67" s="74" t="str">
        <f>_xlfn.XLOOKUP(CONCATENATE(H67,"_",AV67),'Test 2 - Proof points - GPT5'!$T:$T,'Test 2 - Proof points - GPT5'!$S:$S)</f>
        <v>Tariff sensitivity: Landed cost for imported veg oils can swing materially with duty/cess changes. Actions: monitor HS 1512/1515 lines for target lanes (Malaysia/India); design pass-through clauses and buffer stock. Where duty arbitrage exists, explore tolling or third-country transshipment in compliance with rules of origin.</v>
      </c>
      <c r="BG67" s="74" t="str">
        <f>_xlfn.XLOOKUP(CONCATENATE(H67,"_",AV67),'Test 2 -Proof points - Sonnet'!$AB:$AB,'Test 2 -Proof points - Sonnet'!$AA:$AA)</f>
        <v>â€¢ **Factor import duties into cost models**: India-to-Malaysia vegetable oil trade faces varying tariff structures - incorporate 10-15% import duties for refined oils vs. lower rates for crude oils into should-cost calculations to optimize sourcing strategies.
â€¢ **Leverage trade agreement benefits**: ASEAN trade preferences for vegetable oils between India-Malaysia corridor offer duty optimization opportunities that should be integrated into target pricing models for competitive advantage.
â€¢ **Future trade policy integration**: Evolving regional trade agreements and sustainability-linked tariff structures will require dynamic cost modeling capabilities to capture duty optimization opportunities, making sophisticated should-cost models with integrated trade intelligence essential for competitive procurement operations.</v>
      </c>
      <c r="BH67" s="74" t="s">
        <v>1537</v>
      </c>
      <c r="BI67" s="74" t="s">
        <v>1543</v>
      </c>
      <c r="BJ67" s="74" t="s">
        <v>1533</v>
      </c>
      <c r="BK67" s="30" t="s">
        <v>132</v>
      </c>
      <c r="BL67" s="30"/>
      <c r="BM67" s="30"/>
      <c r="BN67" s="30" t="s">
        <v>132</v>
      </c>
      <c r="BO67" s="30"/>
      <c r="BP67" s="30"/>
      <c r="BQ67" s="30"/>
      <c r="BR67" s="30"/>
      <c r="BS67" s="30"/>
      <c r="BT67" s="30"/>
      <c r="BU67" s="30"/>
      <c r="BV67" s="113" t="s">
        <v>132</v>
      </c>
    </row>
    <row r="68" spans="1:74" ht="217.5" hidden="1" x14ac:dyDescent="0.35">
      <c r="A68" s="22">
        <v>2</v>
      </c>
      <c r="B68" s="22" t="s">
        <v>1451</v>
      </c>
      <c r="C68" s="22" t="s">
        <v>1452</v>
      </c>
      <c r="D68" s="22" t="s">
        <v>1224</v>
      </c>
      <c r="E68" s="22" t="s">
        <v>1453</v>
      </c>
      <c r="F68" s="22"/>
      <c r="G68" s="22" t="s">
        <v>1274</v>
      </c>
      <c r="H68" s="21" t="s">
        <v>1289</v>
      </c>
      <c r="I68" s="22"/>
      <c r="J68" s="21" t="s">
        <v>1316</v>
      </c>
      <c r="K68" s="30"/>
      <c r="L68" s="35" t="s">
        <v>1288</v>
      </c>
      <c r="M68" s="35" t="str">
        <f>VLOOKUP(H68,'1_Value &amp; risk levers'!$H$9:$O$1048576,2,FALSE)</f>
        <v>Rarely used</v>
      </c>
      <c r="N68" s="35" t="str">
        <f>VLOOKUP(H68,'1_Value &amp; risk levers'!$H$9:$O$1048576,3,FALSE)</f>
        <v>Occasionally applied in negotiations, not a structured / defined approach for category managers to follow</v>
      </c>
      <c r="O68" s="35" t="str">
        <f>VLOOKUP(H68,'1_Value &amp; risk levers'!$H$9:$O$1048576,4,FALSE)</f>
        <v>Regular practice for most vegetable oils, but requires manual calculations / manual updates</v>
      </c>
      <c r="P68" s="35" t="str">
        <f>VLOOKUP(H68,'1_Value &amp; risk levers'!$H$9:$O$1048576,5,FALSE)</f>
        <v>Advanced/ automated modeling integrated into procurement tools</v>
      </c>
      <c r="Q68" s="77">
        <f>IF(VLOOKUP(H68,'1_Value &amp; risk levers'!$H$9:$T$1048576,13,FALSE)=0,"",VLOOKUP(H68,'1_Value &amp; risk levers'!$H$9:$T$1048576,13,FALSE))</f>
        <v>1</v>
      </c>
      <c r="R68" s="128">
        <f t="shared" si="22"/>
        <v>2</v>
      </c>
      <c r="S68" s="128" t="e">
        <f t="shared" si="23"/>
        <v>#DIV/0!</v>
      </c>
      <c r="T68" s="77"/>
      <c r="U68" s="77"/>
      <c r="V68" s="55"/>
      <c r="W68" s="71">
        <v>0.04</v>
      </c>
      <c r="X68" s="71">
        <v>0.1</v>
      </c>
      <c r="Y68" s="71">
        <f>VLOOKUP(H68,'1_Value &amp; risk levers'!$H$9:$O$1048576,8,FALSE)</f>
        <v>0.8</v>
      </c>
      <c r="Z68" s="51">
        <f t="shared" si="24"/>
        <v>7.0000000000000007E-2</v>
      </c>
      <c r="AA68" s="51">
        <f t="shared" ref="AA68:AA131" si="26">Z68+(X68-W68)/4</f>
        <v>8.5000000000000006E-2</v>
      </c>
      <c r="AB68" s="55">
        <f t="shared" ref="AB68:AB131" si="27">Y68*Z68*50000000</f>
        <v>2800000.0000000005</v>
      </c>
      <c r="AC68" s="55">
        <f t="shared" ref="AC68:AC131" si="28">Y68*AA68*50000000</f>
        <v>3400000.0000000005</v>
      </c>
      <c r="AD68" s="80">
        <f t="shared" ref="AD68:AD131" si="29">(COUNTA($Q$3:$Q$1048576)-COUNTIFS($Q$3:$Q$1048576,"",$A$3:$A$1048576,"&lt;&gt;"))/41</f>
        <v>7</v>
      </c>
      <c r="AE68" s="84">
        <f t="shared" ref="AE68:AE131" si="30">AVERAGE($AT$3:$AT$1048576)/10</f>
        <v>0.48864540816326468</v>
      </c>
      <c r="AF68" s="71" t="str">
        <f t="shared" ref="AF68:AF131" si="31">IF(AE68&lt;0.5,"Low",IF(AE68&lt;0.75,"Medium","High"))</f>
        <v>Low</v>
      </c>
      <c r="AG68" s="84">
        <f t="shared" ref="AG68:AG131" si="32">Z68-(1-AE68)*2/100</f>
        <v>5.9772908163265304E-2</v>
      </c>
      <c r="AH68" s="84">
        <f t="shared" ref="AH68:AH131" si="33">AA68+(1-AE68)*2/100</f>
        <v>9.5227091836734709E-2</v>
      </c>
      <c r="AI68" s="73">
        <f t="shared" ref="AI68:AI131" si="34">Y68*AG68*50000000</f>
        <v>2390916.3265306121</v>
      </c>
      <c r="AJ68" s="73">
        <f t="shared" ref="AJ68:AJ131" si="35">Y68*AH68*50000000</f>
        <v>3809083.6734693884</v>
      </c>
      <c r="AK68" s="46">
        <f>VLOOKUP(H68,'1_Value &amp; risk levers'!$H$9:$O$1048576,6,FALSE)</f>
        <v>0.02</v>
      </c>
      <c r="AL68" s="46">
        <f>VLOOKUP(H68,'1_Value &amp; risk levers'!$H$9:$O$1048576,7,FALSE)</f>
        <v>0.05</v>
      </c>
      <c r="AM68" s="50">
        <f t="shared" ref="AM68:AM131" si="36">IF(ISERROR((AK68+((AL68-AK68)*(4-Q68))/4)),"",(AK68+((AL68-AK68)*(4-Q68))/4))</f>
        <v>4.2500000000000003E-2</v>
      </c>
      <c r="AN68" s="72">
        <f t="shared" ref="AN68:AN131" si="37">IF(AM68="","",AM68/SUMIFS($AM$3:$AM$1048576,$AV$3:$AV$1048576,"Regional Spend Addressability"))</f>
        <v>0.19767441860465118</v>
      </c>
      <c r="AO68" s="84">
        <f t="shared" ref="AO68:AO131" si="38">IF(AN68="","",AN68*AG68)</f>
        <v>1.1815574869482677E-2</v>
      </c>
      <c r="AP68" s="84">
        <f t="shared" ref="AP68:AP131" si="39">IF(AN68="","",AN68*AH68)</f>
        <v>1.8823960014238257E-2</v>
      </c>
      <c r="AQ68" s="55">
        <f t="shared" ref="AQ68:AQ131" si="40">IF(AN68="","",AN68*AB68)</f>
        <v>553488.37209302338</v>
      </c>
      <c r="AR68" s="55">
        <f t="shared" ref="AR68:AR131" si="41">IF(AN68="","",AN68*AC68)</f>
        <v>672093.0232558141</v>
      </c>
      <c r="AS68" s="83">
        <f t="shared" si="25"/>
        <v>41</v>
      </c>
      <c r="AT68" s="50">
        <f t="shared" ref="AT68:AT131" si="42">10*(COUNTIFS($A$3:$A$1048576,A68,$AZ$3:$AZ$1048576,"Medium",$BG$3:$BG$1048576,"&lt;&gt;")*0.625+COUNTIFS($A$3:$A$1048576,A68,$AZ$3:$AZ$1048576,"Low",$BG$3:$BG$1048576,"&lt;&gt;")*0.25+COUNTIFS($A$3:$A$1048576,A68,$AZ$3:$AZ$1048576,"High",$BG$3:$BG$1048576,"&lt;&gt;")*0.874)/COUNTIFS($A$3:$A$1048576,A68,$AY$3:$AY$1048576,"&lt;&gt;")</f>
        <v>7.18</v>
      </c>
      <c r="AU68" s="55" t="str">
        <f t="shared" ref="AU68:AU131" si="43">IF(AT68&lt;5,"Low",IF(AT68&lt;7.5,"Medium","High"))</f>
        <v>Medium</v>
      </c>
      <c r="AV68" s="34" t="s">
        <v>1507</v>
      </c>
      <c r="AW68" s="111"/>
      <c r="AX68" s="30" t="s">
        <v>1493</v>
      </c>
      <c r="AY68" s="30"/>
      <c r="AZ68" s="85" t="str">
        <f>IF(ISERROR(_xlfn.XLOOKUP(CONCATENATE(A68,"_",AV68),'Reference-Proof pt impact flag'!$I$3:$I$1048576,'Reference-Proof pt impact flag'!$G$3:$G$1048576)),"",_xlfn.XLOOKUP(CONCATENATE(A68,"_",AV68),'Reference-Proof pt impact flag'!$I$3:$I$1048576,'Reference-Proof pt impact flag'!$G$3:$G$1048576))</f>
        <v/>
      </c>
      <c r="BA68" s="74"/>
      <c r="BB68" s="74"/>
      <c r="BC68" s="74"/>
      <c r="BD68" s="74"/>
      <c r="BE68" s="74"/>
      <c r="BF68" s="74" t="e">
        <f>_xlfn.XLOOKUP(CONCATENATE(H68,"_",AV68),'Test 2 - Proof points - GPT5'!$T:$T,'Test 2 - Proof points - GPT5'!$S:$S)</f>
        <v>#N/A</v>
      </c>
      <c r="BG68" s="74" t="e">
        <f>_xlfn.XLOOKUP(CONCATENATE(H68,"_",AV68),'Test 2 -Proof points - Sonnet'!$AB:$AB,'Test 2 -Proof points - Sonnet'!$AA:$AA)</f>
        <v>#N/A</v>
      </c>
      <c r="BH68" s="74"/>
      <c r="BI68" s="74"/>
      <c r="BJ68" s="74" t="s">
        <v>1533</v>
      </c>
      <c r="BK68" s="30"/>
      <c r="BL68" s="30"/>
      <c r="BM68" s="30"/>
      <c r="BN68" s="30"/>
      <c r="BO68" s="30"/>
      <c r="BP68" s="30"/>
      <c r="BQ68" s="30"/>
      <c r="BR68" s="30"/>
      <c r="BS68" s="30"/>
      <c r="BT68" s="30"/>
      <c r="BU68" s="30"/>
      <c r="BV68" s="113"/>
    </row>
    <row r="69" spans="1:74" ht="232" hidden="1" x14ac:dyDescent="0.35">
      <c r="A69" s="22">
        <v>2</v>
      </c>
      <c r="B69" s="22" t="s">
        <v>1451</v>
      </c>
      <c r="C69" s="22" t="s">
        <v>1452</v>
      </c>
      <c r="D69" s="22" t="s">
        <v>1224</v>
      </c>
      <c r="E69" s="22" t="s">
        <v>1453</v>
      </c>
      <c r="F69" s="22"/>
      <c r="G69" s="22" t="s">
        <v>1274</v>
      </c>
      <c r="H69" s="21" t="s">
        <v>1289</v>
      </c>
      <c r="I69" s="22"/>
      <c r="J69" s="21" t="s">
        <v>1316</v>
      </c>
      <c r="K69" s="30"/>
      <c r="L69" s="35" t="s">
        <v>1288</v>
      </c>
      <c r="M69" s="35" t="str">
        <f>VLOOKUP(H69,'1_Value &amp; risk levers'!$H$9:$O$1048576,2,FALSE)</f>
        <v>Rarely used</v>
      </c>
      <c r="N69" s="35" t="str">
        <f>VLOOKUP(H69,'1_Value &amp; risk levers'!$H$9:$O$1048576,3,FALSE)</f>
        <v>Occasionally applied in negotiations, not a structured / defined approach for category managers to follow</v>
      </c>
      <c r="O69" s="35" t="str">
        <f>VLOOKUP(H69,'1_Value &amp; risk levers'!$H$9:$O$1048576,4,FALSE)</f>
        <v>Regular practice for most vegetable oils, but requires manual calculations / manual updates</v>
      </c>
      <c r="P69" s="35" t="str">
        <f>VLOOKUP(H69,'1_Value &amp; risk levers'!$H$9:$O$1048576,5,FALSE)</f>
        <v>Advanced/ automated modeling integrated into procurement tools</v>
      </c>
      <c r="Q69" s="77">
        <f>IF(VLOOKUP(H69,'1_Value &amp; risk levers'!$H$9:$T$1048576,13,FALSE)=0,"",VLOOKUP(H69,'1_Value &amp; risk levers'!$H$9:$T$1048576,13,FALSE))</f>
        <v>1</v>
      </c>
      <c r="R69" s="128">
        <f t="shared" si="22"/>
        <v>2</v>
      </c>
      <c r="S69" s="128" t="e">
        <f t="shared" si="23"/>
        <v>#DIV/0!</v>
      </c>
      <c r="T69" s="77"/>
      <c r="U69" s="77"/>
      <c r="V69" s="55"/>
      <c r="W69" s="71">
        <v>0.04</v>
      </c>
      <c r="X69" s="71">
        <v>0.1</v>
      </c>
      <c r="Y69" s="71">
        <f>VLOOKUP(H69,'1_Value &amp; risk levers'!$H$9:$O$1048576,8,FALSE)</f>
        <v>0.8</v>
      </c>
      <c r="Z69" s="51">
        <f t="shared" si="24"/>
        <v>7.0000000000000007E-2</v>
      </c>
      <c r="AA69" s="51">
        <f t="shared" si="26"/>
        <v>8.5000000000000006E-2</v>
      </c>
      <c r="AB69" s="55">
        <f t="shared" si="27"/>
        <v>2800000.0000000005</v>
      </c>
      <c r="AC69" s="55">
        <f t="shared" si="28"/>
        <v>3400000.0000000005</v>
      </c>
      <c r="AD69" s="80">
        <f t="shared" si="29"/>
        <v>7</v>
      </c>
      <c r="AE69" s="84">
        <f t="shared" si="30"/>
        <v>0.48864540816326468</v>
      </c>
      <c r="AF69" s="71" t="str">
        <f t="shared" si="31"/>
        <v>Low</v>
      </c>
      <c r="AG69" s="84">
        <f t="shared" si="32"/>
        <v>5.9772908163265304E-2</v>
      </c>
      <c r="AH69" s="84">
        <f t="shared" si="33"/>
        <v>9.5227091836734709E-2</v>
      </c>
      <c r="AI69" s="73">
        <f t="shared" si="34"/>
        <v>2390916.3265306121</v>
      </c>
      <c r="AJ69" s="73">
        <f t="shared" si="35"/>
        <v>3809083.6734693884</v>
      </c>
      <c r="AK69" s="46">
        <f>VLOOKUP(H69,'1_Value &amp; risk levers'!$H$9:$O$1048576,6,FALSE)</f>
        <v>0.02</v>
      </c>
      <c r="AL69" s="46">
        <f>VLOOKUP(H69,'1_Value &amp; risk levers'!$H$9:$O$1048576,7,FALSE)</f>
        <v>0.05</v>
      </c>
      <c r="AM69" s="50">
        <f t="shared" si="36"/>
        <v>4.2500000000000003E-2</v>
      </c>
      <c r="AN69" s="72">
        <f t="shared" si="37"/>
        <v>0.19767441860465118</v>
      </c>
      <c r="AO69" s="84">
        <f t="shared" si="38"/>
        <v>1.1815574869482677E-2</v>
      </c>
      <c r="AP69" s="84">
        <f t="shared" si="39"/>
        <v>1.8823960014238257E-2</v>
      </c>
      <c r="AQ69" s="55">
        <f t="shared" si="40"/>
        <v>553488.37209302338</v>
      </c>
      <c r="AR69" s="55">
        <f t="shared" si="41"/>
        <v>672093.0232558141</v>
      </c>
      <c r="AS69" s="83">
        <f t="shared" si="25"/>
        <v>41</v>
      </c>
      <c r="AT69" s="50">
        <f t="shared" si="42"/>
        <v>7.18</v>
      </c>
      <c r="AU69" s="55" t="str">
        <f t="shared" si="43"/>
        <v>Medium</v>
      </c>
      <c r="AV69" s="34" t="s">
        <v>1508</v>
      </c>
      <c r="AW69" s="111"/>
      <c r="AX69" s="30" t="s">
        <v>1493</v>
      </c>
      <c r="AY69" s="31" t="s">
        <v>1544</v>
      </c>
      <c r="AZ69" s="85" t="str">
        <f>IF(ISERROR(_xlfn.XLOOKUP(CONCATENATE(A69,"_",AV69),'Reference-Proof pt impact flag'!$I$3:$I$1048576,'Reference-Proof pt impact flag'!$G$3:$G$1048576)),"",_xlfn.XLOOKUP(CONCATENATE(A69,"_",AV69),'Reference-Proof pt impact flag'!$I$3:$I$1048576,'Reference-Proof pt impact flag'!$G$3:$G$1048576))</f>
        <v>High</v>
      </c>
      <c r="BA69" s="27" t="s">
        <v>1458</v>
      </c>
      <c r="BB69" s="30"/>
      <c r="BC69" s="30"/>
      <c r="BD69" s="30"/>
      <c r="BE69" s="74" t="s">
        <v>1545</v>
      </c>
      <c r="BF69" s="74" t="str">
        <f>_xlfn.XLOOKUP(CONCATENATE(H69,"_",AV69),'Test 2 - Proof points - GPT5'!$T:$T,'Test 2 - Proof points - GPT5'!$S:$S)</f>
        <v>Indicative cost stack (veg oils proxy): Direct Materials or Services: 55%; Net Margin: 10%; Energy &amp; Utilities: 3%; Depreciation: 3%; Labor: 3%. Actions: Tie price formula to feedstock index + FX; negotiate energy/freight passthrough floors/ceilings to avoid overpayment when input costs soften.</v>
      </c>
      <c r="BG69" s="74" t="str">
        <f>_xlfn.XLOOKUP(CONCATENATE(H69,"_",AV69),'Test 2 -Proof points - Sonnet'!$AB:$AB,'Test 2 -Proof points - Sonnet'!$AA:$AA)</f>
        <v>â€¢ **Develop region-specific cost models**: Indian vegetable oil processing shows Copra representing 41-43% of costs, labor 22-24%, and energy 4-6% - build location-specific models for suppliers like SHIVAGANGA to benchmark their pricing structure against industry standards.
â€¢ **Account for cost driver inflation**: Energy costs increasing 15-20% and labor wage inflation at 8-10% annually in India requires dynamic cost model updates to maintain accurate target pricing for negotiations.
â€¢ **Future cost structure evolution**: Industry shift toward renewable energy and automation will reshape cost structures - develop forward-looking models that account for suppliers' technological investments to maintain competitive should-cost benchmarking capabilities and support strategic sourcing decisions.</v>
      </c>
      <c r="BH69" s="74" t="s">
        <v>1537</v>
      </c>
      <c r="BI69" s="74"/>
      <c r="BJ69" s="74" t="s">
        <v>1533</v>
      </c>
      <c r="BK69" s="30" t="s">
        <v>132</v>
      </c>
      <c r="BL69" s="30"/>
      <c r="BM69" s="30"/>
      <c r="BN69" s="30" t="s">
        <v>132</v>
      </c>
      <c r="BO69" s="30"/>
      <c r="BP69" s="30"/>
      <c r="BQ69" s="30"/>
      <c r="BR69" s="30"/>
      <c r="BS69" s="30"/>
      <c r="BT69" s="30"/>
      <c r="BU69" s="30"/>
      <c r="BV69" s="113" t="s">
        <v>132</v>
      </c>
    </row>
    <row r="70" spans="1:74" ht="217.5" hidden="1" x14ac:dyDescent="0.35">
      <c r="A70" s="22">
        <v>2</v>
      </c>
      <c r="B70" s="22" t="s">
        <v>1451</v>
      </c>
      <c r="C70" s="22" t="s">
        <v>1452</v>
      </c>
      <c r="D70" s="22" t="s">
        <v>1224</v>
      </c>
      <c r="E70" s="22" t="s">
        <v>1453</v>
      </c>
      <c r="F70" s="22"/>
      <c r="G70" s="22" t="s">
        <v>1274</v>
      </c>
      <c r="H70" s="21" t="s">
        <v>1289</v>
      </c>
      <c r="I70" s="22"/>
      <c r="J70" s="21" t="s">
        <v>1316</v>
      </c>
      <c r="K70" s="30"/>
      <c r="L70" s="35" t="s">
        <v>1288</v>
      </c>
      <c r="M70" s="35" t="str">
        <f>VLOOKUP(H70,'1_Value &amp; risk levers'!$H$9:$O$1048576,2,FALSE)</f>
        <v>Rarely used</v>
      </c>
      <c r="N70" s="35" t="str">
        <f>VLOOKUP(H70,'1_Value &amp; risk levers'!$H$9:$O$1048576,3,FALSE)</f>
        <v>Occasionally applied in negotiations, not a structured / defined approach for category managers to follow</v>
      </c>
      <c r="O70" s="35" t="str">
        <f>VLOOKUP(H70,'1_Value &amp; risk levers'!$H$9:$O$1048576,4,FALSE)</f>
        <v>Regular practice for most vegetable oils, but requires manual calculations / manual updates</v>
      </c>
      <c r="P70" s="35" t="str">
        <f>VLOOKUP(H70,'1_Value &amp; risk levers'!$H$9:$O$1048576,5,FALSE)</f>
        <v>Advanced/ automated modeling integrated into procurement tools</v>
      </c>
      <c r="Q70" s="77">
        <f>IF(VLOOKUP(H70,'1_Value &amp; risk levers'!$H$9:$T$1048576,13,FALSE)=0,"",VLOOKUP(H70,'1_Value &amp; risk levers'!$H$9:$T$1048576,13,FALSE))</f>
        <v>1</v>
      </c>
      <c r="R70" s="128">
        <f t="shared" si="22"/>
        <v>2</v>
      </c>
      <c r="S70" s="128" t="e">
        <f t="shared" si="23"/>
        <v>#DIV/0!</v>
      </c>
      <c r="T70" s="77"/>
      <c r="U70" s="77"/>
      <c r="V70" s="55"/>
      <c r="W70" s="71">
        <v>0.04</v>
      </c>
      <c r="X70" s="71">
        <v>0.1</v>
      </c>
      <c r="Y70" s="71">
        <f>VLOOKUP(H70,'1_Value &amp; risk levers'!$H$9:$O$1048576,8,FALSE)</f>
        <v>0.8</v>
      </c>
      <c r="Z70" s="51">
        <f t="shared" si="24"/>
        <v>7.0000000000000007E-2</v>
      </c>
      <c r="AA70" s="51">
        <f t="shared" si="26"/>
        <v>8.5000000000000006E-2</v>
      </c>
      <c r="AB70" s="55">
        <f t="shared" si="27"/>
        <v>2800000.0000000005</v>
      </c>
      <c r="AC70" s="55">
        <f t="shared" si="28"/>
        <v>3400000.0000000005</v>
      </c>
      <c r="AD70" s="80">
        <f t="shared" si="29"/>
        <v>7</v>
      </c>
      <c r="AE70" s="84">
        <f t="shared" si="30"/>
        <v>0.48864540816326468</v>
      </c>
      <c r="AF70" s="71" t="str">
        <f t="shared" si="31"/>
        <v>Low</v>
      </c>
      <c r="AG70" s="84">
        <f t="shared" si="32"/>
        <v>5.9772908163265304E-2</v>
      </c>
      <c r="AH70" s="84">
        <f t="shared" si="33"/>
        <v>9.5227091836734709E-2</v>
      </c>
      <c r="AI70" s="73">
        <f t="shared" si="34"/>
        <v>2390916.3265306121</v>
      </c>
      <c r="AJ70" s="73">
        <f t="shared" si="35"/>
        <v>3809083.6734693884</v>
      </c>
      <c r="AK70" s="46">
        <f>VLOOKUP(H70,'1_Value &amp; risk levers'!$H$9:$O$1048576,6,FALSE)</f>
        <v>0.02</v>
      </c>
      <c r="AL70" s="46">
        <f>VLOOKUP(H70,'1_Value &amp; risk levers'!$H$9:$O$1048576,7,FALSE)</f>
        <v>0.05</v>
      </c>
      <c r="AM70" s="50">
        <f t="shared" si="36"/>
        <v>4.2500000000000003E-2</v>
      </c>
      <c r="AN70" s="72">
        <f t="shared" si="37"/>
        <v>0.19767441860465118</v>
      </c>
      <c r="AO70" s="84">
        <f t="shared" si="38"/>
        <v>1.1815574869482677E-2</v>
      </c>
      <c r="AP70" s="84">
        <f t="shared" si="39"/>
        <v>1.8823960014238257E-2</v>
      </c>
      <c r="AQ70" s="55">
        <f t="shared" si="40"/>
        <v>553488.37209302338</v>
      </c>
      <c r="AR70" s="55">
        <f t="shared" si="41"/>
        <v>672093.0232558141</v>
      </c>
      <c r="AS70" s="83">
        <f t="shared" si="25"/>
        <v>41</v>
      </c>
      <c r="AT70" s="50">
        <f t="shared" si="42"/>
        <v>7.18</v>
      </c>
      <c r="AU70" s="55" t="str">
        <f t="shared" si="43"/>
        <v>Medium</v>
      </c>
      <c r="AV70" s="34" t="s">
        <v>1509</v>
      </c>
      <c r="AW70" s="111"/>
      <c r="AX70" s="30" t="s">
        <v>1493</v>
      </c>
      <c r="AY70" s="30"/>
      <c r="AZ70" s="85" t="str">
        <f>IF(ISERROR(_xlfn.XLOOKUP(CONCATENATE(A70,"_",AV70),'Reference-Proof pt impact flag'!$I$3:$I$1048576,'Reference-Proof pt impact flag'!$G$3:$G$1048576)),"",_xlfn.XLOOKUP(CONCATENATE(A70,"_",AV70),'Reference-Proof pt impact flag'!$I$3:$I$1048576,'Reference-Proof pt impact flag'!$G$3:$G$1048576))</f>
        <v/>
      </c>
      <c r="BA70" s="74"/>
      <c r="BB70" s="74"/>
      <c r="BC70" s="74"/>
      <c r="BD70" s="74"/>
      <c r="BE70" s="74"/>
      <c r="BF70" s="74" t="e">
        <f>_xlfn.XLOOKUP(CONCATENATE(H70,"_",AV70),'Test 2 - Proof points - GPT5'!$T:$T,'Test 2 - Proof points - GPT5'!$S:$S)</f>
        <v>#N/A</v>
      </c>
      <c r="BG70" s="74" t="e">
        <f>_xlfn.XLOOKUP(CONCATENATE(H70,"_",AV70),'Test 2 -Proof points - Sonnet'!$AB:$AB,'Test 2 -Proof points - Sonnet'!$AA:$AA)</f>
        <v>#N/A</v>
      </c>
      <c r="BH70" s="74"/>
      <c r="BI70" s="74"/>
      <c r="BJ70" s="74" t="s">
        <v>1533</v>
      </c>
      <c r="BK70" s="30"/>
      <c r="BL70" s="30"/>
      <c r="BM70" s="30"/>
      <c r="BN70" s="30"/>
      <c r="BO70" s="30"/>
      <c r="BP70" s="30"/>
      <c r="BQ70" s="30"/>
      <c r="BR70" s="30"/>
      <c r="BS70" s="30"/>
      <c r="BT70" s="30"/>
      <c r="BU70" s="30"/>
      <c r="BV70" s="113"/>
    </row>
    <row r="71" spans="1:74" ht="217.5" hidden="1" x14ac:dyDescent="0.35">
      <c r="A71" s="22">
        <v>2</v>
      </c>
      <c r="B71" s="22" t="s">
        <v>1451</v>
      </c>
      <c r="C71" s="22" t="s">
        <v>1452</v>
      </c>
      <c r="D71" s="22" t="s">
        <v>1224</v>
      </c>
      <c r="E71" s="22" t="s">
        <v>1453</v>
      </c>
      <c r="F71" s="22"/>
      <c r="G71" s="22" t="s">
        <v>1274</v>
      </c>
      <c r="H71" s="21" t="s">
        <v>1289</v>
      </c>
      <c r="I71" s="22"/>
      <c r="J71" s="21" t="s">
        <v>1316</v>
      </c>
      <c r="K71" s="30"/>
      <c r="L71" s="35" t="s">
        <v>1288</v>
      </c>
      <c r="M71" s="35" t="str">
        <f>VLOOKUP(H71,'1_Value &amp; risk levers'!$H$9:$O$1048576,2,FALSE)</f>
        <v>Rarely used</v>
      </c>
      <c r="N71" s="35" t="str">
        <f>VLOOKUP(H71,'1_Value &amp; risk levers'!$H$9:$O$1048576,3,FALSE)</f>
        <v>Occasionally applied in negotiations, not a structured / defined approach for category managers to follow</v>
      </c>
      <c r="O71" s="35" t="str">
        <f>VLOOKUP(H71,'1_Value &amp; risk levers'!$H$9:$O$1048576,4,FALSE)</f>
        <v>Regular practice for most vegetable oils, but requires manual calculations / manual updates</v>
      </c>
      <c r="P71" s="35" t="str">
        <f>VLOOKUP(H71,'1_Value &amp; risk levers'!$H$9:$O$1048576,5,FALSE)</f>
        <v>Advanced/ automated modeling integrated into procurement tools</v>
      </c>
      <c r="Q71" s="128">
        <f>IF(VLOOKUP(H71,'1_Value &amp; risk levers'!$H$9:$T$1048576,13,FALSE)=0,"",VLOOKUP(H71,'1_Value &amp; risk levers'!$H$9:$T$1048576,13,FALSE))</f>
        <v>1</v>
      </c>
      <c r="R71" s="128">
        <f t="shared" si="22"/>
        <v>2</v>
      </c>
      <c r="S71" s="128" t="e">
        <f t="shared" si="23"/>
        <v>#DIV/0!</v>
      </c>
      <c r="T71" s="77"/>
      <c r="U71" s="77"/>
      <c r="V71" s="55"/>
      <c r="W71" s="71">
        <v>0.04</v>
      </c>
      <c r="X71" s="71">
        <v>0.1</v>
      </c>
      <c r="Y71" s="71">
        <f>VLOOKUP(H71,'1_Value &amp; risk levers'!$H$9:$O$1048576,8,FALSE)</f>
        <v>0.8</v>
      </c>
      <c r="Z71" s="51">
        <f t="shared" si="24"/>
        <v>7.0000000000000007E-2</v>
      </c>
      <c r="AA71" s="51">
        <f t="shared" si="26"/>
        <v>8.5000000000000006E-2</v>
      </c>
      <c r="AB71" s="55">
        <f t="shared" si="27"/>
        <v>2800000.0000000005</v>
      </c>
      <c r="AC71" s="55">
        <f t="shared" si="28"/>
        <v>3400000.0000000005</v>
      </c>
      <c r="AD71" s="80">
        <f t="shared" si="29"/>
        <v>7</v>
      </c>
      <c r="AE71" s="84">
        <f t="shared" si="30"/>
        <v>0.48864540816326468</v>
      </c>
      <c r="AF71" s="71" t="str">
        <f t="shared" si="31"/>
        <v>Low</v>
      </c>
      <c r="AG71" s="84">
        <f t="shared" si="32"/>
        <v>5.9772908163265304E-2</v>
      </c>
      <c r="AH71" s="84">
        <f t="shared" si="33"/>
        <v>9.5227091836734709E-2</v>
      </c>
      <c r="AI71" s="73">
        <f t="shared" si="34"/>
        <v>2390916.3265306121</v>
      </c>
      <c r="AJ71" s="73">
        <f t="shared" si="35"/>
        <v>3809083.6734693884</v>
      </c>
      <c r="AK71" s="46">
        <f>VLOOKUP(H71,'1_Value &amp; risk levers'!$H$9:$O$1048576,6,FALSE)</f>
        <v>0.02</v>
      </c>
      <c r="AL71" s="46">
        <f>VLOOKUP(H71,'1_Value &amp; risk levers'!$H$9:$O$1048576,7,FALSE)</f>
        <v>0.05</v>
      </c>
      <c r="AM71" s="50">
        <f t="shared" si="36"/>
        <v>4.2500000000000003E-2</v>
      </c>
      <c r="AN71" s="72">
        <f t="shared" si="37"/>
        <v>0.19767441860465118</v>
      </c>
      <c r="AO71" s="84">
        <f t="shared" si="38"/>
        <v>1.1815574869482677E-2</v>
      </c>
      <c r="AP71" s="84">
        <f t="shared" si="39"/>
        <v>1.8823960014238257E-2</v>
      </c>
      <c r="AQ71" s="55">
        <f t="shared" si="40"/>
        <v>553488.37209302338</v>
      </c>
      <c r="AR71" s="55">
        <f t="shared" si="41"/>
        <v>672093.0232558141</v>
      </c>
      <c r="AS71" s="83">
        <f t="shared" si="25"/>
        <v>41</v>
      </c>
      <c r="AT71" s="50">
        <f t="shared" si="42"/>
        <v>7.18</v>
      </c>
      <c r="AU71" s="55" t="str">
        <f t="shared" si="43"/>
        <v>Medium</v>
      </c>
      <c r="AV71" s="34" t="s">
        <v>1510</v>
      </c>
      <c r="AW71" s="111"/>
      <c r="AX71" s="30" t="s">
        <v>1493</v>
      </c>
      <c r="AY71" s="30"/>
      <c r="AZ71" s="85" t="str">
        <f>IF(ISERROR(_xlfn.XLOOKUP(CONCATENATE(A71,"_",AV71),'Reference-Proof pt impact flag'!$I$3:$I$1048576,'Reference-Proof pt impact flag'!$G$3:$G$1048576)),"",_xlfn.XLOOKUP(CONCATENATE(A71,"_",AV71),'Reference-Proof pt impact flag'!$I$3:$I$1048576,'Reference-Proof pt impact flag'!$G$3:$G$1048576))</f>
        <v/>
      </c>
      <c r="BA71" s="74"/>
      <c r="BB71" s="74"/>
      <c r="BC71" s="74"/>
      <c r="BD71" s="74"/>
      <c r="BE71" s="74"/>
      <c r="BF71" s="74" t="e">
        <f>_xlfn.XLOOKUP(CONCATENATE(H71,"_",AV71),'Test 2 - Proof points - GPT5'!$T:$T,'Test 2 - Proof points - GPT5'!$S:$S)</f>
        <v>#N/A</v>
      </c>
      <c r="BG71" s="74" t="e">
        <f>_xlfn.XLOOKUP(CONCATENATE(H71,"_",AV71),'Test 2 -Proof points - Sonnet'!$AB:$AB,'Test 2 -Proof points - Sonnet'!$AA:$AA)</f>
        <v>#N/A</v>
      </c>
      <c r="BH71" s="74"/>
      <c r="BI71" s="74"/>
      <c r="BJ71" s="74" t="s">
        <v>1533</v>
      </c>
      <c r="BK71" s="30"/>
      <c r="BL71" s="30"/>
      <c r="BM71" s="30"/>
      <c r="BN71" s="30"/>
      <c r="BO71" s="30"/>
      <c r="BP71" s="30"/>
      <c r="BQ71" s="30"/>
      <c r="BR71" s="30"/>
      <c r="BS71" s="30"/>
      <c r="BT71" s="30"/>
      <c r="BU71" s="30"/>
      <c r="BV71" s="113"/>
    </row>
    <row r="72" spans="1:74" ht="217.5" hidden="1" x14ac:dyDescent="0.35">
      <c r="A72" s="22">
        <v>2</v>
      </c>
      <c r="B72" s="22" t="s">
        <v>1451</v>
      </c>
      <c r="C72" s="22" t="s">
        <v>1452</v>
      </c>
      <c r="D72" s="22" t="s">
        <v>1224</v>
      </c>
      <c r="E72" s="22" t="s">
        <v>1453</v>
      </c>
      <c r="F72" s="22"/>
      <c r="G72" s="22" t="s">
        <v>1274</v>
      </c>
      <c r="H72" s="21" t="s">
        <v>1289</v>
      </c>
      <c r="I72" s="22"/>
      <c r="J72" s="21" t="s">
        <v>1316</v>
      </c>
      <c r="K72" s="30"/>
      <c r="L72" s="35" t="s">
        <v>1288</v>
      </c>
      <c r="M72" s="35" t="str">
        <f>VLOOKUP(H72,'1_Value &amp; risk levers'!$H$9:$O$1048576,2,FALSE)</f>
        <v>Rarely used</v>
      </c>
      <c r="N72" s="35" t="str">
        <f>VLOOKUP(H72,'1_Value &amp; risk levers'!$H$9:$O$1048576,3,FALSE)</f>
        <v>Occasionally applied in negotiations, not a structured / defined approach for category managers to follow</v>
      </c>
      <c r="O72" s="35" t="str">
        <f>VLOOKUP(H72,'1_Value &amp; risk levers'!$H$9:$O$1048576,4,FALSE)</f>
        <v>Regular practice for most vegetable oils, but requires manual calculations / manual updates</v>
      </c>
      <c r="P72" s="35" t="str">
        <f>VLOOKUP(H72,'1_Value &amp; risk levers'!$H$9:$O$1048576,5,FALSE)</f>
        <v>Advanced/ automated modeling integrated into procurement tools</v>
      </c>
      <c r="Q72" s="77">
        <f>IF(VLOOKUP(H72,'1_Value &amp; risk levers'!$H$9:$T$1048576,13,FALSE)=0,"",VLOOKUP(H72,'1_Value &amp; risk levers'!$H$9:$T$1048576,13,FALSE))</f>
        <v>1</v>
      </c>
      <c r="R72" s="128">
        <f t="shared" si="22"/>
        <v>2</v>
      </c>
      <c r="S72" s="128" t="e">
        <f t="shared" si="23"/>
        <v>#DIV/0!</v>
      </c>
      <c r="T72" s="77"/>
      <c r="U72" s="77"/>
      <c r="V72" s="55"/>
      <c r="W72" s="71">
        <v>0.04</v>
      </c>
      <c r="X72" s="71">
        <v>0.1</v>
      </c>
      <c r="Y72" s="71">
        <f>VLOOKUP(H72,'1_Value &amp; risk levers'!$H$9:$O$1048576,8,FALSE)</f>
        <v>0.8</v>
      </c>
      <c r="Z72" s="51">
        <f t="shared" si="24"/>
        <v>7.0000000000000007E-2</v>
      </c>
      <c r="AA72" s="51">
        <f t="shared" si="26"/>
        <v>8.5000000000000006E-2</v>
      </c>
      <c r="AB72" s="55">
        <f t="shared" si="27"/>
        <v>2800000.0000000005</v>
      </c>
      <c r="AC72" s="55">
        <f t="shared" si="28"/>
        <v>3400000.0000000005</v>
      </c>
      <c r="AD72" s="80">
        <f t="shared" si="29"/>
        <v>7</v>
      </c>
      <c r="AE72" s="84">
        <f t="shared" si="30"/>
        <v>0.48864540816326468</v>
      </c>
      <c r="AF72" s="71" t="str">
        <f t="shared" si="31"/>
        <v>Low</v>
      </c>
      <c r="AG72" s="84">
        <f t="shared" si="32"/>
        <v>5.9772908163265304E-2</v>
      </c>
      <c r="AH72" s="84">
        <f t="shared" si="33"/>
        <v>9.5227091836734709E-2</v>
      </c>
      <c r="AI72" s="73">
        <f t="shared" si="34"/>
        <v>2390916.3265306121</v>
      </c>
      <c r="AJ72" s="73">
        <f t="shared" si="35"/>
        <v>3809083.6734693884</v>
      </c>
      <c r="AK72" s="46">
        <f>VLOOKUP(H72,'1_Value &amp; risk levers'!$H$9:$O$1048576,6,FALSE)</f>
        <v>0.02</v>
      </c>
      <c r="AL72" s="46">
        <f>VLOOKUP(H72,'1_Value &amp; risk levers'!$H$9:$O$1048576,7,FALSE)</f>
        <v>0.05</v>
      </c>
      <c r="AM72" s="50">
        <f t="shared" si="36"/>
        <v>4.2500000000000003E-2</v>
      </c>
      <c r="AN72" s="72">
        <f t="shared" si="37"/>
        <v>0.19767441860465118</v>
      </c>
      <c r="AO72" s="84">
        <f t="shared" si="38"/>
        <v>1.1815574869482677E-2</v>
      </c>
      <c r="AP72" s="84">
        <f t="shared" si="39"/>
        <v>1.8823960014238257E-2</v>
      </c>
      <c r="AQ72" s="55">
        <f t="shared" si="40"/>
        <v>553488.37209302338</v>
      </c>
      <c r="AR72" s="55">
        <f t="shared" si="41"/>
        <v>672093.0232558141</v>
      </c>
      <c r="AS72" s="83">
        <f t="shared" si="25"/>
        <v>41</v>
      </c>
      <c r="AT72" s="50">
        <f t="shared" si="42"/>
        <v>7.18</v>
      </c>
      <c r="AU72" s="55" t="str">
        <f t="shared" si="43"/>
        <v>Medium</v>
      </c>
      <c r="AV72" s="34" t="s">
        <v>1511</v>
      </c>
      <c r="AW72" s="111"/>
      <c r="AX72" s="30" t="s">
        <v>1493</v>
      </c>
      <c r="AY72" s="30"/>
      <c r="AZ72" s="85" t="str">
        <f>IF(ISERROR(_xlfn.XLOOKUP(CONCATENATE(A72,"_",AV72),'Reference-Proof pt impact flag'!$I$3:$I$1048576,'Reference-Proof pt impact flag'!$G$3:$G$1048576)),"",_xlfn.XLOOKUP(CONCATENATE(A72,"_",AV72),'Reference-Proof pt impact flag'!$I$3:$I$1048576,'Reference-Proof pt impact flag'!$G$3:$G$1048576))</f>
        <v/>
      </c>
      <c r="BA72" s="74"/>
      <c r="BB72" s="74"/>
      <c r="BC72" s="74"/>
      <c r="BD72" s="74"/>
      <c r="BE72" s="74"/>
      <c r="BF72" s="74" t="e">
        <f>_xlfn.XLOOKUP(CONCATENATE(H72,"_",AV72),'Test 2 - Proof points - GPT5'!$T:$T,'Test 2 - Proof points - GPT5'!$S:$S)</f>
        <v>#N/A</v>
      </c>
      <c r="BG72" s="74" t="e">
        <f>_xlfn.XLOOKUP(CONCATENATE(H72,"_",AV72),'Test 2 -Proof points - Sonnet'!$AB:$AB,'Test 2 -Proof points - Sonnet'!$AA:$AA)</f>
        <v>#N/A</v>
      </c>
      <c r="BH72" s="74"/>
      <c r="BI72" s="74"/>
      <c r="BJ72" s="74" t="s">
        <v>1533</v>
      </c>
      <c r="BK72" s="30"/>
      <c r="BL72" s="30"/>
      <c r="BM72" s="30"/>
      <c r="BN72" s="30"/>
      <c r="BO72" s="30"/>
      <c r="BP72" s="30"/>
      <c r="BQ72" s="30"/>
      <c r="BR72" s="30"/>
      <c r="BS72" s="30"/>
      <c r="BT72" s="30"/>
      <c r="BU72" s="30"/>
      <c r="BV72" s="113"/>
    </row>
    <row r="73" spans="1:74" ht="217.5" hidden="1" x14ac:dyDescent="0.35">
      <c r="A73" s="22">
        <v>2</v>
      </c>
      <c r="B73" s="22" t="s">
        <v>1451</v>
      </c>
      <c r="C73" s="22" t="s">
        <v>1452</v>
      </c>
      <c r="D73" s="22" t="s">
        <v>1224</v>
      </c>
      <c r="E73" s="22" t="s">
        <v>1453</v>
      </c>
      <c r="F73" s="22"/>
      <c r="G73" s="22" t="s">
        <v>1274</v>
      </c>
      <c r="H73" s="21" t="s">
        <v>1289</v>
      </c>
      <c r="I73" s="22"/>
      <c r="J73" s="21" t="s">
        <v>1316</v>
      </c>
      <c r="K73" s="30"/>
      <c r="L73" s="35" t="s">
        <v>1288</v>
      </c>
      <c r="M73" s="35" t="str">
        <f>VLOOKUP(H73,'1_Value &amp; risk levers'!$H$9:$O$1048576,2,FALSE)</f>
        <v>Rarely used</v>
      </c>
      <c r="N73" s="35" t="str">
        <f>VLOOKUP(H73,'1_Value &amp; risk levers'!$H$9:$O$1048576,3,FALSE)</f>
        <v>Occasionally applied in negotiations, not a structured / defined approach for category managers to follow</v>
      </c>
      <c r="O73" s="35" t="str">
        <f>VLOOKUP(H73,'1_Value &amp; risk levers'!$H$9:$O$1048576,4,FALSE)</f>
        <v>Regular practice for most vegetable oils, but requires manual calculations / manual updates</v>
      </c>
      <c r="P73" s="35" t="str">
        <f>VLOOKUP(H73,'1_Value &amp; risk levers'!$H$9:$O$1048576,5,FALSE)</f>
        <v>Advanced/ automated modeling integrated into procurement tools</v>
      </c>
      <c r="Q73" s="77">
        <f>IF(VLOOKUP(H73,'1_Value &amp; risk levers'!$H$9:$T$1048576,13,FALSE)=0,"",VLOOKUP(H73,'1_Value &amp; risk levers'!$H$9:$T$1048576,13,FALSE))</f>
        <v>1</v>
      </c>
      <c r="R73" s="128">
        <f t="shared" si="22"/>
        <v>2</v>
      </c>
      <c r="S73" s="128" t="e">
        <f t="shared" si="23"/>
        <v>#DIV/0!</v>
      </c>
      <c r="T73" s="77"/>
      <c r="U73" s="77"/>
      <c r="V73" s="55"/>
      <c r="W73" s="71">
        <v>0.04</v>
      </c>
      <c r="X73" s="71">
        <v>0.1</v>
      </c>
      <c r="Y73" s="71">
        <f>VLOOKUP(H73,'1_Value &amp; risk levers'!$H$9:$O$1048576,8,FALSE)</f>
        <v>0.8</v>
      </c>
      <c r="Z73" s="51">
        <f t="shared" si="24"/>
        <v>7.0000000000000007E-2</v>
      </c>
      <c r="AA73" s="51">
        <f t="shared" si="26"/>
        <v>8.5000000000000006E-2</v>
      </c>
      <c r="AB73" s="55">
        <f t="shared" si="27"/>
        <v>2800000.0000000005</v>
      </c>
      <c r="AC73" s="55">
        <f t="shared" si="28"/>
        <v>3400000.0000000005</v>
      </c>
      <c r="AD73" s="80">
        <f t="shared" si="29"/>
        <v>7</v>
      </c>
      <c r="AE73" s="84">
        <f t="shared" si="30"/>
        <v>0.48864540816326468</v>
      </c>
      <c r="AF73" s="71" t="str">
        <f t="shared" si="31"/>
        <v>Low</v>
      </c>
      <c r="AG73" s="84">
        <f t="shared" si="32"/>
        <v>5.9772908163265304E-2</v>
      </c>
      <c r="AH73" s="84">
        <f t="shared" si="33"/>
        <v>9.5227091836734709E-2</v>
      </c>
      <c r="AI73" s="73">
        <f t="shared" si="34"/>
        <v>2390916.3265306121</v>
      </c>
      <c r="AJ73" s="73">
        <f t="shared" si="35"/>
        <v>3809083.6734693884</v>
      </c>
      <c r="AK73" s="46">
        <f>VLOOKUP(H73,'1_Value &amp; risk levers'!$H$9:$O$1048576,6,FALSE)</f>
        <v>0.02</v>
      </c>
      <c r="AL73" s="46">
        <f>VLOOKUP(H73,'1_Value &amp; risk levers'!$H$9:$O$1048576,7,FALSE)</f>
        <v>0.05</v>
      </c>
      <c r="AM73" s="50">
        <f t="shared" si="36"/>
        <v>4.2500000000000003E-2</v>
      </c>
      <c r="AN73" s="72">
        <f t="shared" si="37"/>
        <v>0.19767441860465118</v>
      </c>
      <c r="AO73" s="84">
        <f t="shared" si="38"/>
        <v>1.1815574869482677E-2</v>
      </c>
      <c r="AP73" s="84">
        <f t="shared" si="39"/>
        <v>1.8823960014238257E-2</v>
      </c>
      <c r="AQ73" s="55">
        <f t="shared" si="40"/>
        <v>553488.37209302338</v>
      </c>
      <c r="AR73" s="55">
        <f t="shared" si="41"/>
        <v>672093.0232558141</v>
      </c>
      <c r="AS73" s="83">
        <f t="shared" si="25"/>
        <v>41</v>
      </c>
      <c r="AT73" s="50">
        <f t="shared" si="42"/>
        <v>7.18</v>
      </c>
      <c r="AU73" s="55" t="str">
        <f t="shared" si="43"/>
        <v>Medium</v>
      </c>
      <c r="AV73" s="34" t="s">
        <v>1512</v>
      </c>
      <c r="AW73" s="111"/>
      <c r="AX73" s="30" t="s">
        <v>1493</v>
      </c>
      <c r="AY73" s="30"/>
      <c r="AZ73" s="85" t="str">
        <f>IF(ISERROR(_xlfn.XLOOKUP(CONCATENATE(A73,"_",AV73),'Reference-Proof pt impact flag'!$I$3:$I$1048576,'Reference-Proof pt impact flag'!$G$3:$G$1048576)),"",_xlfn.XLOOKUP(CONCATENATE(A73,"_",AV73),'Reference-Proof pt impact flag'!$I$3:$I$1048576,'Reference-Proof pt impact flag'!$G$3:$G$1048576))</f>
        <v/>
      </c>
      <c r="BA73" s="74"/>
      <c r="BB73" s="74"/>
      <c r="BC73" s="74"/>
      <c r="BD73" s="74"/>
      <c r="BE73" s="74"/>
      <c r="BF73" s="74" t="e">
        <f>_xlfn.XLOOKUP(CONCATENATE(H73,"_",AV73),'Test 2 - Proof points - GPT5'!$T:$T,'Test 2 - Proof points - GPT5'!$S:$S)</f>
        <v>#N/A</v>
      </c>
      <c r="BG73" s="74" t="e">
        <f>_xlfn.XLOOKUP(CONCATENATE(H73,"_",AV73),'Test 2 -Proof points - Sonnet'!$AB:$AB,'Test 2 -Proof points - Sonnet'!$AA:$AA)</f>
        <v>#N/A</v>
      </c>
      <c r="BH73" s="74"/>
      <c r="BI73" s="74"/>
      <c r="BJ73" s="74" t="s">
        <v>1533</v>
      </c>
      <c r="BK73" s="30"/>
      <c r="BL73" s="30"/>
      <c r="BM73" s="30"/>
      <c r="BN73" s="30"/>
      <c r="BO73" s="30"/>
      <c r="BP73" s="30"/>
      <c r="BQ73" s="30"/>
      <c r="BR73" s="30"/>
      <c r="BS73" s="30"/>
      <c r="BT73" s="30"/>
      <c r="BU73" s="30"/>
      <c r="BV73" s="113"/>
    </row>
    <row r="74" spans="1:74" ht="217.5" hidden="1" x14ac:dyDescent="0.35">
      <c r="A74" s="22">
        <v>2</v>
      </c>
      <c r="B74" s="22" t="s">
        <v>1451</v>
      </c>
      <c r="C74" s="22" t="s">
        <v>1452</v>
      </c>
      <c r="D74" s="22" t="s">
        <v>1224</v>
      </c>
      <c r="E74" s="22" t="s">
        <v>1453</v>
      </c>
      <c r="F74" s="22"/>
      <c r="G74" s="22" t="s">
        <v>1274</v>
      </c>
      <c r="H74" s="21" t="s">
        <v>1289</v>
      </c>
      <c r="I74" s="22"/>
      <c r="J74" s="21" t="s">
        <v>1316</v>
      </c>
      <c r="K74" s="30"/>
      <c r="L74" s="35" t="s">
        <v>1288</v>
      </c>
      <c r="M74" s="35" t="str">
        <f>VLOOKUP(H74,'1_Value &amp; risk levers'!$H$9:$O$1048576,2,FALSE)</f>
        <v>Rarely used</v>
      </c>
      <c r="N74" s="35" t="str">
        <f>VLOOKUP(H74,'1_Value &amp; risk levers'!$H$9:$O$1048576,3,FALSE)</f>
        <v>Occasionally applied in negotiations, not a structured / defined approach for category managers to follow</v>
      </c>
      <c r="O74" s="35" t="str">
        <f>VLOOKUP(H74,'1_Value &amp; risk levers'!$H$9:$O$1048576,4,FALSE)</f>
        <v>Regular practice for most vegetable oils, but requires manual calculations / manual updates</v>
      </c>
      <c r="P74" s="35" t="str">
        <f>VLOOKUP(H74,'1_Value &amp; risk levers'!$H$9:$O$1048576,5,FALSE)</f>
        <v>Advanced/ automated modeling integrated into procurement tools</v>
      </c>
      <c r="Q74" s="77">
        <f>IF(VLOOKUP(H74,'1_Value &amp; risk levers'!$H$9:$T$1048576,13,FALSE)=0,"",VLOOKUP(H74,'1_Value &amp; risk levers'!$H$9:$T$1048576,13,FALSE))</f>
        <v>1</v>
      </c>
      <c r="R74" s="128">
        <f t="shared" si="22"/>
        <v>2</v>
      </c>
      <c r="S74" s="128" t="e">
        <f t="shared" si="23"/>
        <v>#DIV/0!</v>
      </c>
      <c r="T74" s="77"/>
      <c r="U74" s="77"/>
      <c r="V74" s="55"/>
      <c r="W74" s="71">
        <v>0.04</v>
      </c>
      <c r="X74" s="71">
        <v>0.1</v>
      </c>
      <c r="Y74" s="71">
        <f>VLOOKUP(H74,'1_Value &amp; risk levers'!$H$9:$O$1048576,8,FALSE)</f>
        <v>0.8</v>
      </c>
      <c r="Z74" s="51">
        <f t="shared" si="24"/>
        <v>7.0000000000000007E-2</v>
      </c>
      <c r="AA74" s="51">
        <f t="shared" si="26"/>
        <v>8.5000000000000006E-2</v>
      </c>
      <c r="AB74" s="55">
        <f t="shared" si="27"/>
        <v>2800000.0000000005</v>
      </c>
      <c r="AC74" s="55">
        <f t="shared" si="28"/>
        <v>3400000.0000000005</v>
      </c>
      <c r="AD74" s="80">
        <f t="shared" si="29"/>
        <v>7</v>
      </c>
      <c r="AE74" s="84">
        <f t="shared" si="30"/>
        <v>0.48864540816326468</v>
      </c>
      <c r="AF74" s="71" t="str">
        <f t="shared" si="31"/>
        <v>Low</v>
      </c>
      <c r="AG74" s="84">
        <f t="shared" si="32"/>
        <v>5.9772908163265304E-2</v>
      </c>
      <c r="AH74" s="84">
        <f t="shared" si="33"/>
        <v>9.5227091836734709E-2</v>
      </c>
      <c r="AI74" s="73">
        <f t="shared" si="34"/>
        <v>2390916.3265306121</v>
      </c>
      <c r="AJ74" s="73">
        <f t="shared" si="35"/>
        <v>3809083.6734693884</v>
      </c>
      <c r="AK74" s="46">
        <f>VLOOKUP(H74,'1_Value &amp; risk levers'!$H$9:$O$1048576,6,FALSE)</f>
        <v>0.02</v>
      </c>
      <c r="AL74" s="46">
        <f>VLOOKUP(H74,'1_Value &amp; risk levers'!$H$9:$O$1048576,7,FALSE)</f>
        <v>0.05</v>
      </c>
      <c r="AM74" s="50">
        <f t="shared" si="36"/>
        <v>4.2500000000000003E-2</v>
      </c>
      <c r="AN74" s="72">
        <f t="shared" si="37"/>
        <v>0.19767441860465118</v>
      </c>
      <c r="AO74" s="84">
        <f t="shared" si="38"/>
        <v>1.1815574869482677E-2</v>
      </c>
      <c r="AP74" s="84">
        <f t="shared" si="39"/>
        <v>1.8823960014238257E-2</v>
      </c>
      <c r="AQ74" s="55">
        <f t="shared" si="40"/>
        <v>553488.37209302338</v>
      </c>
      <c r="AR74" s="55">
        <f t="shared" si="41"/>
        <v>672093.0232558141</v>
      </c>
      <c r="AS74" s="83">
        <f t="shared" si="25"/>
        <v>41</v>
      </c>
      <c r="AT74" s="50">
        <f t="shared" si="42"/>
        <v>7.18</v>
      </c>
      <c r="AU74" s="55" t="str">
        <f t="shared" si="43"/>
        <v>Medium</v>
      </c>
      <c r="AV74" s="34" t="s">
        <v>1513</v>
      </c>
      <c r="AW74" s="111"/>
      <c r="AX74" s="30" t="s">
        <v>1493</v>
      </c>
      <c r="AY74" s="30"/>
      <c r="AZ74" s="85" t="str">
        <f>IF(ISERROR(_xlfn.XLOOKUP(CONCATENATE(A74,"_",AV74),'Reference-Proof pt impact flag'!$I$3:$I$1048576,'Reference-Proof pt impact flag'!$G$3:$G$1048576)),"",_xlfn.XLOOKUP(CONCATENATE(A74,"_",AV74),'Reference-Proof pt impact flag'!$I$3:$I$1048576,'Reference-Proof pt impact flag'!$G$3:$G$1048576))</f>
        <v/>
      </c>
      <c r="BA74" s="74"/>
      <c r="BB74" s="74"/>
      <c r="BC74" s="74"/>
      <c r="BD74" s="74"/>
      <c r="BE74" s="74"/>
      <c r="BF74" s="74" t="e">
        <f>_xlfn.XLOOKUP(CONCATENATE(H74,"_",AV74),'Test 2 - Proof points - GPT5'!$T:$T,'Test 2 - Proof points - GPT5'!$S:$S)</f>
        <v>#N/A</v>
      </c>
      <c r="BG74" s="74" t="e">
        <f>_xlfn.XLOOKUP(CONCATENATE(H74,"_",AV74),'Test 2 -Proof points - Sonnet'!$AB:$AB,'Test 2 -Proof points - Sonnet'!$AA:$AA)</f>
        <v>#N/A</v>
      </c>
      <c r="BH74" s="74"/>
      <c r="BI74" s="74"/>
      <c r="BJ74" s="74" t="s">
        <v>1533</v>
      </c>
      <c r="BK74" s="30"/>
      <c r="BL74" s="30"/>
      <c r="BM74" s="30"/>
      <c r="BN74" s="30"/>
      <c r="BO74" s="30"/>
      <c r="BP74" s="30"/>
      <c r="BQ74" s="30"/>
      <c r="BR74" s="30"/>
      <c r="BS74" s="30"/>
      <c r="BT74" s="30"/>
      <c r="BU74" s="30"/>
      <c r="BV74" s="113"/>
    </row>
    <row r="75" spans="1:74" ht="232" hidden="1" x14ac:dyDescent="0.35">
      <c r="A75" s="22">
        <v>2</v>
      </c>
      <c r="B75" s="22" t="s">
        <v>1451</v>
      </c>
      <c r="C75" s="22" t="s">
        <v>1452</v>
      </c>
      <c r="D75" s="22" t="s">
        <v>1224</v>
      </c>
      <c r="E75" s="22" t="s">
        <v>1453</v>
      </c>
      <c r="F75" s="22"/>
      <c r="G75" s="22" t="s">
        <v>1274</v>
      </c>
      <c r="H75" s="21" t="s">
        <v>1289</v>
      </c>
      <c r="I75" s="22"/>
      <c r="J75" s="21" t="s">
        <v>1316</v>
      </c>
      <c r="K75" s="30"/>
      <c r="L75" s="35" t="s">
        <v>1288</v>
      </c>
      <c r="M75" s="35" t="str">
        <f>VLOOKUP(H75,'1_Value &amp; risk levers'!$H$9:$O$1048576,2,FALSE)</f>
        <v>Rarely used</v>
      </c>
      <c r="N75" s="35" t="str">
        <f>VLOOKUP(H75,'1_Value &amp; risk levers'!$H$9:$O$1048576,3,FALSE)</f>
        <v>Occasionally applied in negotiations, not a structured / defined approach for category managers to follow</v>
      </c>
      <c r="O75" s="35" t="str">
        <f>VLOOKUP(H75,'1_Value &amp; risk levers'!$H$9:$O$1048576,4,FALSE)</f>
        <v>Regular practice for most vegetable oils, but requires manual calculations / manual updates</v>
      </c>
      <c r="P75" s="35" t="str">
        <f>VLOOKUP(H75,'1_Value &amp; risk levers'!$H$9:$O$1048576,5,FALSE)</f>
        <v>Advanced/ automated modeling integrated into procurement tools</v>
      </c>
      <c r="Q75" s="77">
        <f>IF(VLOOKUP(H75,'1_Value &amp; risk levers'!$H$9:$T$1048576,13,FALSE)=0,"",VLOOKUP(H75,'1_Value &amp; risk levers'!$H$9:$T$1048576,13,FALSE))</f>
        <v>1</v>
      </c>
      <c r="R75" s="128">
        <f t="shared" si="22"/>
        <v>2</v>
      </c>
      <c r="S75" s="128" t="e">
        <f t="shared" si="23"/>
        <v>#DIV/0!</v>
      </c>
      <c r="T75" s="77"/>
      <c r="U75" s="77"/>
      <c r="V75" s="55"/>
      <c r="W75" s="71">
        <v>0.04</v>
      </c>
      <c r="X75" s="71">
        <v>0.1</v>
      </c>
      <c r="Y75" s="71">
        <f>VLOOKUP(H75,'1_Value &amp; risk levers'!$H$9:$O$1048576,8,FALSE)</f>
        <v>0.8</v>
      </c>
      <c r="Z75" s="51">
        <f t="shared" si="24"/>
        <v>7.0000000000000007E-2</v>
      </c>
      <c r="AA75" s="51">
        <f t="shared" si="26"/>
        <v>8.5000000000000006E-2</v>
      </c>
      <c r="AB75" s="55">
        <f t="shared" si="27"/>
        <v>2800000.0000000005</v>
      </c>
      <c r="AC75" s="55">
        <f t="shared" si="28"/>
        <v>3400000.0000000005</v>
      </c>
      <c r="AD75" s="80">
        <f t="shared" si="29"/>
        <v>7</v>
      </c>
      <c r="AE75" s="84">
        <f t="shared" si="30"/>
        <v>0.48864540816326468</v>
      </c>
      <c r="AF75" s="71" t="str">
        <f t="shared" si="31"/>
        <v>Low</v>
      </c>
      <c r="AG75" s="84">
        <f t="shared" si="32"/>
        <v>5.9772908163265304E-2</v>
      </c>
      <c r="AH75" s="84">
        <f t="shared" si="33"/>
        <v>9.5227091836734709E-2</v>
      </c>
      <c r="AI75" s="73">
        <f t="shared" si="34"/>
        <v>2390916.3265306121</v>
      </c>
      <c r="AJ75" s="73">
        <f t="shared" si="35"/>
        <v>3809083.6734693884</v>
      </c>
      <c r="AK75" s="46">
        <f>VLOOKUP(H75,'1_Value &amp; risk levers'!$H$9:$O$1048576,6,FALSE)</f>
        <v>0.02</v>
      </c>
      <c r="AL75" s="46">
        <f>VLOOKUP(H75,'1_Value &amp; risk levers'!$H$9:$O$1048576,7,FALSE)</f>
        <v>0.05</v>
      </c>
      <c r="AM75" s="50">
        <f t="shared" si="36"/>
        <v>4.2500000000000003E-2</v>
      </c>
      <c r="AN75" s="72">
        <f t="shared" si="37"/>
        <v>0.19767441860465118</v>
      </c>
      <c r="AO75" s="84">
        <f t="shared" si="38"/>
        <v>1.1815574869482677E-2</v>
      </c>
      <c r="AP75" s="84">
        <f t="shared" si="39"/>
        <v>1.8823960014238257E-2</v>
      </c>
      <c r="AQ75" s="55">
        <f t="shared" si="40"/>
        <v>553488.37209302338</v>
      </c>
      <c r="AR75" s="55">
        <f t="shared" si="41"/>
        <v>672093.0232558141</v>
      </c>
      <c r="AS75" s="83">
        <f t="shared" si="25"/>
        <v>41</v>
      </c>
      <c r="AT75" s="50">
        <f t="shared" si="42"/>
        <v>7.18</v>
      </c>
      <c r="AU75" s="55" t="str">
        <f t="shared" si="43"/>
        <v>Medium</v>
      </c>
      <c r="AV75" s="34" t="s">
        <v>1514</v>
      </c>
      <c r="AW75" s="111"/>
      <c r="AX75" s="30" t="s">
        <v>1493</v>
      </c>
      <c r="AY75" s="27" t="s">
        <v>1546</v>
      </c>
      <c r="AZ75" s="85" t="str">
        <f>IF(ISERROR(_xlfn.XLOOKUP(CONCATENATE(A75,"_",AV75),'Reference-Proof pt impact flag'!$I$3:$I$1048576,'Reference-Proof pt impact flag'!$G$3:$G$1048576)),"",_xlfn.XLOOKUP(CONCATENATE(A75,"_",AV75),'Reference-Proof pt impact flag'!$I$3:$I$1048576,'Reference-Proof pt impact flag'!$G$3:$G$1048576))</f>
        <v>High</v>
      </c>
      <c r="BA75" s="27" t="s">
        <v>1458</v>
      </c>
      <c r="BB75" s="30" t="s">
        <v>1446</v>
      </c>
      <c r="BC75" s="27" t="s">
        <v>1547</v>
      </c>
      <c r="BD75" s="85" t="s">
        <v>1521</v>
      </c>
      <c r="BE75" s="74" t="s">
        <v>1548</v>
      </c>
      <c r="BF75" s="74" t="str">
        <f>_xlfn.XLOOKUP(CONCATENATE(H75,"_",AV75),'Test 2 - Proof points - GPT5'!$T:$T,'Test 2 - Proof points - GPT5'!$S:$S)</f>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Actions: Implement should-cost guardrails using price-per-kg corridors by material and vendor tiers; route exceptions to sourcing board.</v>
      </c>
      <c r="BG75" s="74" t="str">
        <f>_xlfn.XLOOKUP(CONCATENATE(H75,"_",AV75),'Test 2 -Proof points - Sonnet'!$AB:$AB,'Test 2 -Proof points - Sonnet'!$AA:$AA)</f>
        <v>â€¢ **Incorporate price trend analysis**: Global vegetable oil prices increased 15-25% over 12 months due to supply disruptions and commodity inflation - integrate historical price evolution into should-cost models to validate current supplier pricing against market trends.
â€¢ **Benchmark client pricing performance**: Current supplier pricing ($1.39-1.44/kg for ricebran oil) appears aligned with market trends but shows variation suggesting negotiation opportunities through standardized should-cost modeling approaches.
â€¢ **Future price forecasting integration**: Increasing price volatility driven by climate impacts and geopolitical factors will require sophisticated forecasting capabilities in should-cost models to anticipate market movements and optimize contract timing for competitive procurement operations.</v>
      </c>
      <c r="BH75" s="74" t="s">
        <v>1537</v>
      </c>
      <c r="BI75" s="74" t="s">
        <v>1549</v>
      </c>
      <c r="BJ75" s="74" t="s">
        <v>1533</v>
      </c>
      <c r="BK75" s="30" t="s">
        <v>132</v>
      </c>
      <c r="BL75" s="30"/>
      <c r="BM75" s="30"/>
      <c r="BN75" s="30" t="s">
        <v>132</v>
      </c>
      <c r="BO75" s="30"/>
      <c r="BP75" s="30"/>
      <c r="BQ75" s="30"/>
      <c r="BR75" s="30"/>
      <c r="BS75" s="30"/>
      <c r="BT75" s="30"/>
      <c r="BU75" s="30"/>
      <c r="BV75" s="113" t="s">
        <v>132</v>
      </c>
    </row>
    <row r="76" spans="1:74" ht="217.5" hidden="1" x14ac:dyDescent="0.35">
      <c r="A76" s="22">
        <v>2</v>
      </c>
      <c r="B76" s="22" t="s">
        <v>1451</v>
      </c>
      <c r="C76" s="22" t="s">
        <v>1452</v>
      </c>
      <c r="D76" s="22" t="s">
        <v>1224</v>
      </c>
      <c r="E76" s="22" t="s">
        <v>1453</v>
      </c>
      <c r="F76" s="22"/>
      <c r="G76" s="22" t="s">
        <v>1274</v>
      </c>
      <c r="H76" s="21" t="s">
        <v>1289</v>
      </c>
      <c r="I76" s="22"/>
      <c r="J76" s="21" t="s">
        <v>1316</v>
      </c>
      <c r="K76" s="30"/>
      <c r="L76" s="35" t="s">
        <v>1288</v>
      </c>
      <c r="M76" s="35" t="str">
        <f>VLOOKUP(H76,'1_Value &amp; risk levers'!$H$9:$O$1048576,2,FALSE)</f>
        <v>Rarely used</v>
      </c>
      <c r="N76" s="35" t="str">
        <f>VLOOKUP(H76,'1_Value &amp; risk levers'!$H$9:$O$1048576,3,FALSE)</f>
        <v>Occasionally applied in negotiations, not a structured / defined approach for category managers to follow</v>
      </c>
      <c r="O76" s="35" t="str">
        <f>VLOOKUP(H76,'1_Value &amp; risk levers'!$H$9:$O$1048576,4,FALSE)</f>
        <v>Regular practice for most vegetable oils, but requires manual calculations / manual updates</v>
      </c>
      <c r="P76" s="35" t="str">
        <f>VLOOKUP(H76,'1_Value &amp; risk levers'!$H$9:$O$1048576,5,FALSE)</f>
        <v>Advanced/ automated modeling integrated into procurement tools</v>
      </c>
      <c r="Q76" s="77">
        <f>IF(VLOOKUP(H76,'1_Value &amp; risk levers'!$H$9:$T$1048576,13,FALSE)=0,"",VLOOKUP(H76,'1_Value &amp; risk levers'!$H$9:$T$1048576,13,FALSE))</f>
        <v>1</v>
      </c>
      <c r="R76" s="128">
        <f t="shared" si="22"/>
        <v>2</v>
      </c>
      <c r="S76" s="128" t="e">
        <f t="shared" si="23"/>
        <v>#DIV/0!</v>
      </c>
      <c r="T76" s="77"/>
      <c r="U76" s="77"/>
      <c r="V76" s="55"/>
      <c r="W76" s="71">
        <v>0.04</v>
      </c>
      <c r="X76" s="71">
        <v>0.1</v>
      </c>
      <c r="Y76" s="71">
        <f>VLOOKUP(H76,'1_Value &amp; risk levers'!$H$9:$O$1048576,8,FALSE)</f>
        <v>0.8</v>
      </c>
      <c r="Z76" s="51">
        <f t="shared" si="24"/>
        <v>7.0000000000000007E-2</v>
      </c>
      <c r="AA76" s="51">
        <f t="shared" si="26"/>
        <v>8.5000000000000006E-2</v>
      </c>
      <c r="AB76" s="55">
        <f t="shared" si="27"/>
        <v>2800000.0000000005</v>
      </c>
      <c r="AC76" s="55">
        <f t="shared" si="28"/>
        <v>3400000.0000000005</v>
      </c>
      <c r="AD76" s="80">
        <f t="shared" si="29"/>
        <v>7</v>
      </c>
      <c r="AE76" s="84">
        <f t="shared" si="30"/>
        <v>0.48864540816326468</v>
      </c>
      <c r="AF76" s="71" t="str">
        <f t="shared" si="31"/>
        <v>Low</v>
      </c>
      <c r="AG76" s="84">
        <f t="shared" si="32"/>
        <v>5.9772908163265304E-2</v>
      </c>
      <c r="AH76" s="84">
        <f t="shared" si="33"/>
        <v>9.5227091836734709E-2</v>
      </c>
      <c r="AI76" s="73">
        <f t="shared" si="34"/>
        <v>2390916.3265306121</v>
      </c>
      <c r="AJ76" s="73">
        <f t="shared" si="35"/>
        <v>3809083.6734693884</v>
      </c>
      <c r="AK76" s="46">
        <f>VLOOKUP(H76,'1_Value &amp; risk levers'!$H$9:$O$1048576,6,FALSE)</f>
        <v>0.02</v>
      </c>
      <c r="AL76" s="46">
        <f>VLOOKUP(H76,'1_Value &amp; risk levers'!$H$9:$O$1048576,7,FALSE)</f>
        <v>0.05</v>
      </c>
      <c r="AM76" s="50">
        <f t="shared" si="36"/>
        <v>4.2500000000000003E-2</v>
      </c>
      <c r="AN76" s="72">
        <f t="shared" si="37"/>
        <v>0.19767441860465118</v>
      </c>
      <c r="AO76" s="84">
        <f t="shared" si="38"/>
        <v>1.1815574869482677E-2</v>
      </c>
      <c r="AP76" s="84">
        <f t="shared" si="39"/>
        <v>1.8823960014238257E-2</v>
      </c>
      <c r="AQ76" s="55">
        <f t="shared" si="40"/>
        <v>553488.37209302338</v>
      </c>
      <c r="AR76" s="55">
        <f t="shared" si="41"/>
        <v>672093.0232558141</v>
      </c>
      <c r="AS76" s="83">
        <f t="shared" si="25"/>
        <v>41</v>
      </c>
      <c r="AT76" s="50">
        <f t="shared" si="42"/>
        <v>7.18</v>
      </c>
      <c r="AU76" s="55" t="str">
        <f t="shared" si="43"/>
        <v>Medium</v>
      </c>
      <c r="AV76" s="34" t="s">
        <v>1515</v>
      </c>
      <c r="AW76" s="111"/>
      <c r="AX76" s="30" t="s">
        <v>1493</v>
      </c>
      <c r="AY76" s="30"/>
      <c r="AZ76" s="85" t="str">
        <f>IF(ISERROR(_xlfn.XLOOKUP(CONCATENATE(A76,"_",AV76),'Reference-Proof pt impact flag'!$I$3:$I$1048576,'Reference-Proof pt impact flag'!$G$3:$G$1048576)),"",_xlfn.XLOOKUP(CONCATENATE(A76,"_",AV76),'Reference-Proof pt impact flag'!$I$3:$I$1048576,'Reference-Proof pt impact flag'!$G$3:$G$1048576))</f>
        <v/>
      </c>
      <c r="BA76" s="74"/>
      <c r="BB76" s="74"/>
      <c r="BC76" s="74"/>
      <c r="BD76" s="74"/>
      <c r="BE76" s="74"/>
      <c r="BF76" s="74" t="e">
        <f>_xlfn.XLOOKUP(CONCATENATE(H76,"_",AV76),'Test 2 - Proof points - GPT5'!$T:$T,'Test 2 - Proof points - GPT5'!$S:$S)</f>
        <v>#N/A</v>
      </c>
      <c r="BG76" s="74" t="e">
        <f>_xlfn.XLOOKUP(CONCATENATE(H76,"_",AV76),'Test 2 -Proof points - Sonnet'!$AB:$AB,'Test 2 -Proof points - Sonnet'!$AA:$AA)</f>
        <v>#N/A</v>
      </c>
      <c r="BH76" s="74"/>
      <c r="BI76" s="74"/>
      <c r="BJ76" s="74" t="s">
        <v>1533</v>
      </c>
      <c r="BK76" s="30"/>
      <c r="BL76" s="30"/>
      <c r="BM76" s="30"/>
      <c r="BN76" s="30"/>
      <c r="BO76" s="30"/>
      <c r="BP76" s="30"/>
      <c r="BQ76" s="30"/>
      <c r="BR76" s="30"/>
      <c r="BS76" s="30"/>
      <c r="BT76" s="30"/>
      <c r="BU76" s="30"/>
      <c r="BV76" s="113"/>
    </row>
    <row r="77" spans="1:74" ht="217.5" hidden="1" x14ac:dyDescent="0.35">
      <c r="A77" s="22">
        <v>2</v>
      </c>
      <c r="B77" s="22" t="s">
        <v>1451</v>
      </c>
      <c r="C77" s="22" t="s">
        <v>1452</v>
      </c>
      <c r="D77" s="22" t="s">
        <v>1224</v>
      </c>
      <c r="E77" s="22" t="s">
        <v>1453</v>
      </c>
      <c r="F77" s="22"/>
      <c r="G77" s="22" t="s">
        <v>1274</v>
      </c>
      <c r="H77" s="21" t="s">
        <v>1289</v>
      </c>
      <c r="I77" s="22"/>
      <c r="J77" s="21" t="s">
        <v>1316</v>
      </c>
      <c r="K77" s="30"/>
      <c r="L77" s="35" t="s">
        <v>1288</v>
      </c>
      <c r="M77" s="35" t="str">
        <f>VLOOKUP(H77,'1_Value &amp; risk levers'!$H$9:$O$1048576,2,FALSE)</f>
        <v>Rarely used</v>
      </c>
      <c r="N77" s="35" t="str">
        <f>VLOOKUP(H77,'1_Value &amp; risk levers'!$H$9:$O$1048576,3,FALSE)</f>
        <v>Occasionally applied in negotiations, not a structured / defined approach for category managers to follow</v>
      </c>
      <c r="O77" s="35" t="str">
        <f>VLOOKUP(H77,'1_Value &amp; risk levers'!$H$9:$O$1048576,4,FALSE)</f>
        <v>Regular practice for most vegetable oils, but requires manual calculations / manual updates</v>
      </c>
      <c r="P77" s="35" t="str">
        <f>VLOOKUP(H77,'1_Value &amp; risk levers'!$H$9:$O$1048576,5,FALSE)</f>
        <v>Advanced/ automated modeling integrated into procurement tools</v>
      </c>
      <c r="Q77" s="77">
        <f>IF(VLOOKUP(H77,'1_Value &amp; risk levers'!$H$9:$T$1048576,13,FALSE)=0,"",VLOOKUP(H77,'1_Value &amp; risk levers'!$H$9:$T$1048576,13,FALSE))</f>
        <v>1</v>
      </c>
      <c r="R77" s="128">
        <f t="shared" si="22"/>
        <v>2</v>
      </c>
      <c r="S77" s="128" t="e">
        <f t="shared" si="23"/>
        <v>#DIV/0!</v>
      </c>
      <c r="T77" s="77"/>
      <c r="U77" s="77"/>
      <c r="V77" s="55"/>
      <c r="W77" s="71">
        <v>0.04</v>
      </c>
      <c r="X77" s="71">
        <v>0.1</v>
      </c>
      <c r="Y77" s="71">
        <f>VLOOKUP(H77,'1_Value &amp; risk levers'!$H$9:$O$1048576,8,FALSE)</f>
        <v>0.8</v>
      </c>
      <c r="Z77" s="51">
        <f t="shared" si="24"/>
        <v>7.0000000000000007E-2</v>
      </c>
      <c r="AA77" s="51">
        <f t="shared" si="26"/>
        <v>8.5000000000000006E-2</v>
      </c>
      <c r="AB77" s="55">
        <f t="shared" si="27"/>
        <v>2800000.0000000005</v>
      </c>
      <c r="AC77" s="55">
        <f t="shared" si="28"/>
        <v>3400000.0000000005</v>
      </c>
      <c r="AD77" s="80">
        <f t="shared" si="29"/>
        <v>7</v>
      </c>
      <c r="AE77" s="84">
        <f t="shared" si="30"/>
        <v>0.48864540816326468</v>
      </c>
      <c r="AF77" s="71" t="str">
        <f t="shared" si="31"/>
        <v>Low</v>
      </c>
      <c r="AG77" s="84">
        <f t="shared" si="32"/>
        <v>5.9772908163265304E-2</v>
      </c>
      <c r="AH77" s="84">
        <f t="shared" si="33"/>
        <v>9.5227091836734709E-2</v>
      </c>
      <c r="AI77" s="73">
        <f t="shared" si="34"/>
        <v>2390916.3265306121</v>
      </c>
      <c r="AJ77" s="73">
        <f t="shared" si="35"/>
        <v>3809083.6734693884</v>
      </c>
      <c r="AK77" s="46">
        <f>VLOOKUP(H77,'1_Value &amp; risk levers'!$H$9:$O$1048576,6,FALSE)</f>
        <v>0.02</v>
      </c>
      <c r="AL77" s="46">
        <f>VLOOKUP(H77,'1_Value &amp; risk levers'!$H$9:$O$1048576,7,FALSE)</f>
        <v>0.05</v>
      </c>
      <c r="AM77" s="50">
        <f t="shared" si="36"/>
        <v>4.2500000000000003E-2</v>
      </c>
      <c r="AN77" s="72">
        <f t="shared" si="37"/>
        <v>0.19767441860465118</v>
      </c>
      <c r="AO77" s="84">
        <f t="shared" si="38"/>
        <v>1.1815574869482677E-2</v>
      </c>
      <c r="AP77" s="84">
        <f t="shared" si="39"/>
        <v>1.8823960014238257E-2</v>
      </c>
      <c r="AQ77" s="55">
        <f t="shared" si="40"/>
        <v>553488.37209302338</v>
      </c>
      <c r="AR77" s="55">
        <f t="shared" si="41"/>
        <v>672093.0232558141</v>
      </c>
      <c r="AS77" s="83">
        <f t="shared" si="25"/>
        <v>41</v>
      </c>
      <c r="AT77" s="50">
        <f t="shared" si="42"/>
        <v>7.18</v>
      </c>
      <c r="AU77" s="55" t="str">
        <f t="shared" si="43"/>
        <v>Medium</v>
      </c>
      <c r="AV77" s="34" t="s">
        <v>1516</v>
      </c>
      <c r="AW77" s="111"/>
      <c r="AX77" s="30" t="s">
        <v>1493</v>
      </c>
      <c r="AY77" s="30"/>
      <c r="AZ77" s="85" t="str">
        <f>IF(ISERROR(_xlfn.XLOOKUP(CONCATENATE(A77,"_",AV77),'Reference-Proof pt impact flag'!$I$3:$I$1048576,'Reference-Proof pt impact flag'!$G$3:$G$1048576)),"",_xlfn.XLOOKUP(CONCATENATE(A77,"_",AV77),'Reference-Proof pt impact flag'!$I$3:$I$1048576,'Reference-Proof pt impact flag'!$G$3:$G$1048576))</f>
        <v/>
      </c>
      <c r="BA77" s="74"/>
      <c r="BB77" s="74"/>
      <c r="BC77" s="74"/>
      <c r="BD77" s="74"/>
      <c r="BE77" s="74"/>
      <c r="BF77" s="74" t="e">
        <f>_xlfn.XLOOKUP(CONCATENATE(H77,"_",AV77),'Test 2 - Proof points - GPT5'!$T:$T,'Test 2 - Proof points - GPT5'!$S:$S)</f>
        <v>#N/A</v>
      </c>
      <c r="BG77" s="74" t="e">
        <f>_xlfn.XLOOKUP(CONCATENATE(H77,"_",AV77),'Test 2 -Proof points - Sonnet'!$AB:$AB,'Test 2 -Proof points - Sonnet'!$AA:$AA)</f>
        <v>#N/A</v>
      </c>
      <c r="BH77" s="74"/>
      <c r="BI77" s="74"/>
      <c r="BJ77" s="74" t="s">
        <v>1533</v>
      </c>
      <c r="BK77" s="30"/>
      <c r="BL77" s="30"/>
      <c r="BM77" s="30"/>
      <c r="BN77" s="30"/>
      <c r="BO77" s="30"/>
      <c r="BP77" s="30"/>
      <c r="BQ77" s="30"/>
      <c r="BR77" s="30"/>
      <c r="BS77" s="30"/>
      <c r="BT77" s="30"/>
      <c r="BU77" s="30"/>
      <c r="BV77" s="113"/>
    </row>
    <row r="78" spans="1:74" ht="217.5" hidden="1" x14ac:dyDescent="0.35">
      <c r="A78" s="22">
        <v>2</v>
      </c>
      <c r="B78" s="22" t="s">
        <v>1451</v>
      </c>
      <c r="C78" s="22" t="s">
        <v>1452</v>
      </c>
      <c r="D78" s="22" t="s">
        <v>1224</v>
      </c>
      <c r="E78" s="22" t="s">
        <v>1453</v>
      </c>
      <c r="F78" s="22"/>
      <c r="G78" s="22" t="s">
        <v>1274</v>
      </c>
      <c r="H78" s="21" t="s">
        <v>1289</v>
      </c>
      <c r="I78" s="22"/>
      <c r="J78" s="21" t="s">
        <v>1316</v>
      </c>
      <c r="K78" s="30"/>
      <c r="L78" s="35" t="s">
        <v>1288</v>
      </c>
      <c r="M78" s="35" t="str">
        <f>VLOOKUP(H78,'1_Value &amp; risk levers'!$H$9:$O$1048576,2,FALSE)</f>
        <v>Rarely used</v>
      </c>
      <c r="N78" s="35" t="str">
        <f>VLOOKUP(H78,'1_Value &amp; risk levers'!$H$9:$O$1048576,3,FALSE)</f>
        <v>Occasionally applied in negotiations, not a structured / defined approach for category managers to follow</v>
      </c>
      <c r="O78" s="35" t="str">
        <f>VLOOKUP(H78,'1_Value &amp; risk levers'!$H$9:$O$1048576,4,FALSE)</f>
        <v>Regular practice for most vegetable oils, but requires manual calculations / manual updates</v>
      </c>
      <c r="P78" s="35" t="str">
        <f>VLOOKUP(H78,'1_Value &amp; risk levers'!$H$9:$O$1048576,5,FALSE)</f>
        <v>Advanced/ automated modeling integrated into procurement tools</v>
      </c>
      <c r="Q78" s="77">
        <f>IF(VLOOKUP(H78,'1_Value &amp; risk levers'!$H$9:$T$1048576,13,FALSE)=0,"",VLOOKUP(H78,'1_Value &amp; risk levers'!$H$9:$T$1048576,13,FALSE))</f>
        <v>1</v>
      </c>
      <c r="R78" s="128">
        <f t="shared" si="22"/>
        <v>2</v>
      </c>
      <c r="S78" s="128" t="e">
        <f t="shared" si="23"/>
        <v>#DIV/0!</v>
      </c>
      <c r="T78" s="77"/>
      <c r="U78" s="77"/>
      <c r="V78" s="55"/>
      <c r="W78" s="71">
        <v>0.04</v>
      </c>
      <c r="X78" s="71">
        <v>0.1</v>
      </c>
      <c r="Y78" s="71">
        <f>VLOOKUP(H78,'1_Value &amp; risk levers'!$H$9:$O$1048576,8,FALSE)</f>
        <v>0.8</v>
      </c>
      <c r="Z78" s="51">
        <f t="shared" si="24"/>
        <v>7.0000000000000007E-2</v>
      </c>
      <c r="AA78" s="51">
        <f t="shared" si="26"/>
        <v>8.5000000000000006E-2</v>
      </c>
      <c r="AB78" s="55">
        <f t="shared" si="27"/>
        <v>2800000.0000000005</v>
      </c>
      <c r="AC78" s="55">
        <f t="shared" si="28"/>
        <v>3400000.0000000005</v>
      </c>
      <c r="AD78" s="80">
        <f t="shared" si="29"/>
        <v>7</v>
      </c>
      <c r="AE78" s="84">
        <f t="shared" si="30"/>
        <v>0.48864540816326468</v>
      </c>
      <c r="AF78" s="71" t="str">
        <f t="shared" si="31"/>
        <v>Low</v>
      </c>
      <c r="AG78" s="84">
        <f t="shared" si="32"/>
        <v>5.9772908163265304E-2</v>
      </c>
      <c r="AH78" s="84">
        <f t="shared" si="33"/>
        <v>9.5227091836734709E-2</v>
      </c>
      <c r="AI78" s="73">
        <f t="shared" si="34"/>
        <v>2390916.3265306121</v>
      </c>
      <c r="AJ78" s="73">
        <f t="shared" si="35"/>
        <v>3809083.6734693884</v>
      </c>
      <c r="AK78" s="46">
        <f>VLOOKUP(H78,'1_Value &amp; risk levers'!$H$9:$O$1048576,6,FALSE)</f>
        <v>0.02</v>
      </c>
      <c r="AL78" s="46">
        <f>VLOOKUP(H78,'1_Value &amp; risk levers'!$H$9:$O$1048576,7,FALSE)</f>
        <v>0.05</v>
      </c>
      <c r="AM78" s="50">
        <f t="shared" si="36"/>
        <v>4.2500000000000003E-2</v>
      </c>
      <c r="AN78" s="72">
        <f t="shared" si="37"/>
        <v>0.19767441860465118</v>
      </c>
      <c r="AO78" s="84">
        <f t="shared" si="38"/>
        <v>1.1815574869482677E-2</v>
      </c>
      <c r="AP78" s="84">
        <f t="shared" si="39"/>
        <v>1.8823960014238257E-2</v>
      </c>
      <c r="AQ78" s="55">
        <f t="shared" si="40"/>
        <v>553488.37209302338</v>
      </c>
      <c r="AR78" s="55">
        <f t="shared" si="41"/>
        <v>672093.0232558141</v>
      </c>
      <c r="AS78" s="83">
        <f t="shared" si="25"/>
        <v>41</v>
      </c>
      <c r="AT78" s="50">
        <f t="shared" si="42"/>
        <v>7.18</v>
      </c>
      <c r="AU78" s="55" t="str">
        <f t="shared" si="43"/>
        <v>Medium</v>
      </c>
      <c r="AV78" s="34" t="s">
        <v>1517</v>
      </c>
      <c r="AW78" s="111"/>
      <c r="AX78" s="30" t="s">
        <v>1493</v>
      </c>
      <c r="AY78" s="30"/>
      <c r="AZ78" s="85" t="str">
        <f>IF(ISERROR(_xlfn.XLOOKUP(CONCATENATE(A78,"_",AV78),'Reference-Proof pt impact flag'!$I$3:$I$1048576,'Reference-Proof pt impact flag'!$G$3:$G$1048576)),"",_xlfn.XLOOKUP(CONCATENATE(A78,"_",AV78),'Reference-Proof pt impact flag'!$I$3:$I$1048576,'Reference-Proof pt impact flag'!$G$3:$G$1048576))</f>
        <v/>
      </c>
      <c r="BA78" s="74"/>
      <c r="BB78" s="74"/>
      <c r="BC78" s="74"/>
      <c r="BD78" s="74"/>
      <c r="BE78" s="74"/>
      <c r="BF78" s="74" t="e">
        <f>_xlfn.XLOOKUP(CONCATENATE(H78,"_",AV78),'Test 2 - Proof points - GPT5'!$T:$T,'Test 2 - Proof points - GPT5'!$S:$S)</f>
        <v>#N/A</v>
      </c>
      <c r="BG78" s="74" t="e">
        <f>_xlfn.XLOOKUP(CONCATENATE(H78,"_",AV78),'Test 2 -Proof points - Sonnet'!$AB:$AB,'Test 2 -Proof points - Sonnet'!$AA:$AA)</f>
        <v>#N/A</v>
      </c>
      <c r="BH78" s="74"/>
      <c r="BI78" s="74"/>
      <c r="BJ78" s="74" t="s">
        <v>1533</v>
      </c>
      <c r="BK78" s="30"/>
      <c r="BL78" s="30"/>
      <c r="BM78" s="30"/>
      <c r="BN78" s="30"/>
      <c r="BO78" s="30"/>
      <c r="BP78" s="30"/>
      <c r="BQ78" s="30"/>
      <c r="BR78" s="30"/>
      <c r="BS78" s="30"/>
      <c r="BT78" s="30"/>
      <c r="BU78" s="30"/>
      <c r="BV78" s="113"/>
    </row>
    <row r="79" spans="1:74" ht="217.5" hidden="1" x14ac:dyDescent="0.35">
      <c r="A79" s="22">
        <v>2</v>
      </c>
      <c r="B79" s="22" t="s">
        <v>1451</v>
      </c>
      <c r="C79" s="22" t="s">
        <v>1452</v>
      </c>
      <c r="D79" s="22" t="s">
        <v>1224</v>
      </c>
      <c r="E79" s="22" t="s">
        <v>1453</v>
      </c>
      <c r="F79" s="22"/>
      <c r="G79" s="22" t="s">
        <v>1274</v>
      </c>
      <c r="H79" s="21" t="s">
        <v>1289</v>
      </c>
      <c r="I79" s="22"/>
      <c r="J79" s="21" t="s">
        <v>1316</v>
      </c>
      <c r="K79" s="30"/>
      <c r="L79" s="35" t="s">
        <v>1288</v>
      </c>
      <c r="M79" s="35" t="str">
        <f>VLOOKUP(H79,'1_Value &amp; risk levers'!$H$9:$O$1048576,2,FALSE)</f>
        <v>Rarely used</v>
      </c>
      <c r="N79" s="35" t="str">
        <f>VLOOKUP(H79,'1_Value &amp; risk levers'!$H$9:$O$1048576,3,FALSE)</f>
        <v>Occasionally applied in negotiations, not a structured / defined approach for category managers to follow</v>
      </c>
      <c r="O79" s="35" t="str">
        <f>VLOOKUP(H79,'1_Value &amp; risk levers'!$H$9:$O$1048576,4,FALSE)</f>
        <v>Regular practice for most vegetable oils, but requires manual calculations / manual updates</v>
      </c>
      <c r="P79" s="35" t="str">
        <f>VLOOKUP(H79,'1_Value &amp; risk levers'!$H$9:$O$1048576,5,FALSE)</f>
        <v>Advanced/ automated modeling integrated into procurement tools</v>
      </c>
      <c r="Q79" s="77">
        <f>IF(VLOOKUP(H79,'1_Value &amp; risk levers'!$H$9:$T$1048576,13,FALSE)=0,"",VLOOKUP(H79,'1_Value &amp; risk levers'!$H$9:$T$1048576,13,FALSE))</f>
        <v>1</v>
      </c>
      <c r="R79" s="128">
        <f t="shared" si="22"/>
        <v>2</v>
      </c>
      <c r="S79" s="128" t="e">
        <f t="shared" si="23"/>
        <v>#DIV/0!</v>
      </c>
      <c r="T79" s="77"/>
      <c r="U79" s="77"/>
      <c r="V79" s="55"/>
      <c r="W79" s="71">
        <v>0.04</v>
      </c>
      <c r="X79" s="71">
        <v>0.1</v>
      </c>
      <c r="Y79" s="71">
        <f>VLOOKUP(H79,'1_Value &amp; risk levers'!$H$9:$O$1048576,8,FALSE)</f>
        <v>0.8</v>
      </c>
      <c r="Z79" s="51">
        <f t="shared" si="24"/>
        <v>7.0000000000000007E-2</v>
      </c>
      <c r="AA79" s="51">
        <f t="shared" si="26"/>
        <v>8.5000000000000006E-2</v>
      </c>
      <c r="AB79" s="55">
        <f t="shared" si="27"/>
        <v>2800000.0000000005</v>
      </c>
      <c r="AC79" s="55">
        <f t="shared" si="28"/>
        <v>3400000.0000000005</v>
      </c>
      <c r="AD79" s="80">
        <f t="shared" si="29"/>
        <v>7</v>
      </c>
      <c r="AE79" s="84">
        <f t="shared" si="30"/>
        <v>0.48864540816326468</v>
      </c>
      <c r="AF79" s="71" t="str">
        <f t="shared" si="31"/>
        <v>Low</v>
      </c>
      <c r="AG79" s="84">
        <f t="shared" si="32"/>
        <v>5.9772908163265304E-2</v>
      </c>
      <c r="AH79" s="84">
        <f t="shared" si="33"/>
        <v>9.5227091836734709E-2</v>
      </c>
      <c r="AI79" s="73">
        <f t="shared" si="34"/>
        <v>2390916.3265306121</v>
      </c>
      <c r="AJ79" s="73">
        <f t="shared" si="35"/>
        <v>3809083.6734693884</v>
      </c>
      <c r="AK79" s="46">
        <f>VLOOKUP(H79,'1_Value &amp; risk levers'!$H$9:$O$1048576,6,FALSE)</f>
        <v>0.02</v>
      </c>
      <c r="AL79" s="46">
        <f>VLOOKUP(H79,'1_Value &amp; risk levers'!$H$9:$O$1048576,7,FALSE)</f>
        <v>0.05</v>
      </c>
      <c r="AM79" s="50">
        <f t="shared" si="36"/>
        <v>4.2500000000000003E-2</v>
      </c>
      <c r="AN79" s="72">
        <f t="shared" si="37"/>
        <v>0.19767441860465118</v>
      </c>
      <c r="AO79" s="84">
        <f t="shared" si="38"/>
        <v>1.1815574869482677E-2</v>
      </c>
      <c r="AP79" s="84">
        <f t="shared" si="39"/>
        <v>1.8823960014238257E-2</v>
      </c>
      <c r="AQ79" s="55">
        <f t="shared" si="40"/>
        <v>553488.37209302338</v>
      </c>
      <c r="AR79" s="55">
        <f t="shared" si="41"/>
        <v>672093.0232558141</v>
      </c>
      <c r="AS79" s="83">
        <f t="shared" si="25"/>
        <v>41</v>
      </c>
      <c r="AT79" s="50">
        <f t="shared" si="42"/>
        <v>7.18</v>
      </c>
      <c r="AU79" s="55" t="str">
        <f t="shared" si="43"/>
        <v>Medium</v>
      </c>
      <c r="AV79" s="34" t="s">
        <v>1524</v>
      </c>
      <c r="AW79" s="111"/>
      <c r="AX79" s="30" t="s">
        <v>1493</v>
      </c>
      <c r="AY79" s="30"/>
      <c r="AZ79" s="85" t="str">
        <f>IF(ISERROR(_xlfn.XLOOKUP(CONCATENATE(A79,"_",AV79),'Reference-Proof pt impact flag'!$I$3:$I$1048576,'Reference-Proof pt impact flag'!$G$3:$G$1048576)),"",_xlfn.XLOOKUP(CONCATENATE(A79,"_",AV79),'Reference-Proof pt impact flag'!$I$3:$I$1048576,'Reference-Proof pt impact flag'!$G$3:$G$1048576))</f>
        <v/>
      </c>
      <c r="BA79" s="74"/>
      <c r="BB79" s="74"/>
      <c r="BC79" s="74"/>
      <c r="BD79" s="74"/>
      <c r="BE79" s="74"/>
      <c r="BF79" s="74" t="e">
        <f>_xlfn.XLOOKUP(CONCATENATE(H79,"_",AV79),'Test 2 - Proof points - GPT5'!$T:$T,'Test 2 - Proof points - GPT5'!$S:$S)</f>
        <v>#N/A</v>
      </c>
      <c r="BG79" s="74" t="e">
        <f>_xlfn.XLOOKUP(CONCATENATE(H79,"_",AV79),'Test 2 -Proof points - Sonnet'!$AB:$AB,'Test 2 -Proof points - Sonnet'!$AA:$AA)</f>
        <v>#N/A</v>
      </c>
      <c r="BH79" s="74"/>
      <c r="BI79" s="74"/>
      <c r="BJ79" s="74" t="s">
        <v>1533</v>
      </c>
      <c r="BK79" s="30"/>
      <c r="BL79" s="30"/>
      <c r="BM79" s="30"/>
      <c r="BN79" s="30"/>
      <c r="BO79" s="30"/>
      <c r="BP79" s="30"/>
      <c r="BQ79" s="30"/>
      <c r="BR79" s="30"/>
      <c r="BS79" s="30"/>
      <c r="BT79" s="30"/>
      <c r="BU79" s="30"/>
      <c r="BV79" s="113"/>
    </row>
    <row r="80" spans="1:74" ht="217.5" hidden="1" x14ac:dyDescent="0.35">
      <c r="A80" s="22">
        <v>2</v>
      </c>
      <c r="B80" s="22" t="s">
        <v>1451</v>
      </c>
      <c r="C80" s="22" t="s">
        <v>1452</v>
      </c>
      <c r="D80" s="22" t="s">
        <v>1224</v>
      </c>
      <c r="E80" s="22" t="s">
        <v>1453</v>
      </c>
      <c r="F80" s="22"/>
      <c r="G80" s="22" t="s">
        <v>1274</v>
      </c>
      <c r="H80" s="21" t="s">
        <v>1289</v>
      </c>
      <c r="I80" s="22"/>
      <c r="J80" s="21" t="s">
        <v>1316</v>
      </c>
      <c r="K80" s="30"/>
      <c r="L80" s="35" t="s">
        <v>1288</v>
      </c>
      <c r="M80" s="35" t="str">
        <f>VLOOKUP(H80,'1_Value &amp; risk levers'!$H$9:$O$1048576,2,FALSE)</f>
        <v>Rarely used</v>
      </c>
      <c r="N80" s="35" t="str">
        <f>VLOOKUP(H80,'1_Value &amp; risk levers'!$H$9:$O$1048576,3,FALSE)</f>
        <v>Occasionally applied in negotiations, not a structured / defined approach for category managers to follow</v>
      </c>
      <c r="O80" s="35" t="str">
        <f>VLOOKUP(H80,'1_Value &amp; risk levers'!$H$9:$O$1048576,4,FALSE)</f>
        <v>Regular practice for most vegetable oils, but requires manual calculations / manual updates</v>
      </c>
      <c r="P80" s="35" t="str">
        <f>VLOOKUP(H80,'1_Value &amp; risk levers'!$H$9:$O$1048576,5,FALSE)</f>
        <v>Advanced/ automated modeling integrated into procurement tools</v>
      </c>
      <c r="Q80" s="77">
        <f>IF(VLOOKUP(H80,'1_Value &amp; risk levers'!$H$9:$T$1048576,13,FALSE)=0,"",VLOOKUP(H80,'1_Value &amp; risk levers'!$H$9:$T$1048576,13,FALSE))</f>
        <v>1</v>
      </c>
      <c r="R80" s="128">
        <f t="shared" si="22"/>
        <v>2</v>
      </c>
      <c r="S80" s="128" t="e">
        <f t="shared" si="23"/>
        <v>#DIV/0!</v>
      </c>
      <c r="T80" s="77"/>
      <c r="U80" s="77"/>
      <c r="V80" s="55"/>
      <c r="W80" s="71">
        <v>0.04</v>
      </c>
      <c r="X80" s="71">
        <v>0.1</v>
      </c>
      <c r="Y80" s="71">
        <f>VLOOKUP(H80,'1_Value &amp; risk levers'!$H$9:$O$1048576,8,FALSE)</f>
        <v>0.8</v>
      </c>
      <c r="Z80" s="51">
        <f t="shared" si="24"/>
        <v>7.0000000000000007E-2</v>
      </c>
      <c r="AA80" s="51">
        <f t="shared" si="26"/>
        <v>8.5000000000000006E-2</v>
      </c>
      <c r="AB80" s="55">
        <f t="shared" si="27"/>
        <v>2800000.0000000005</v>
      </c>
      <c r="AC80" s="55">
        <f t="shared" si="28"/>
        <v>3400000.0000000005</v>
      </c>
      <c r="AD80" s="80">
        <f t="shared" si="29"/>
        <v>7</v>
      </c>
      <c r="AE80" s="84">
        <f t="shared" si="30"/>
        <v>0.48864540816326468</v>
      </c>
      <c r="AF80" s="71" t="str">
        <f t="shared" si="31"/>
        <v>Low</v>
      </c>
      <c r="AG80" s="84">
        <f t="shared" si="32"/>
        <v>5.9772908163265304E-2</v>
      </c>
      <c r="AH80" s="84">
        <f t="shared" si="33"/>
        <v>9.5227091836734709E-2</v>
      </c>
      <c r="AI80" s="73">
        <f t="shared" si="34"/>
        <v>2390916.3265306121</v>
      </c>
      <c r="AJ80" s="73">
        <f t="shared" si="35"/>
        <v>3809083.6734693884</v>
      </c>
      <c r="AK80" s="46">
        <f>VLOOKUP(H80,'1_Value &amp; risk levers'!$H$9:$O$1048576,6,FALSE)</f>
        <v>0.02</v>
      </c>
      <c r="AL80" s="46">
        <f>VLOOKUP(H80,'1_Value &amp; risk levers'!$H$9:$O$1048576,7,FALSE)</f>
        <v>0.05</v>
      </c>
      <c r="AM80" s="50">
        <f t="shared" si="36"/>
        <v>4.2500000000000003E-2</v>
      </c>
      <c r="AN80" s="72">
        <f t="shared" si="37"/>
        <v>0.19767441860465118</v>
      </c>
      <c r="AO80" s="84">
        <f t="shared" si="38"/>
        <v>1.1815574869482677E-2</v>
      </c>
      <c r="AP80" s="84">
        <f t="shared" si="39"/>
        <v>1.8823960014238257E-2</v>
      </c>
      <c r="AQ80" s="55">
        <f t="shared" si="40"/>
        <v>553488.37209302338</v>
      </c>
      <c r="AR80" s="55">
        <f t="shared" si="41"/>
        <v>672093.0232558141</v>
      </c>
      <c r="AS80" s="83">
        <f t="shared" si="25"/>
        <v>41</v>
      </c>
      <c r="AT80" s="50">
        <f t="shared" si="42"/>
        <v>7.18</v>
      </c>
      <c r="AU80" s="55" t="str">
        <f t="shared" si="43"/>
        <v>Medium</v>
      </c>
      <c r="AV80" s="34" t="s">
        <v>1528</v>
      </c>
      <c r="AW80" s="111"/>
      <c r="AX80" s="30" t="s">
        <v>1493</v>
      </c>
      <c r="AY80" s="30"/>
      <c r="AZ80" s="85" t="str">
        <f>IF(ISERROR(_xlfn.XLOOKUP(CONCATENATE(A80,"_",AV80),'Reference-Proof pt impact flag'!$I$3:$I$1048576,'Reference-Proof pt impact flag'!$G$3:$G$1048576)),"",_xlfn.XLOOKUP(CONCATENATE(A80,"_",AV80),'Reference-Proof pt impact flag'!$I$3:$I$1048576,'Reference-Proof pt impact flag'!$G$3:$G$1048576))</f>
        <v/>
      </c>
      <c r="BA80" s="74"/>
      <c r="BB80" s="74"/>
      <c r="BC80" s="74"/>
      <c r="BD80" s="74"/>
      <c r="BE80" s="74"/>
      <c r="BF80" s="74" t="e">
        <f>_xlfn.XLOOKUP(CONCATENATE(H80,"_",AV80),'Test 2 - Proof points - GPT5'!$T:$T,'Test 2 - Proof points - GPT5'!$S:$S)</f>
        <v>#N/A</v>
      </c>
      <c r="BG80" s="74" t="e">
        <f>_xlfn.XLOOKUP(CONCATENATE(H80,"_",AV80),'Test 2 -Proof points - Sonnet'!$AB:$AB,'Test 2 -Proof points - Sonnet'!$AA:$AA)</f>
        <v>#N/A</v>
      </c>
      <c r="BH80" s="74"/>
      <c r="BI80" s="74"/>
      <c r="BJ80" s="74" t="s">
        <v>1533</v>
      </c>
      <c r="BK80" s="30"/>
      <c r="BL80" s="30"/>
      <c r="BM80" s="30"/>
      <c r="BN80" s="30"/>
      <c r="BO80" s="30"/>
      <c r="BP80" s="30"/>
      <c r="BQ80" s="30"/>
      <c r="BR80" s="30"/>
      <c r="BS80" s="30"/>
      <c r="BT80" s="30"/>
      <c r="BU80" s="30"/>
      <c r="BV80" s="113"/>
    </row>
    <row r="81" spans="1:74" ht="217.5" hidden="1" x14ac:dyDescent="0.35">
      <c r="A81" s="22">
        <v>2</v>
      </c>
      <c r="B81" s="22" t="s">
        <v>1451</v>
      </c>
      <c r="C81" s="22" t="s">
        <v>1452</v>
      </c>
      <c r="D81" s="22" t="s">
        <v>1224</v>
      </c>
      <c r="E81" s="22" t="s">
        <v>1453</v>
      </c>
      <c r="F81" s="22"/>
      <c r="G81" s="22" t="s">
        <v>1274</v>
      </c>
      <c r="H81" s="21" t="s">
        <v>1289</v>
      </c>
      <c r="I81" s="22"/>
      <c r="J81" s="21" t="s">
        <v>1316</v>
      </c>
      <c r="K81" s="30"/>
      <c r="L81" s="35" t="s">
        <v>1288</v>
      </c>
      <c r="M81" s="35" t="str">
        <f>VLOOKUP(H81,'1_Value &amp; risk levers'!$H$9:$O$1048576,2,FALSE)</f>
        <v>Rarely used</v>
      </c>
      <c r="N81" s="35" t="str">
        <f>VLOOKUP(H81,'1_Value &amp; risk levers'!$H$9:$O$1048576,3,FALSE)</f>
        <v>Occasionally applied in negotiations, not a structured / defined approach for category managers to follow</v>
      </c>
      <c r="O81" s="35" t="str">
        <f>VLOOKUP(H81,'1_Value &amp; risk levers'!$H$9:$O$1048576,4,FALSE)</f>
        <v>Regular practice for most vegetable oils, but requires manual calculations / manual updates</v>
      </c>
      <c r="P81" s="35" t="str">
        <f>VLOOKUP(H81,'1_Value &amp; risk levers'!$H$9:$O$1048576,5,FALSE)</f>
        <v>Advanced/ automated modeling integrated into procurement tools</v>
      </c>
      <c r="Q81" s="77">
        <f>IF(VLOOKUP(H81,'1_Value &amp; risk levers'!$H$9:$T$1048576,13,FALSE)=0,"",VLOOKUP(H81,'1_Value &amp; risk levers'!$H$9:$T$1048576,13,FALSE))</f>
        <v>1</v>
      </c>
      <c r="R81" s="128">
        <f t="shared" si="22"/>
        <v>2</v>
      </c>
      <c r="S81" s="128" t="e">
        <f t="shared" si="23"/>
        <v>#DIV/0!</v>
      </c>
      <c r="T81" s="77"/>
      <c r="U81" s="77"/>
      <c r="V81" s="55"/>
      <c r="W81" s="71">
        <v>0.04</v>
      </c>
      <c r="X81" s="71">
        <v>0.1</v>
      </c>
      <c r="Y81" s="71">
        <f>VLOOKUP(H81,'1_Value &amp; risk levers'!$H$9:$O$1048576,8,FALSE)</f>
        <v>0.8</v>
      </c>
      <c r="Z81" s="51">
        <f t="shared" si="24"/>
        <v>7.0000000000000007E-2</v>
      </c>
      <c r="AA81" s="51">
        <f t="shared" si="26"/>
        <v>8.5000000000000006E-2</v>
      </c>
      <c r="AB81" s="55">
        <f t="shared" si="27"/>
        <v>2800000.0000000005</v>
      </c>
      <c r="AC81" s="55">
        <f t="shared" si="28"/>
        <v>3400000.0000000005</v>
      </c>
      <c r="AD81" s="80">
        <f t="shared" si="29"/>
        <v>7</v>
      </c>
      <c r="AE81" s="84">
        <f t="shared" si="30"/>
        <v>0.48864540816326468</v>
      </c>
      <c r="AF81" s="71" t="str">
        <f t="shared" si="31"/>
        <v>Low</v>
      </c>
      <c r="AG81" s="84">
        <f t="shared" si="32"/>
        <v>5.9772908163265304E-2</v>
      </c>
      <c r="AH81" s="84">
        <f t="shared" si="33"/>
        <v>9.5227091836734709E-2</v>
      </c>
      <c r="AI81" s="73">
        <f t="shared" si="34"/>
        <v>2390916.3265306121</v>
      </c>
      <c r="AJ81" s="73">
        <f t="shared" si="35"/>
        <v>3809083.6734693884</v>
      </c>
      <c r="AK81" s="46">
        <f>VLOOKUP(H81,'1_Value &amp; risk levers'!$H$9:$O$1048576,6,FALSE)</f>
        <v>0.02</v>
      </c>
      <c r="AL81" s="46">
        <f>VLOOKUP(H81,'1_Value &amp; risk levers'!$H$9:$O$1048576,7,FALSE)</f>
        <v>0.05</v>
      </c>
      <c r="AM81" s="50">
        <f t="shared" si="36"/>
        <v>4.2500000000000003E-2</v>
      </c>
      <c r="AN81" s="72">
        <f t="shared" si="37"/>
        <v>0.19767441860465118</v>
      </c>
      <c r="AO81" s="84">
        <f t="shared" si="38"/>
        <v>1.1815574869482677E-2</v>
      </c>
      <c r="AP81" s="84">
        <f t="shared" si="39"/>
        <v>1.8823960014238257E-2</v>
      </c>
      <c r="AQ81" s="55">
        <f t="shared" si="40"/>
        <v>553488.37209302338</v>
      </c>
      <c r="AR81" s="55">
        <f t="shared" si="41"/>
        <v>672093.0232558141</v>
      </c>
      <c r="AS81" s="83">
        <f t="shared" si="25"/>
        <v>41</v>
      </c>
      <c r="AT81" s="50">
        <f t="shared" si="42"/>
        <v>7.18</v>
      </c>
      <c r="AU81" s="55" t="str">
        <f t="shared" si="43"/>
        <v>Medium</v>
      </c>
      <c r="AV81" s="34" t="s">
        <v>1529</v>
      </c>
      <c r="AW81" s="111"/>
      <c r="AX81" s="30" t="s">
        <v>1493</v>
      </c>
      <c r="AY81" s="30"/>
      <c r="AZ81" s="85" t="str">
        <f>IF(ISERROR(_xlfn.XLOOKUP(CONCATENATE(A81,"_",AV81),'Reference-Proof pt impact flag'!$I$3:$I$1048576,'Reference-Proof pt impact flag'!$G$3:$G$1048576)),"",_xlfn.XLOOKUP(CONCATENATE(A81,"_",AV81),'Reference-Proof pt impact flag'!$I$3:$I$1048576,'Reference-Proof pt impact flag'!$G$3:$G$1048576))</f>
        <v/>
      </c>
      <c r="BA81" s="74"/>
      <c r="BB81" s="74"/>
      <c r="BC81" s="74"/>
      <c r="BD81" s="74"/>
      <c r="BE81" s="74"/>
      <c r="BF81" s="74" t="e">
        <f>_xlfn.XLOOKUP(CONCATENATE(H81,"_",AV81),'Test 2 - Proof points - GPT5'!$T:$T,'Test 2 - Proof points - GPT5'!$S:$S)</f>
        <v>#N/A</v>
      </c>
      <c r="BG81" s="74" t="e">
        <f>_xlfn.XLOOKUP(CONCATENATE(H81,"_",AV81),'Test 2 -Proof points - Sonnet'!$AB:$AB,'Test 2 -Proof points - Sonnet'!$AA:$AA)</f>
        <v>#N/A</v>
      </c>
      <c r="BH81" s="74"/>
      <c r="BI81" s="74"/>
      <c r="BJ81" s="74" t="s">
        <v>1533</v>
      </c>
      <c r="BK81" s="30"/>
      <c r="BL81" s="30"/>
      <c r="BM81" s="30"/>
      <c r="BN81" s="30"/>
      <c r="BO81" s="30"/>
      <c r="BP81" s="30"/>
      <c r="BQ81" s="30"/>
      <c r="BR81" s="30"/>
      <c r="BS81" s="30"/>
      <c r="BT81" s="30"/>
      <c r="BU81" s="30"/>
      <c r="BV81" s="113"/>
    </row>
    <row r="82" spans="1:74" ht="217.5" hidden="1" x14ac:dyDescent="0.35">
      <c r="A82" s="22">
        <v>2</v>
      </c>
      <c r="B82" s="22" t="s">
        <v>1451</v>
      </c>
      <c r="C82" s="22" t="s">
        <v>1452</v>
      </c>
      <c r="D82" s="22" t="s">
        <v>1224</v>
      </c>
      <c r="E82" s="22" t="s">
        <v>1453</v>
      </c>
      <c r="F82" s="22"/>
      <c r="G82" s="22" t="s">
        <v>1274</v>
      </c>
      <c r="H82" s="21" t="s">
        <v>1289</v>
      </c>
      <c r="I82" s="22"/>
      <c r="J82" s="21" t="s">
        <v>1316</v>
      </c>
      <c r="K82" s="30"/>
      <c r="L82" s="35" t="s">
        <v>1288</v>
      </c>
      <c r="M82" s="35" t="str">
        <f>VLOOKUP(H82,'1_Value &amp; risk levers'!$H$9:$O$1048576,2,FALSE)</f>
        <v>Rarely used</v>
      </c>
      <c r="N82" s="35" t="str">
        <f>VLOOKUP(H82,'1_Value &amp; risk levers'!$H$9:$O$1048576,3,FALSE)</f>
        <v>Occasionally applied in negotiations, not a structured / defined approach for category managers to follow</v>
      </c>
      <c r="O82" s="35" t="str">
        <f>VLOOKUP(H82,'1_Value &amp; risk levers'!$H$9:$O$1048576,4,FALSE)</f>
        <v>Regular practice for most vegetable oils, but requires manual calculations / manual updates</v>
      </c>
      <c r="P82" s="35" t="str">
        <f>VLOOKUP(H82,'1_Value &amp; risk levers'!$H$9:$O$1048576,5,FALSE)</f>
        <v>Advanced/ automated modeling integrated into procurement tools</v>
      </c>
      <c r="Q82" s="77">
        <f>IF(VLOOKUP(H82,'1_Value &amp; risk levers'!$H$9:$T$1048576,13,FALSE)=0,"",VLOOKUP(H82,'1_Value &amp; risk levers'!$H$9:$T$1048576,13,FALSE))</f>
        <v>1</v>
      </c>
      <c r="R82" s="128">
        <f t="shared" si="22"/>
        <v>2</v>
      </c>
      <c r="S82" s="128" t="e">
        <f t="shared" si="23"/>
        <v>#DIV/0!</v>
      </c>
      <c r="T82" s="77"/>
      <c r="U82" s="77"/>
      <c r="V82" s="55"/>
      <c r="W82" s="71">
        <v>0.04</v>
      </c>
      <c r="X82" s="71">
        <v>0.1</v>
      </c>
      <c r="Y82" s="71">
        <f>VLOOKUP(H82,'1_Value &amp; risk levers'!$H$9:$O$1048576,8,FALSE)</f>
        <v>0.8</v>
      </c>
      <c r="Z82" s="51">
        <f t="shared" si="24"/>
        <v>7.0000000000000007E-2</v>
      </c>
      <c r="AA82" s="51">
        <f t="shared" si="26"/>
        <v>8.5000000000000006E-2</v>
      </c>
      <c r="AB82" s="55">
        <f t="shared" si="27"/>
        <v>2800000.0000000005</v>
      </c>
      <c r="AC82" s="55">
        <f t="shared" si="28"/>
        <v>3400000.0000000005</v>
      </c>
      <c r="AD82" s="80">
        <f t="shared" si="29"/>
        <v>7</v>
      </c>
      <c r="AE82" s="84">
        <f t="shared" si="30"/>
        <v>0.48864540816326468</v>
      </c>
      <c r="AF82" s="71" t="str">
        <f t="shared" si="31"/>
        <v>Low</v>
      </c>
      <c r="AG82" s="84">
        <f t="shared" si="32"/>
        <v>5.9772908163265304E-2</v>
      </c>
      <c r="AH82" s="84">
        <f t="shared" si="33"/>
        <v>9.5227091836734709E-2</v>
      </c>
      <c r="AI82" s="73">
        <f t="shared" si="34"/>
        <v>2390916.3265306121</v>
      </c>
      <c r="AJ82" s="73">
        <f t="shared" si="35"/>
        <v>3809083.6734693884</v>
      </c>
      <c r="AK82" s="46">
        <f>VLOOKUP(H82,'1_Value &amp; risk levers'!$H$9:$O$1048576,6,FALSE)</f>
        <v>0.02</v>
      </c>
      <c r="AL82" s="46">
        <f>VLOOKUP(H82,'1_Value &amp; risk levers'!$H$9:$O$1048576,7,FALSE)</f>
        <v>0.05</v>
      </c>
      <c r="AM82" s="50">
        <f t="shared" si="36"/>
        <v>4.2500000000000003E-2</v>
      </c>
      <c r="AN82" s="72">
        <f t="shared" si="37"/>
        <v>0.19767441860465118</v>
      </c>
      <c r="AO82" s="84">
        <f t="shared" si="38"/>
        <v>1.1815574869482677E-2</v>
      </c>
      <c r="AP82" s="84">
        <f t="shared" si="39"/>
        <v>1.8823960014238257E-2</v>
      </c>
      <c r="AQ82" s="55">
        <f t="shared" si="40"/>
        <v>553488.37209302338</v>
      </c>
      <c r="AR82" s="55">
        <f t="shared" si="41"/>
        <v>672093.0232558141</v>
      </c>
      <c r="AS82" s="83">
        <f t="shared" si="25"/>
        <v>41</v>
      </c>
      <c r="AT82" s="50">
        <f t="shared" si="42"/>
        <v>7.18</v>
      </c>
      <c r="AU82" s="55" t="str">
        <f t="shared" si="43"/>
        <v>Medium</v>
      </c>
      <c r="AV82" s="34" t="s">
        <v>1530</v>
      </c>
      <c r="AW82" s="111"/>
      <c r="AX82" s="30" t="s">
        <v>1493</v>
      </c>
      <c r="AY82" s="30"/>
      <c r="AZ82" s="85" t="str">
        <f>IF(ISERROR(_xlfn.XLOOKUP(CONCATENATE(A82,"_",AV82),'Reference-Proof pt impact flag'!$I$3:$I$1048576,'Reference-Proof pt impact flag'!$G$3:$G$1048576)),"",_xlfn.XLOOKUP(CONCATENATE(A82,"_",AV82),'Reference-Proof pt impact flag'!$I$3:$I$1048576,'Reference-Proof pt impact flag'!$G$3:$G$1048576))</f>
        <v/>
      </c>
      <c r="BA82" s="74"/>
      <c r="BB82" s="74"/>
      <c r="BC82" s="74"/>
      <c r="BD82" s="74"/>
      <c r="BE82" s="74"/>
      <c r="BF82" s="74" t="e">
        <f>_xlfn.XLOOKUP(CONCATENATE(H82,"_",AV82),'Test 2 - Proof points - GPT5'!$T:$T,'Test 2 - Proof points - GPT5'!$S:$S)</f>
        <v>#N/A</v>
      </c>
      <c r="BG82" s="74" t="e">
        <f>_xlfn.XLOOKUP(CONCATENATE(H82,"_",AV82),'Test 2 -Proof points - Sonnet'!$AB:$AB,'Test 2 -Proof points - Sonnet'!$AA:$AA)</f>
        <v>#N/A</v>
      </c>
      <c r="BH82" s="74"/>
      <c r="BI82" s="74"/>
      <c r="BJ82" s="74" t="s">
        <v>1533</v>
      </c>
      <c r="BK82" s="30"/>
      <c r="BL82" s="30"/>
      <c r="BM82" s="30"/>
      <c r="BN82" s="30"/>
      <c r="BO82" s="30"/>
      <c r="BP82" s="30"/>
      <c r="BQ82" s="30"/>
      <c r="BR82" s="30"/>
      <c r="BS82" s="30"/>
      <c r="BT82" s="30"/>
      <c r="BU82" s="30"/>
      <c r="BV82" s="113"/>
    </row>
    <row r="83" spans="1:74" ht="217.5" hidden="1" x14ac:dyDescent="0.35">
      <c r="A83" s="22">
        <v>2</v>
      </c>
      <c r="B83" s="22" t="s">
        <v>1451</v>
      </c>
      <c r="C83" s="22" t="s">
        <v>1452</v>
      </c>
      <c r="D83" s="22" t="s">
        <v>1224</v>
      </c>
      <c r="E83" s="22" t="s">
        <v>1453</v>
      </c>
      <c r="F83" s="22"/>
      <c r="G83" s="22" t="s">
        <v>1274</v>
      </c>
      <c r="H83" s="21" t="s">
        <v>1289</v>
      </c>
      <c r="I83" s="22"/>
      <c r="J83" s="21" t="s">
        <v>1316</v>
      </c>
      <c r="K83" s="30"/>
      <c r="L83" s="35" t="s">
        <v>1288</v>
      </c>
      <c r="M83" s="35" t="str">
        <f>VLOOKUP(H83,'1_Value &amp; risk levers'!$H$9:$O$1048576,2,FALSE)</f>
        <v>Rarely used</v>
      </c>
      <c r="N83" s="35" t="str">
        <f>VLOOKUP(H83,'1_Value &amp; risk levers'!$H$9:$O$1048576,3,FALSE)</f>
        <v>Occasionally applied in negotiations, not a structured / defined approach for category managers to follow</v>
      </c>
      <c r="O83" s="35" t="str">
        <f>VLOOKUP(H83,'1_Value &amp; risk levers'!$H$9:$O$1048576,4,FALSE)</f>
        <v>Regular practice for most vegetable oils, but requires manual calculations / manual updates</v>
      </c>
      <c r="P83" s="35" t="str">
        <f>VLOOKUP(H83,'1_Value &amp; risk levers'!$H$9:$O$1048576,5,FALSE)</f>
        <v>Advanced/ automated modeling integrated into procurement tools</v>
      </c>
      <c r="Q83" s="77">
        <f>IF(VLOOKUP(H83,'1_Value &amp; risk levers'!$H$9:$T$1048576,13,FALSE)=0,"",VLOOKUP(H83,'1_Value &amp; risk levers'!$H$9:$T$1048576,13,FALSE))</f>
        <v>1</v>
      </c>
      <c r="R83" s="128">
        <f t="shared" si="22"/>
        <v>2</v>
      </c>
      <c r="S83" s="128" t="e">
        <f t="shared" si="23"/>
        <v>#DIV/0!</v>
      </c>
      <c r="T83" s="77"/>
      <c r="U83" s="77"/>
      <c r="V83" s="55"/>
      <c r="W83" s="71">
        <v>0.04</v>
      </c>
      <c r="X83" s="71">
        <v>0.1</v>
      </c>
      <c r="Y83" s="71">
        <f>VLOOKUP(H83,'1_Value &amp; risk levers'!$H$9:$O$1048576,8,FALSE)</f>
        <v>0.8</v>
      </c>
      <c r="Z83" s="51">
        <f t="shared" si="24"/>
        <v>7.0000000000000007E-2</v>
      </c>
      <c r="AA83" s="51">
        <f t="shared" si="26"/>
        <v>8.5000000000000006E-2</v>
      </c>
      <c r="AB83" s="55">
        <f t="shared" si="27"/>
        <v>2800000.0000000005</v>
      </c>
      <c r="AC83" s="55">
        <f t="shared" si="28"/>
        <v>3400000.0000000005</v>
      </c>
      <c r="AD83" s="80">
        <f t="shared" si="29"/>
        <v>7</v>
      </c>
      <c r="AE83" s="84">
        <f t="shared" si="30"/>
        <v>0.48864540816326468</v>
      </c>
      <c r="AF83" s="71" t="str">
        <f t="shared" si="31"/>
        <v>Low</v>
      </c>
      <c r="AG83" s="84">
        <f t="shared" si="32"/>
        <v>5.9772908163265304E-2</v>
      </c>
      <c r="AH83" s="84">
        <f t="shared" si="33"/>
        <v>9.5227091836734709E-2</v>
      </c>
      <c r="AI83" s="73">
        <f t="shared" si="34"/>
        <v>2390916.3265306121</v>
      </c>
      <c r="AJ83" s="73">
        <f t="shared" si="35"/>
        <v>3809083.6734693884</v>
      </c>
      <c r="AK83" s="46">
        <f>VLOOKUP(H83,'1_Value &amp; risk levers'!$H$9:$O$1048576,6,FALSE)</f>
        <v>0.02</v>
      </c>
      <c r="AL83" s="46">
        <f>VLOOKUP(H83,'1_Value &amp; risk levers'!$H$9:$O$1048576,7,FALSE)</f>
        <v>0.05</v>
      </c>
      <c r="AM83" s="50">
        <f t="shared" si="36"/>
        <v>4.2500000000000003E-2</v>
      </c>
      <c r="AN83" s="72">
        <f t="shared" si="37"/>
        <v>0.19767441860465118</v>
      </c>
      <c r="AO83" s="84">
        <f t="shared" si="38"/>
        <v>1.1815574869482677E-2</v>
      </c>
      <c r="AP83" s="84">
        <f t="shared" si="39"/>
        <v>1.8823960014238257E-2</v>
      </c>
      <c r="AQ83" s="55">
        <f t="shared" si="40"/>
        <v>553488.37209302338</v>
      </c>
      <c r="AR83" s="55">
        <f t="shared" si="41"/>
        <v>672093.0232558141</v>
      </c>
      <c r="AS83" s="83">
        <f t="shared" si="25"/>
        <v>41</v>
      </c>
      <c r="AT83" s="50">
        <f t="shared" si="42"/>
        <v>7.18</v>
      </c>
      <c r="AU83" s="55" t="str">
        <f t="shared" si="43"/>
        <v>Medium</v>
      </c>
      <c r="AV83" s="34" t="s">
        <v>1531</v>
      </c>
      <c r="AW83" s="111"/>
      <c r="AX83" s="30" t="s">
        <v>1493</v>
      </c>
      <c r="AY83" s="30"/>
      <c r="AZ83" s="85" t="str">
        <f>IF(ISERROR(_xlfn.XLOOKUP(CONCATENATE(A83,"_",AV83),'Reference-Proof pt impact flag'!$I$3:$I$1048576,'Reference-Proof pt impact flag'!$G$3:$G$1048576)),"",_xlfn.XLOOKUP(CONCATENATE(A83,"_",AV83),'Reference-Proof pt impact flag'!$I$3:$I$1048576,'Reference-Proof pt impact flag'!$G$3:$G$1048576))</f>
        <v/>
      </c>
      <c r="BA83" s="74"/>
      <c r="BB83" s="74"/>
      <c r="BC83" s="74"/>
      <c r="BD83" s="74"/>
      <c r="BE83" s="74"/>
      <c r="BF83" s="74" t="e">
        <f>_xlfn.XLOOKUP(CONCATENATE(H83,"_",AV83),'Test 2 - Proof points - GPT5'!$T:$T,'Test 2 - Proof points - GPT5'!$S:$S)</f>
        <v>#N/A</v>
      </c>
      <c r="BG83" s="74" t="e">
        <f>_xlfn.XLOOKUP(CONCATENATE(H83,"_",AV83),'Test 2 -Proof points - Sonnet'!$AB:$AB,'Test 2 -Proof points - Sonnet'!$AA:$AA)</f>
        <v>#N/A</v>
      </c>
      <c r="BH83" s="74"/>
      <c r="BI83" s="74"/>
      <c r="BJ83" s="74" t="s">
        <v>1533</v>
      </c>
      <c r="BK83" s="30"/>
      <c r="BL83" s="30"/>
      <c r="BM83" s="30"/>
      <c r="BN83" s="30"/>
      <c r="BO83" s="30"/>
      <c r="BP83" s="30"/>
      <c r="BQ83" s="30"/>
      <c r="BR83" s="30"/>
      <c r="BS83" s="30"/>
      <c r="BT83" s="30"/>
      <c r="BU83" s="30"/>
      <c r="BV83" s="113"/>
    </row>
    <row r="84" spans="1:74" ht="217.5" hidden="1" x14ac:dyDescent="0.35">
      <c r="A84" s="22">
        <v>2</v>
      </c>
      <c r="B84" s="22" t="s">
        <v>1451</v>
      </c>
      <c r="C84" s="22" t="s">
        <v>1452</v>
      </c>
      <c r="D84" s="22" t="s">
        <v>1224</v>
      </c>
      <c r="E84" s="22" t="s">
        <v>1453</v>
      </c>
      <c r="F84" s="22"/>
      <c r="G84" s="22" t="s">
        <v>1274</v>
      </c>
      <c r="H84" s="21" t="s">
        <v>1289</v>
      </c>
      <c r="I84" s="22"/>
      <c r="J84" s="21" t="s">
        <v>1316</v>
      </c>
      <c r="K84" s="30"/>
      <c r="L84" s="35" t="s">
        <v>1288</v>
      </c>
      <c r="M84" s="35" t="str">
        <f>VLOOKUP(H84,'1_Value &amp; risk levers'!$H$9:$O$1048576,2,FALSE)</f>
        <v>Rarely used</v>
      </c>
      <c r="N84" s="35" t="str">
        <f>VLOOKUP(H84,'1_Value &amp; risk levers'!$H$9:$O$1048576,3,FALSE)</f>
        <v>Occasionally applied in negotiations, not a structured / defined approach for category managers to follow</v>
      </c>
      <c r="O84" s="35" t="str">
        <f>VLOOKUP(H84,'1_Value &amp; risk levers'!$H$9:$O$1048576,4,FALSE)</f>
        <v>Regular practice for most vegetable oils, but requires manual calculations / manual updates</v>
      </c>
      <c r="P84" s="35" t="str">
        <f>VLOOKUP(H84,'1_Value &amp; risk levers'!$H$9:$O$1048576,5,FALSE)</f>
        <v>Advanced/ automated modeling integrated into procurement tools</v>
      </c>
      <c r="Q84" s="77">
        <f>IF(VLOOKUP(H84,'1_Value &amp; risk levers'!$H$9:$T$1048576,13,FALSE)=0,"",VLOOKUP(H84,'1_Value &amp; risk levers'!$H$9:$T$1048576,13,FALSE))</f>
        <v>1</v>
      </c>
      <c r="R84" s="128">
        <f t="shared" si="22"/>
        <v>2</v>
      </c>
      <c r="S84" s="128" t="e">
        <f t="shared" si="23"/>
        <v>#DIV/0!</v>
      </c>
      <c r="T84" s="77"/>
      <c r="U84" s="77"/>
      <c r="V84" s="55"/>
      <c r="W84" s="71">
        <v>0.04</v>
      </c>
      <c r="X84" s="71">
        <v>0.1</v>
      </c>
      <c r="Y84" s="71">
        <f>VLOOKUP(H84,'1_Value &amp; risk levers'!$H$9:$O$1048576,8,FALSE)</f>
        <v>0.8</v>
      </c>
      <c r="Z84" s="51">
        <f t="shared" si="24"/>
        <v>7.0000000000000007E-2</v>
      </c>
      <c r="AA84" s="51">
        <f t="shared" si="26"/>
        <v>8.5000000000000006E-2</v>
      </c>
      <c r="AB84" s="55">
        <f t="shared" si="27"/>
        <v>2800000.0000000005</v>
      </c>
      <c r="AC84" s="55">
        <f t="shared" si="28"/>
        <v>3400000.0000000005</v>
      </c>
      <c r="AD84" s="80">
        <f t="shared" si="29"/>
        <v>7</v>
      </c>
      <c r="AE84" s="84">
        <f t="shared" si="30"/>
        <v>0.48864540816326468</v>
      </c>
      <c r="AF84" s="71" t="str">
        <f t="shared" si="31"/>
        <v>Low</v>
      </c>
      <c r="AG84" s="84">
        <f t="shared" si="32"/>
        <v>5.9772908163265304E-2</v>
      </c>
      <c r="AH84" s="84">
        <f t="shared" si="33"/>
        <v>9.5227091836734709E-2</v>
      </c>
      <c r="AI84" s="73">
        <f t="shared" si="34"/>
        <v>2390916.3265306121</v>
      </c>
      <c r="AJ84" s="73">
        <f t="shared" si="35"/>
        <v>3809083.6734693884</v>
      </c>
      <c r="AK84" s="46">
        <f>VLOOKUP(H84,'1_Value &amp; risk levers'!$H$9:$O$1048576,6,FALSE)</f>
        <v>0.02</v>
      </c>
      <c r="AL84" s="46">
        <f>VLOOKUP(H84,'1_Value &amp; risk levers'!$H$9:$O$1048576,7,FALSE)</f>
        <v>0.05</v>
      </c>
      <c r="AM84" s="50">
        <f t="shared" si="36"/>
        <v>4.2500000000000003E-2</v>
      </c>
      <c r="AN84" s="72">
        <f t="shared" si="37"/>
        <v>0.19767441860465118</v>
      </c>
      <c r="AO84" s="84">
        <f t="shared" si="38"/>
        <v>1.1815574869482677E-2</v>
      </c>
      <c r="AP84" s="84">
        <f t="shared" si="39"/>
        <v>1.8823960014238257E-2</v>
      </c>
      <c r="AQ84" s="55">
        <f t="shared" si="40"/>
        <v>553488.37209302338</v>
      </c>
      <c r="AR84" s="55">
        <f t="shared" si="41"/>
        <v>672093.0232558141</v>
      </c>
      <c r="AS84" s="83">
        <f t="shared" si="25"/>
        <v>41</v>
      </c>
      <c r="AT84" s="50">
        <f t="shared" si="42"/>
        <v>7.18</v>
      </c>
      <c r="AU84" s="55" t="str">
        <f t="shared" si="43"/>
        <v>Medium</v>
      </c>
      <c r="AV84" s="34" t="s">
        <v>1532</v>
      </c>
      <c r="AW84" s="111"/>
      <c r="AX84" s="30" t="s">
        <v>1493</v>
      </c>
      <c r="AY84" s="30"/>
      <c r="AZ84" s="85" t="str">
        <f>IF(ISERROR(_xlfn.XLOOKUP(CONCATENATE(A84,"_",AV84),'Reference-Proof pt impact flag'!$I$3:$I$1048576,'Reference-Proof pt impact flag'!$G$3:$G$1048576)),"",_xlfn.XLOOKUP(CONCATENATE(A84,"_",AV84),'Reference-Proof pt impact flag'!$I$3:$I$1048576,'Reference-Proof pt impact flag'!$G$3:$G$1048576))</f>
        <v/>
      </c>
      <c r="BA84" s="74"/>
      <c r="BB84" s="74"/>
      <c r="BC84" s="74"/>
      <c r="BD84" s="74"/>
      <c r="BE84" s="74"/>
      <c r="BF84" s="74" t="e">
        <f>_xlfn.XLOOKUP(CONCATENATE(H84,"_",AV84),'Test 2 - Proof points - GPT5'!$T:$T,'Test 2 - Proof points - GPT5'!$S:$S)</f>
        <v>#N/A</v>
      </c>
      <c r="BG84" s="74" t="e">
        <f>_xlfn.XLOOKUP(CONCATENATE(H84,"_",AV84),'Test 2 -Proof points - Sonnet'!$AB:$AB,'Test 2 -Proof points - Sonnet'!$AA:$AA)</f>
        <v>#N/A</v>
      </c>
      <c r="BH84" s="74"/>
      <c r="BI84" s="74"/>
      <c r="BJ84" s="74" t="s">
        <v>1533</v>
      </c>
      <c r="BK84" s="30"/>
      <c r="BL84" s="30"/>
      <c r="BM84" s="30"/>
      <c r="BN84" s="30"/>
      <c r="BO84" s="30"/>
      <c r="BP84" s="30"/>
      <c r="BQ84" s="30"/>
      <c r="BR84" s="30"/>
      <c r="BS84" s="30"/>
      <c r="BT84" s="30"/>
      <c r="BU84" s="30"/>
      <c r="BV84" s="113"/>
    </row>
    <row r="85" spans="1:74" ht="203" hidden="1" x14ac:dyDescent="0.35">
      <c r="A85" s="22">
        <v>3</v>
      </c>
      <c r="B85" s="22" t="s">
        <v>1451</v>
      </c>
      <c r="C85" s="22" t="s">
        <v>1452</v>
      </c>
      <c r="D85" s="22" t="s">
        <v>1224</v>
      </c>
      <c r="E85" s="22" t="s">
        <v>1453</v>
      </c>
      <c r="F85" s="22"/>
      <c r="G85" s="22" t="s">
        <v>1274</v>
      </c>
      <c r="H85" s="21" t="s">
        <v>1279</v>
      </c>
      <c r="I85" s="22"/>
      <c r="J85" s="21" t="s">
        <v>1336</v>
      </c>
      <c r="K85" s="30"/>
      <c r="L85" s="30" t="s">
        <v>1239</v>
      </c>
      <c r="M85" s="35" t="str">
        <f>VLOOKUP(H85,'1_Value &amp; risk levers'!$H$9:$O$1048576,2,FALSE)</f>
        <v>No review conducted</v>
      </c>
      <c r="N85" s="35" t="str">
        <f>VLOOKUP(H85,'1_Value &amp; risk levers'!$H$9:$O$1048576,3,FALSE)</f>
        <v>Limited trials for bulk options</v>
      </c>
      <c r="O85" s="35" t="str">
        <f>VLOOKUP(H85,'1_Value &amp; risk levers'!$H$9:$O$1048576,4,FALSE)</f>
        <v>Regular assessments to optimize packaging</v>
      </c>
      <c r="P85" s="35" t="str">
        <f>VLOOKUP(H85,'1_Value &amp; risk levers'!$H$9:$O$1048576,5,FALSE)</f>
        <v>Fully optimized with advanced logistics planning</v>
      </c>
      <c r="Q85" s="77">
        <f>IF(VLOOKUP(H85,'1_Value &amp; risk levers'!$H$9:$T$1048576,13,FALSE)=0,"",VLOOKUP(H85,'1_Value &amp; risk levers'!$H$9:$T$1048576,13,FALSE))</f>
        <v>1</v>
      </c>
      <c r="R85" s="128">
        <f t="shared" si="22"/>
        <v>2</v>
      </c>
      <c r="S85" s="128" t="e">
        <f t="shared" si="23"/>
        <v>#DIV/0!</v>
      </c>
      <c r="T85" s="77"/>
      <c r="U85" s="77"/>
      <c r="V85" s="55"/>
      <c r="W85" s="71">
        <v>0.04</v>
      </c>
      <c r="X85" s="71">
        <v>0.1</v>
      </c>
      <c r="Y85" s="71">
        <f>VLOOKUP(H85,'1_Value &amp; risk levers'!$H$9:$O$1048576,8,FALSE)</f>
        <v>0.8</v>
      </c>
      <c r="Z85" s="51">
        <f t="shared" si="24"/>
        <v>7.0000000000000007E-2</v>
      </c>
      <c r="AA85" s="51">
        <f t="shared" si="26"/>
        <v>8.5000000000000006E-2</v>
      </c>
      <c r="AB85" s="55">
        <f t="shared" si="27"/>
        <v>2800000.0000000005</v>
      </c>
      <c r="AC85" s="55">
        <f t="shared" si="28"/>
        <v>3400000.0000000005</v>
      </c>
      <c r="AD85" s="80">
        <f t="shared" si="29"/>
        <v>7</v>
      </c>
      <c r="AE85" s="84">
        <f t="shared" si="30"/>
        <v>0.48864540816326468</v>
      </c>
      <c r="AF85" s="71" t="str">
        <f t="shared" si="31"/>
        <v>Low</v>
      </c>
      <c r="AG85" s="84">
        <f t="shared" si="32"/>
        <v>5.9772908163265304E-2</v>
      </c>
      <c r="AH85" s="84">
        <f t="shared" si="33"/>
        <v>9.5227091836734709E-2</v>
      </c>
      <c r="AI85" s="73">
        <f t="shared" si="34"/>
        <v>2390916.3265306121</v>
      </c>
      <c r="AJ85" s="73">
        <f t="shared" si="35"/>
        <v>3809083.6734693884</v>
      </c>
      <c r="AK85" s="46">
        <f>VLOOKUP(H85,'1_Value &amp; risk levers'!$H$9:$O$1048576,6,FALSE)</f>
        <v>0.02</v>
      </c>
      <c r="AL85" s="46">
        <f>VLOOKUP(H85,'1_Value &amp; risk levers'!$H$9:$O$1048576,7,FALSE)</f>
        <v>0.03</v>
      </c>
      <c r="AM85" s="50">
        <f t="shared" si="36"/>
        <v>2.75E-2</v>
      </c>
      <c r="AN85" s="72">
        <f t="shared" si="37"/>
        <v>0.12790697674418605</v>
      </c>
      <c r="AO85" s="84">
        <f t="shared" si="38"/>
        <v>7.6453719743711434E-3</v>
      </c>
      <c r="AP85" s="84">
        <f t="shared" si="39"/>
        <v>1.2180209420977696E-2</v>
      </c>
      <c r="AQ85" s="55">
        <f t="shared" si="40"/>
        <v>358139.53488372103</v>
      </c>
      <c r="AR85" s="55">
        <f t="shared" si="41"/>
        <v>434883.72093023261</v>
      </c>
      <c r="AS85" s="83">
        <f t="shared" si="25"/>
        <v>41</v>
      </c>
      <c r="AT85" s="50">
        <f t="shared" si="42"/>
        <v>6.66</v>
      </c>
      <c r="AU85" s="55" t="str">
        <f t="shared" si="43"/>
        <v>Medium</v>
      </c>
      <c r="AV85" s="36" t="s">
        <v>1454</v>
      </c>
      <c r="AW85" s="109" t="s">
        <v>1455</v>
      </c>
      <c r="AX85" s="37" t="s">
        <v>1456</v>
      </c>
      <c r="AY85" s="30"/>
      <c r="AZ85" s="85" t="str">
        <f>IF(ISERROR(_xlfn.XLOOKUP(CONCATENATE(A85,"_",AV85),'Reference-Proof pt impact flag'!$I$3:$I$1048576,'Reference-Proof pt impact flag'!$G$3:$G$1048576)),"",_xlfn.XLOOKUP(CONCATENATE(A85,"_",AV85),'Reference-Proof pt impact flag'!$I$3:$I$1048576,'Reference-Proof pt impact flag'!$G$3:$G$1048576))</f>
        <v/>
      </c>
      <c r="BA85" s="74"/>
      <c r="BB85" s="74"/>
      <c r="BC85" s="74"/>
      <c r="BD85" s="74"/>
      <c r="BE85" s="74"/>
      <c r="BF85" s="74" t="e">
        <f>_xlfn.XLOOKUP(CONCATENATE(H85,"_",AV85),'Test 2 - Proof points - GPT5'!$T:$T,'Test 2 - Proof points - GPT5'!$S:$S)</f>
        <v>#N/A</v>
      </c>
      <c r="BG85" s="74" t="e">
        <f>_xlfn.XLOOKUP(CONCATENATE(H85,"_",AV85),'Test 2 -Proof points - Sonnet'!$AB:$AB,'Test 2 -Proof points - Sonnet'!$AA:$AA)</f>
        <v>#N/A</v>
      </c>
      <c r="BH85" s="74"/>
      <c r="BI85" s="74"/>
      <c r="BJ85" s="74" t="s">
        <v>1550</v>
      </c>
      <c r="BK85" s="30"/>
      <c r="BL85" s="30"/>
      <c r="BM85" s="30"/>
      <c r="BN85" s="30"/>
      <c r="BO85" s="30"/>
      <c r="BP85" s="30"/>
      <c r="BQ85" s="30"/>
      <c r="BR85" s="30"/>
      <c r="BS85" s="30"/>
      <c r="BT85" s="30"/>
      <c r="BU85" s="30"/>
      <c r="BV85" s="113"/>
    </row>
    <row r="86" spans="1:74" ht="203" hidden="1" x14ac:dyDescent="0.35">
      <c r="A86" s="22">
        <v>3</v>
      </c>
      <c r="B86" s="22" t="s">
        <v>1451</v>
      </c>
      <c r="C86" s="22" t="s">
        <v>1452</v>
      </c>
      <c r="D86" s="22" t="s">
        <v>1224</v>
      </c>
      <c r="E86" s="22" t="s">
        <v>1453</v>
      </c>
      <c r="F86" s="22"/>
      <c r="G86" s="22" t="s">
        <v>1274</v>
      </c>
      <c r="H86" s="21" t="s">
        <v>1279</v>
      </c>
      <c r="I86" s="22"/>
      <c r="J86" s="21" t="s">
        <v>1336</v>
      </c>
      <c r="K86" s="30"/>
      <c r="L86" s="30" t="s">
        <v>1239</v>
      </c>
      <c r="M86" s="35" t="str">
        <f>VLOOKUP(H86,'1_Value &amp; risk levers'!$H$9:$O$1048576,2,FALSE)</f>
        <v>No review conducted</v>
      </c>
      <c r="N86" s="35" t="str">
        <f>VLOOKUP(H86,'1_Value &amp; risk levers'!$H$9:$O$1048576,3,FALSE)</f>
        <v>Limited trials for bulk options</v>
      </c>
      <c r="O86" s="35" t="str">
        <f>VLOOKUP(H86,'1_Value &amp; risk levers'!$H$9:$O$1048576,4,FALSE)</f>
        <v>Regular assessments to optimize packaging</v>
      </c>
      <c r="P86" s="35" t="str">
        <f>VLOOKUP(H86,'1_Value &amp; risk levers'!$H$9:$O$1048576,5,FALSE)</f>
        <v>Fully optimized with advanced logistics planning</v>
      </c>
      <c r="Q86" s="77">
        <f>IF(VLOOKUP(H86,'1_Value &amp; risk levers'!$H$9:$T$1048576,13,FALSE)=0,"",VLOOKUP(H86,'1_Value &amp; risk levers'!$H$9:$T$1048576,13,FALSE))</f>
        <v>1</v>
      </c>
      <c r="R86" s="128">
        <f t="shared" si="22"/>
        <v>2</v>
      </c>
      <c r="S86" s="128" t="e">
        <f t="shared" si="23"/>
        <v>#DIV/0!</v>
      </c>
      <c r="T86" s="77"/>
      <c r="U86" s="77"/>
      <c r="V86" s="55"/>
      <c r="W86" s="71">
        <v>0.04</v>
      </c>
      <c r="X86" s="71">
        <v>0.1</v>
      </c>
      <c r="Y86" s="71">
        <f>VLOOKUP(H86,'1_Value &amp; risk levers'!$H$9:$O$1048576,8,FALSE)</f>
        <v>0.8</v>
      </c>
      <c r="Z86" s="51">
        <f t="shared" si="24"/>
        <v>7.0000000000000007E-2</v>
      </c>
      <c r="AA86" s="51">
        <f t="shared" si="26"/>
        <v>8.5000000000000006E-2</v>
      </c>
      <c r="AB86" s="55">
        <f t="shared" si="27"/>
        <v>2800000.0000000005</v>
      </c>
      <c r="AC86" s="55">
        <f t="shared" si="28"/>
        <v>3400000.0000000005</v>
      </c>
      <c r="AD86" s="80">
        <f t="shared" si="29"/>
        <v>7</v>
      </c>
      <c r="AE86" s="84">
        <f t="shared" si="30"/>
        <v>0.48864540816326468</v>
      </c>
      <c r="AF86" s="71" t="str">
        <f t="shared" si="31"/>
        <v>Low</v>
      </c>
      <c r="AG86" s="84">
        <f t="shared" si="32"/>
        <v>5.9772908163265304E-2</v>
      </c>
      <c r="AH86" s="84">
        <f t="shared" si="33"/>
        <v>9.5227091836734709E-2</v>
      </c>
      <c r="AI86" s="73">
        <f t="shared" si="34"/>
        <v>2390916.3265306121</v>
      </c>
      <c r="AJ86" s="73">
        <f t="shared" si="35"/>
        <v>3809083.6734693884</v>
      </c>
      <c r="AK86" s="46">
        <f>VLOOKUP(H86,'1_Value &amp; risk levers'!$H$9:$O$1048576,6,FALSE)</f>
        <v>0.02</v>
      </c>
      <c r="AL86" s="46">
        <f>VLOOKUP(H86,'1_Value &amp; risk levers'!$H$9:$O$1048576,7,FALSE)</f>
        <v>0.03</v>
      </c>
      <c r="AM86" s="50">
        <f t="shared" si="36"/>
        <v>2.75E-2</v>
      </c>
      <c r="AN86" s="72">
        <f t="shared" si="37"/>
        <v>0.12790697674418605</v>
      </c>
      <c r="AO86" s="84">
        <f t="shared" si="38"/>
        <v>7.6453719743711434E-3</v>
      </c>
      <c r="AP86" s="84">
        <f t="shared" si="39"/>
        <v>1.2180209420977696E-2</v>
      </c>
      <c r="AQ86" s="55">
        <f t="shared" si="40"/>
        <v>358139.53488372103</v>
      </c>
      <c r="AR86" s="55">
        <f t="shared" si="41"/>
        <v>434883.72093023261</v>
      </c>
      <c r="AS86" s="83">
        <f t="shared" si="25"/>
        <v>41</v>
      </c>
      <c r="AT86" s="50">
        <f t="shared" si="42"/>
        <v>6.66</v>
      </c>
      <c r="AU86" s="55" t="str">
        <f t="shared" si="43"/>
        <v>Medium</v>
      </c>
      <c r="AV86" s="36" t="s">
        <v>1463</v>
      </c>
      <c r="AW86" s="109" t="s">
        <v>1464</v>
      </c>
      <c r="AX86" s="37" t="s">
        <v>1456</v>
      </c>
      <c r="AY86" s="30"/>
      <c r="AZ86" s="85" t="str">
        <f>IF(ISERROR(_xlfn.XLOOKUP(CONCATENATE(A86,"_",AV86),'Reference-Proof pt impact flag'!$I$3:$I$1048576,'Reference-Proof pt impact flag'!$G$3:$G$1048576)),"",_xlfn.XLOOKUP(CONCATENATE(A86,"_",AV86),'Reference-Proof pt impact flag'!$I$3:$I$1048576,'Reference-Proof pt impact flag'!$G$3:$G$1048576))</f>
        <v/>
      </c>
      <c r="BA86" s="74"/>
      <c r="BB86" s="74"/>
      <c r="BC86" s="74"/>
      <c r="BD86" s="74"/>
      <c r="BE86" s="74"/>
      <c r="BF86" s="74" t="e">
        <f>_xlfn.XLOOKUP(CONCATENATE(H86,"_",AV86),'Test 2 - Proof points - GPT5'!$T:$T,'Test 2 - Proof points - GPT5'!$S:$S)</f>
        <v>#N/A</v>
      </c>
      <c r="BG86" s="74" t="e">
        <f>_xlfn.XLOOKUP(CONCATENATE(H86,"_",AV86),'Test 2 -Proof points - Sonnet'!$AB:$AB,'Test 2 -Proof points - Sonnet'!$AA:$AA)</f>
        <v>#N/A</v>
      </c>
      <c r="BH86" s="74"/>
      <c r="BI86" s="74"/>
      <c r="BJ86" s="74" t="s">
        <v>1550</v>
      </c>
      <c r="BK86" s="30"/>
      <c r="BL86" s="30"/>
      <c r="BM86" s="30"/>
      <c r="BN86" s="30"/>
      <c r="BO86" s="30"/>
      <c r="BP86" s="30"/>
      <c r="BQ86" s="30"/>
      <c r="BR86" s="30"/>
      <c r="BS86" s="30"/>
      <c r="BT86" s="30"/>
      <c r="BU86" s="30"/>
      <c r="BV86" s="113"/>
    </row>
    <row r="87" spans="1:74" ht="203" hidden="1" x14ac:dyDescent="0.35">
      <c r="A87" s="22">
        <v>3</v>
      </c>
      <c r="B87" s="22" t="s">
        <v>1451</v>
      </c>
      <c r="C87" s="22" t="s">
        <v>1452</v>
      </c>
      <c r="D87" s="22" t="s">
        <v>1224</v>
      </c>
      <c r="E87" s="22" t="s">
        <v>1453</v>
      </c>
      <c r="F87" s="22"/>
      <c r="G87" s="22" t="s">
        <v>1274</v>
      </c>
      <c r="H87" s="21" t="s">
        <v>1279</v>
      </c>
      <c r="I87" s="22"/>
      <c r="J87" s="21" t="s">
        <v>1336</v>
      </c>
      <c r="K87" s="30"/>
      <c r="L87" s="30" t="s">
        <v>1239</v>
      </c>
      <c r="M87" s="35" t="str">
        <f>VLOOKUP(H87,'1_Value &amp; risk levers'!$H$9:$O$1048576,2,FALSE)</f>
        <v>No review conducted</v>
      </c>
      <c r="N87" s="35" t="str">
        <f>VLOOKUP(H87,'1_Value &amp; risk levers'!$H$9:$O$1048576,3,FALSE)</f>
        <v>Limited trials for bulk options</v>
      </c>
      <c r="O87" s="35" t="str">
        <f>VLOOKUP(H87,'1_Value &amp; risk levers'!$H$9:$O$1048576,4,FALSE)</f>
        <v>Regular assessments to optimize packaging</v>
      </c>
      <c r="P87" s="35" t="str">
        <f>VLOOKUP(H87,'1_Value &amp; risk levers'!$H$9:$O$1048576,5,FALSE)</f>
        <v>Fully optimized with advanced logistics planning</v>
      </c>
      <c r="Q87" s="77">
        <f>IF(VLOOKUP(H87,'1_Value &amp; risk levers'!$H$9:$T$1048576,13,FALSE)=0,"",VLOOKUP(H87,'1_Value &amp; risk levers'!$H$9:$T$1048576,13,FALSE))</f>
        <v>1</v>
      </c>
      <c r="R87" s="128">
        <f t="shared" si="22"/>
        <v>2</v>
      </c>
      <c r="S87" s="128" t="e">
        <f t="shared" si="23"/>
        <v>#DIV/0!</v>
      </c>
      <c r="T87" s="77"/>
      <c r="U87" s="77"/>
      <c r="V87" s="55"/>
      <c r="W87" s="71">
        <v>0.04</v>
      </c>
      <c r="X87" s="71">
        <v>0.1</v>
      </c>
      <c r="Y87" s="71">
        <f>VLOOKUP(H87,'1_Value &amp; risk levers'!$H$9:$O$1048576,8,FALSE)</f>
        <v>0.8</v>
      </c>
      <c r="Z87" s="51">
        <f t="shared" si="24"/>
        <v>7.0000000000000007E-2</v>
      </c>
      <c r="AA87" s="51">
        <f t="shared" si="26"/>
        <v>8.5000000000000006E-2</v>
      </c>
      <c r="AB87" s="55">
        <f t="shared" si="27"/>
        <v>2800000.0000000005</v>
      </c>
      <c r="AC87" s="55">
        <f t="shared" si="28"/>
        <v>3400000.0000000005</v>
      </c>
      <c r="AD87" s="80">
        <f t="shared" si="29"/>
        <v>7</v>
      </c>
      <c r="AE87" s="84">
        <f t="shared" si="30"/>
        <v>0.48864540816326468</v>
      </c>
      <c r="AF87" s="71" t="str">
        <f t="shared" si="31"/>
        <v>Low</v>
      </c>
      <c r="AG87" s="84">
        <f t="shared" si="32"/>
        <v>5.9772908163265304E-2</v>
      </c>
      <c r="AH87" s="84">
        <f t="shared" si="33"/>
        <v>9.5227091836734709E-2</v>
      </c>
      <c r="AI87" s="73">
        <f t="shared" si="34"/>
        <v>2390916.3265306121</v>
      </c>
      <c r="AJ87" s="73">
        <f t="shared" si="35"/>
        <v>3809083.6734693884</v>
      </c>
      <c r="AK87" s="46">
        <f>VLOOKUP(H87,'1_Value &amp; risk levers'!$H$9:$O$1048576,6,FALSE)</f>
        <v>0.02</v>
      </c>
      <c r="AL87" s="46">
        <f>VLOOKUP(H87,'1_Value &amp; risk levers'!$H$9:$O$1048576,7,FALSE)</f>
        <v>0.03</v>
      </c>
      <c r="AM87" s="50">
        <f t="shared" si="36"/>
        <v>2.75E-2</v>
      </c>
      <c r="AN87" s="72">
        <f t="shared" si="37"/>
        <v>0.12790697674418605</v>
      </c>
      <c r="AO87" s="84">
        <f t="shared" si="38"/>
        <v>7.6453719743711434E-3</v>
      </c>
      <c r="AP87" s="84">
        <f t="shared" si="39"/>
        <v>1.2180209420977696E-2</v>
      </c>
      <c r="AQ87" s="55">
        <f t="shared" si="40"/>
        <v>358139.53488372103</v>
      </c>
      <c r="AR87" s="55">
        <f t="shared" si="41"/>
        <v>434883.72093023261</v>
      </c>
      <c r="AS87" s="83">
        <f t="shared" si="25"/>
        <v>41</v>
      </c>
      <c r="AT87" s="50">
        <f t="shared" si="42"/>
        <v>6.66</v>
      </c>
      <c r="AU87" s="55" t="str">
        <f t="shared" si="43"/>
        <v>Medium</v>
      </c>
      <c r="AV87" s="36" t="s">
        <v>1465</v>
      </c>
      <c r="AW87" s="109" t="s">
        <v>1466</v>
      </c>
      <c r="AX87" s="37" t="s">
        <v>1456</v>
      </c>
      <c r="AY87" s="30"/>
      <c r="AZ87" s="85" t="str">
        <f>IF(ISERROR(_xlfn.XLOOKUP(CONCATENATE(A87,"_",AV87),'Reference-Proof pt impact flag'!$I$3:$I$1048576,'Reference-Proof pt impact flag'!$G$3:$G$1048576)),"",_xlfn.XLOOKUP(CONCATENATE(A87,"_",AV87),'Reference-Proof pt impact flag'!$I$3:$I$1048576,'Reference-Proof pt impact flag'!$G$3:$G$1048576))</f>
        <v/>
      </c>
      <c r="BA87" s="74"/>
      <c r="BB87" s="74"/>
      <c r="BC87" s="74"/>
      <c r="BD87" s="74"/>
      <c r="BE87" s="74"/>
      <c r="BF87" s="74" t="e">
        <f>_xlfn.XLOOKUP(CONCATENATE(H87,"_",AV87),'Test 2 - Proof points - GPT5'!$T:$T,'Test 2 - Proof points - GPT5'!$S:$S)</f>
        <v>#N/A</v>
      </c>
      <c r="BG87" s="74" t="e">
        <f>_xlfn.XLOOKUP(CONCATENATE(H87,"_",AV87),'Test 2 -Proof points - Sonnet'!$AB:$AB,'Test 2 -Proof points - Sonnet'!$AA:$AA)</f>
        <v>#N/A</v>
      </c>
      <c r="BH87" s="74"/>
      <c r="BI87" s="74"/>
      <c r="BJ87" s="74" t="s">
        <v>1550</v>
      </c>
      <c r="BK87" s="30"/>
      <c r="BL87" s="30"/>
      <c r="BM87" s="30"/>
      <c r="BN87" s="30"/>
      <c r="BO87" s="30"/>
      <c r="BP87" s="30"/>
      <c r="BQ87" s="30"/>
      <c r="BR87" s="30"/>
      <c r="BS87" s="30"/>
      <c r="BT87" s="30"/>
      <c r="BU87" s="30"/>
      <c r="BV87" s="113"/>
    </row>
    <row r="88" spans="1:74" ht="203" hidden="1" x14ac:dyDescent="0.35">
      <c r="A88" s="22">
        <v>3</v>
      </c>
      <c r="B88" s="22" t="s">
        <v>1451</v>
      </c>
      <c r="C88" s="22" t="s">
        <v>1452</v>
      </c>
      <c r="D88" s="22" t="s">
        <v>1224</v>
      </c>
      <c r="E88" s="22" t="s">
        <v>1453</v>
      </c>
      <c r="F88" s="22"/>
      <c r="G88" s="22" t="s">
        <v>1274</v>
      </c>
      <c r="H88" s="21" t="s">
        <v>1279</v>
      </c>
      <c r="I88" s="22"/>
      <c r="J88" s="21" t="s">
        <v>1336</v>
      </c>
      <c r="K88" s="30"/>
      <c r="L88" s="30" t="s">
        <v>1239</v>
      </c>
      <c r="M88" s="35" t="str">
        <f>VLOOKUP(H88,'1_Value &amp; risk levers'!$H$9:$O$1048576,2,FALSE)</f>
        <v>No review conducted</v>
      </c>
      <c r="N88" s="35" t="str">
        <f>VLOOKUP(H88,'1_Value &amp; risk levers'!$H$9:$O$1048576,3,FALSE)</f>
        <v>Limited trials for bulk options</v>
      </c>
      <c r="O88" s="35" t="str">
        <f>VLOOKUP(H88,'1_Value &amp; risk levers'!$H$9:$O$1048576,4,FALSE)</f>
        <v>Regular assessments to optimize packaging</v>
      </c>
      <c r="P88" s="35" t="str">
        <f>VLOOKUP(H88,'1_Value &amp; risk levers'!$H$9:$O$1048576,5,FALSE)</f>
        <v>Fully optimized with advanced logistics planning</v>
      </c>
      <c r="Q88" s="77">
        <f>IF(VLOOKUP(H88,'1_Value &amp; risk levers'!$H$9:$T$1048576,13,FALSE)=0,"",VLOOKUP(H88,'1_Value &amp; risk levers'!$H$9:$T$1048576,13,FALSE))</f>
        <v>1</v>
      </c>
      <c r="R88" s="128">
        <f t="shared" si="22"/>
        <v>2</v>
      </c>
      <c r="S88" s="128" t="e">
        <f t="shared" si="23"/>
        <v>#DIV/0!</v>
      </c>
      <c r="T88" s="77"/>
      <c r="U88" s="77"/>
      <c r="V88" s="55"/>
      <c r="W88" s="71">
        <v>0.04</v>
      </c>
      <c r="X88" s="71">
        <v>0.1</v>
      </c>
      <c r="Y88" s="71">
        <f>VLOOKUP(H88,'1_Value &amp; risk levers'!$H$9:$O$1048576,8,FALSE)</f>
        <v>0.8</v>
      </c>
      <c r="Z88" s="51">
        <f t="shared" si="24"/>
        <v>7.0000000000000007E-2</v>
      </c>
      <c r="AA88" s="51">
        <f t="shared" si="26"/>
        <v>8.5000000000000006E-2</v>
      </c>
      <c r="AB88" s="55">
        <f t="shared" si="27"/>
        <v>2800000.0000000005</v>
      </c>
      <c r="AC88" s="55">
        <f t="shared" si="28"/>
        <v>3400000.0000000005</v>
      </c>
      <c r="AD88" s="80">
        <f t="shared" si="29"/>
        <v>7</v>
      </c>
      <c r="AE88" s="84">
        <f t="shared" si="30"/>
        <v>0.48864540816326468</v>
      </c>
      <c r="AF88" s="71" t="str">
        <f t="shared" si="31"/>
        <v>Low</v>
      </c>
      <c r="AG88" s="84">
        <f t="shared" si="32"/>
        <v>5.9772908163265304E-2</v>
      </c>
      <c r="AH88" s="84">
        <f t="shared" si="33"/>
        <v>9.5227091836734709E-2</v>
      </c>
      <c r="AI88" s="73">
        <f t="shared" si="34"/>
        <v>2390916.3265306121</v>
      </c>
      <c r="AJ88" s="73">
        <f t="shared" si="35"/>
        <v>3809083.6734693884</v>
      </c>
      <c r="AK88" s="46">
        <f>VLOOKUP(H88,'1_Value &amp; risk levers'!$H$9:$O$1048576,6,FALSE)</f>
        <v>0.02</v>
      </c>
      <c r="AL88" s="46">
        <f>VLOOKUP(H88,'1_Value &amp; risk levers'!$H$9:$O$1048576,7,FALSE)</f>
        <v>0.03</v>
      </c>
      <c r="AM88" s="50">
        <f t="shared" si="36"/>
        <v>2.75E-2</v>
      </c>
      <c r="AN88" s="72">
        <f t="shared" si="37"/>
        <v>0.12790697674418605</v>
      </c>
      <c r="AO88" s="84">
        <f t="shared" si="38"/>
        <v>7.6453719743711434E-3</v>
      </c>
      <c r="AP88" s="84">
        <f t="shared" si="39"/>
        <v>1.2180209420977696E-2</v>
      </c>
      <c r="AQ88" s="55">
        <f t="shared" si="40"/>
        <v>358139.53488372103</v>
      </c>
      <c r="AR88" s="55">
        <f t="shared" si="41"/>
        <v>434883.72093023261</v>
      </c>
      <c r="AS88" s="83">
        <f t="shared" si="25"/>
        <v>41</v>
      </c>
      <c r="AT88" s="50">
        <f t="shared" si="42"/>
        <v>6.66</v>
      </c>
      <c r="AU88" s="55" t="str">
        <f t="shared" si="43"/>
        <v>Medium</v>
      </c>
      <c r="AV88" s="36" t="s">
        <v>1467</v>
      </c>
      <c r="AW88" s="109" t="s">
        <v>1468</v>
      </c>
      <c r="AX88" s="37" t="s">
        <v>1456</v>
      </c>
      <c r="AY88" s="30"/>
      <c r="AZ88" s="85" t="str">
        <f>IF(ISERROR(_xlfn.XLOOKUP(CONCATENATE(A88,"_",AV88),'Reference-Proof pt impact flag'!$I$3:$I$1048576,'Reference-Proof pt impact flag'!$G$3:$G$1048576)),"",_xlfn.XLOOKUP(CONCATENATE(A88,"_",AV88),'Reference-Proof pt impact flag'!$I$3:$I$1048576,'Reference-Proof pt impact flag'!$G$3:$G$1048576))</f>
        <v/>
      </c>
      <c r="BA88" s="74"/>
      <c r="BB88" s="74"/>
      <c r="BC88" s="74"/>
      <c r="BD88" s="74"/>
      <c r="BE88" s="74"/>
      <c r="BF88" s="74" t="e">
        <f>_xlfn.XLOOKUP(CONCATENATE(H88,"_",AV88),'Test 2 - Proof points - GPT5'!$T:$T,'Test 2 - Proof points - GPT5'!$S:$S)</f>
        <v>#N/A</v>
      </c>
      <c r="BG88" s="74" t="e">
        <f>_xlfn.XLOOKUP(CONCATENATE(H88,"_",AV88),'Test 2 -Proof points - Sonnet'!$AB:$AB,'Test 2 -Proof points - Sonnet'!$AA:$AA)</f>
        <v>#N/A</v>
      </c>
      <c r="BH88" s="74"/>
      <c r="BI88" s="74"/>
      <c r="BJ88" s="74" t="s">
        <v>1550</v>
      </c>
      <c r="BK88" s="30"/>
      <c r="BL88" s="30"/>
      <c r="BM88" s="30"/>
      <c r="BN88" s="30"/>
      <c r="BO88" s="30"/>
      <c r="BP88" s="30"/>
      <c r="BQ88" s="30"/>
      <c r="BR88" s="30"/>
      <c r="BS88" s="30"/>
      <c r="BT88" s="30"/>
      <c r="BU88" s="30"/>
      <c r="BV88" s="113"/>
    </row>
    <row r="89" spans="1:74" ht="203" hidden="1" x14ac:dyDescent="0.35">
      <c r="A89" s="22">
        <v>3</v>
      </c>
      <c r="B89" s="22" t="s">
        <v>1451</v>
      </c>
      <c r="C89" s="22" t="s">
        <v>1452</v>
      </c>
      <c r="D89" s="22" t="s">
        <v>1224</v>
      </c>
      <c r="E89" s="22" t="s">
        <v>1453</v>
      </c>
      <c r="F89" s="22"/>
      <c r="G89" s="22" t="s">
        <v>1274</v>
      </c>
      <c r="H89" s="21" t="s">
        <v>1279</v>
      </c>
      <c r="I89" s="22"/>
      <c r="J89" s="21" t="s">
        <v>1336</v>
      </c>
      <c r="K89" s="30"/>
      <c r="L89" s="30" t="s">
        <v>1239</v>
      </c>
      <c r="M89" s="35" t="str">
        <f>VLOOKUP(H89,'1_Value &amp; risk levers'!$H$9:$O$1048576,2,FALSE)</f>
        <v>No review conducted</v>
      </c>
      <c r="N89" s="35" t="str">
        <f>VLOOKUP(H89,'1_Value &amp; risk levers'!$H$9:$O$1048576,3,FALSE)</f>
        <v>Limited trials for bulk options</v>
      </c>
      <c r="O89" s="35" t="str">
        <f>VLOOKUP(H89,'1_Value &amp; risk levers'!$H$9:$O$1048576,4,FALSE)</f>
        <v>Regular assessments to optimize packaging</v>
      </c>
      <c r="P89" s="35" t="str">
        <f>VLOOKUP(H89,'1_Value &amp; risk levers'!$H$9:$O$1048576,5,FALSE)</f>
        <v>Fully optimized with advanced logistics planning</v>
      </c>
      <c r="Q89" s="77">
        <f>IF(VLOOKUP(H89,'1_Value &amp; risk levers'!$H$9:$T$1048576,13,FALSE)=0,"",VLOOKUP(H89,'1_Value &amp; risk levers'!$H$9:$T$1048576,13,FALSE))</f>
        <v>1</v>
      </c>
      <c r="R89" s="128">
        <f t="shared" si="22"/>
        <v>2</v>
      </c>
      <c r="S89" s="128" t="e">
        <f t="shared" si="23"/>
        <v>#DIV/0!</v>
      </c>
      <c r="T89" s="77"/>
      <c r="U89" s="77"/>
      <c r="V89" s="55"/>
      <c r="W89" s="71">
        <v>0.04</v>
      </c>
      <c r="X89" s="71">
        <v>0.1</v>
      </c>
      <c r="Y89" s="71">
        <f>VLOOKUP(H89,'1_Value &amp; risk levers'!$H$9:$O$1048576,8,FALSE)</f>
        <v>0.8</v>
      </c>
      <c r="Z89" s="51">
        <f t="shared" si="24"/>
        <v>7.0000000000000007E-2</v>
      </c>
      <c r="AA89" s="51">
        <f t="shared" si="26"/>
        <v>8.5000000000000006E-2</v>
      </c>
      <c r="AB89" s="55">
        <f t="shared" si="27"/>
        <v>2800000.0000000005</v>
      </c>
      <c r="AC89" s="55">
        <f t="shared" si="28"/>
        <v>3400000.0000000005</v>
      </c>
      <c r="AD89" s="80">
        <f t="shared" si="29"/>
        <v>7</v>
      </c>
      <c r="AE89" s="84">
        <f t="shared" si="30"/>
        <v>0.48864540816326468</v>
      </c>
      <c r="AF89" s="71" t="str">
        <f t="shared" si="31"/>
        <v>Low</v>
      </c>
      <c r="AG89" s="84">
        <f t="shared" si="32"/>
        <v>5.9772908163265304E-2</v>
      </c>
      <c r="AH89" s="84">
        <f t="shared" si="33"/>
        <v>9.5227091836734709E-2</v>
      </c>
      <c r="AI89" s="73">
        <f t="shared" si="34"/>
        <v>2390916.3265306121</v>
      </c>
      <c r="AJ89" s="73">
        <f t="shared" si="35"/>
        <v>3809083.6734693884</v>
      </c>
      <c r="AK89" s="46">
        <f>VLOOKUP(H89,'1_Value &amp; risk levers'!$H$9:$O$1048576,6,FALSE)</f>
        <v>0.02</v>
      </c>
      <c r="AL89" s="46">
        <f>VLOOKUP(H89,'1_Value &amp; risk levers'!$H$9:$O$1048576,7,FALSE)</f>
        <v>0.03</v>
      </c>
      <c r="AM89" s="50">
        <f t="shared" si="36"/>
        <v>2.75E-2</v>
      </c>
      <c r="AN89" s="72">
        <f t="shared" si="37"/>
        <v>0.12790697674418605</v>
      </c>
      <c r="AO89" s="84">
        <f t="shared" si="38"/>
        <v>7.6453719743711434E-3</v>
      </c>
      <c r="AP89" s="84">
        <f t="shared" si="39"/>
        <v>1.2180209420977696E-2</v>
      </c>
      <c r="AQ89" s="55">
        <f t="shared" si="40"/>
        <v>358139.53488372103</v>
      </c>
      <c r="AR89" s="55">
        <f t="shared" si="41"/>
        <v>434883.72093023261</v>
      </c>
      <c r="AS89" s="83">
        <f t="shared" si="25"/>
        <v>41</v>
      </c>
      <c r="AT89" s="50">
        <f t="shared" si="42"/>
        <v>6.66</v>
      </c>
      <c r="AU89" s="55" t="str">
        <f t="shared" si="43"/>
        <v>Medium</v>
      </c>
      <c r="AV89" s="36" t="s">
        <v>1471</v>
      </c>
      <c r="AW89" s="109" t="s">
        <v>1472</v>
      </c>
      <c r="AX89" s="37" t="s">
        <v>1456</v>
      </c>
      <c r="AY89" s="30"/>
      <c r="AZ89" s="85" t="str">
        <f>IF(ISERROR(_xlfn.XLOOKUP(CONCATENATE(A89,"_",AV89),'Reference-Proof pt impact flag'!$I$3:$I$1048576,'Reference-Proof pt impact flag'!$G$3:$G$1048576)),"",_xlfn.XLOOKUP(CONCATENATE(A89,"_",AV89),'Reference-Proof pt impact flag'!$I$3:$I$1048576,'Reference-Proof pt impact flag'!$G$3:$G$1048576))</f>
        <v/>
      </c>
      <c r="BA89" s="74"/>
      <c r="BB89" s="74"/>
      <c r="BC89" s="74"/>
      <c r="BD89" s="74"/>
      <c r="BE89" s="74"/>
      <c r="BF89" s="74" t="e">
        <f>_xlfn.XLOOKUP(CONCATENATE(H89,"_",AV89),'Test 2 - Proof points - GPT5'!$T:$T,'Test 2 - Proof points - GPT5'!$S:$S)</f>
        <v>#N/A</v>
      </c>
      <c r="BG89" s="74" t="e">
        <f>_xlfn.XLOOKUP(CONCATENATE(H89,"_",AV89),'Test 2 -Proof points - Sonnet'!$AB:$AB,'Test 2 -Proof points - Sonnet'!$AA:$AA)</f>
        <v>#N/A</v>
      </c>
      <c r="BH89" s="74"/>
      <c r="BI89" s="74"/>
      <c r="BJ89" s="74" t="s">
        <v>1550</v>
      </c>
      <c r="BK89" s="30"/>
      <c r="BL89" s="30"/>
      <c r="BM89" s="30"/>
      <c r="BN89" s="30"/>
      <c r="BO89" s="30"/>
      <c r="BP89" s="30"/>
      <c r="BQ89" s="30"/>
      <c r="BR89" s="30"/>
      <c r="BS89" s="30"/>
      <c r="BT89" s="30"/>
      <c r="BU89" s="30"/>
      <c r="BV89" s="113"/>
    </row>
    <row r="90" spans="1:74" ht="203" hidden="1" x14ac:dyDescent="0.35">
      <c r="A90" s="22">
        <v>3</v>
      </c>
      <c r="B90" s="22" t="s">
        <v>1451</v>
      </c>
      <c r="C90" s="22" t="s">
        <v>1452</v>
      </c>
      <c r="D90" s="22" t="s">
        <v>1224</v>
      </c>
      <c r="E90" s="22" t="s">
        <v>1453</v>
      </c>
      <c r="F90" s="22"/>
      <c r="G90" s="22" t="s">
        <v>1274</v>
      </c>
      <c r="H90" s="21" t="s">
        <v>1279</v>
      </c>
      <c r="I90" s="22"/>
      <c r="J90" s="21" t="s">
        <v>1336</v>
      </c>
      <c r="K90" s="30"/>
      <c r="L90" s="30" t="s">
        <v>1239</v>
      </c>
      <c r="M90" s="35" t="str">
        <f>VLOOKUP(H90,'1_Value &amp; risk levers'!$H$9:$O$1048576,2,FALSE)</f>
        <v>No review conducted</v>
      </c>
      <c r="N90" s="35" t="str">
        <f>VLOOKUP(H90,'1_Value &amp; risk levers'!$H$9:$O$1048576,3,FALSE)</f>
        <v>Limited trials for bulk options</v>
      </c>
      <c r="O90" s="35" t="str">
        <f>VLOOKUP(H90,'1_Value &amp; risk levers'!$H$9:$O$1048576,4,FALSE)</f>
        <v>Regular assessments to optimize packaging</v>
      </c>
      <c r="P90" s="35" t="str">
        <f>VLOOKUP(H90,'1_Value &amp; risk levers'!$H$9:$O$1048576,5,FALSE)</f>
        <v>Fully optimized with advanced logistics planning</v>
      </c>
      <c r="Q90" s="77">
        <f>IF(VLOOKUP(H90,'1_Value &amp; risk levers'!$H$9:$T$1048576,13,FALSE)=0,"",VLOOKUP(H90,'1_Value &amp; risk levers'!$H$9:$T$1048576,13,FALSE))</f>
        <v>1</v>
      </c>
      <c r="R90" s="128">
        <f t="shared" si="22"/>
        <v>2</v>
      </c>
      <c r="S90" s="128" t="e">
        <f t="shared" si="23"/>
        <v>#DIV/0!</v>
      </c>
      <c r="T90" s="77"/>
      <c r="U90" s="77"/>
      <c r="V90" s="55"/>
      <c r="W90" s="71">
        <v>0.04</v>
      </c>
      <c r="X90" s="71">
        <v>0.1</v>
      </c>
      <c r="Y90" s="71">
        <f>VLOOKUP(H90,'1_Value &amp; risk levers'!$H$9:$O$1048576,8,FALSE)</f>
        <v>0.8</v>
      </c>
      <c r="Z90" s="51">
        <f t="shared" si="24"/>
        <v>7.0000000000000007E-2</v>
      </c>
      <c r="AA90" s="51">
        <f t="shared" si="26"/>
        <v>8.5000000000000006E-2</v>
      </c>
      <c r="AB90" s="55">
        <f t="shared" si="27"/>
        <v>2800000.0000000005</v>
      </c>
      <c r="AC90" s="55">
        <f t="shared" si="28"/>
        <v>3400000.0000000005</v>
      </c>
      <c r="AD90" s="80">
        <f t="shared" si="29"/>
        <v>7</v>
      </c>
      <c r="AE90" s="84">
        <f t="shared" si="30"/>
        <v>0.48864540816326468</v>
      </c>
      <c r="AF90" s="71" t="str">
        <f t="shared" si="31"/>
        <v>Low</v>
      </c>
      <c r="AG90" s="84">
        <f t="shared" si="32"/>
        <v>5.9772908163265304E-2</v>
      </c>
      <c r="AH90" s="84">
        <f t="shared" si="33"/>
        <v>9.5227091836734709E-2</v>
      </c>
      <c r="AI90" s="73">
        <f t="shared" si="34"/>
        <v>2390916.3265306121</v>
      </c>
      <c r="AJ90" s="73">
        <f t="shared" si="35"/>
        <v>3809083.6734693884</v>
      </c>
      <c r="AK90" s="46">
        <f>VLOOKUP(H90,'1_Value &amp; risk levers'!$H$9:$O$1048576,6,FALSE)</f>
        <v>0.02</v>
      </c>
      <c r="AL90" s="46">
        <f>VLOOKUP(H90,'1_Value &amp; risk levers'!$H$9:$O$1048576,7,FALSE)</f>
        <v>0.03</v>
      </c>
      <c r="AM90" s="50">
        <f t="shared" si="36"/>
        <v>2.75E-2</v>
      </c>
      <c r="AN90" s="72">
        <f t="shared" si="37"/>
        <v>0.12790697674418605</v>
      </c>
      <c r="AO90" s="84">
        <f t="shared" si="38"/>
        <v>7.6453719743711434E-3</v>
      </c>
      <c r="AP90" s="84">
        <f t="shared" si="39"/>
        <v>1.2180209420977696E-2</v>
      </c>
      <c r="AQ90" s="55">
        <f t="shared" si="40"/>
        <v>358139.53488372103</v>
      </c>
      <c r="AR90" s="55">
        <f t="shared" si="41"/>
        <v>434883.72093023261</v>
      </c>
      <c r="AS90" s="83">
        <f t="shared" si="25"/>
        <v>41</v>
      </c>
      <c r="AT90" s="50">
        <f t="shared" si="42"/>
        <v>6.66</v>
      </c>
      <c r="AU90" s="55" t="str">
        <f t="shared" si="43"/>
        <v>Medium</v>
      </c>
      <c r="AV90" s="36" t="s">
        <v>1475</v>
      </c>
      <c r="AW90" s="109" t="s">
        <v>1476</v>
      </c>
      <c r="AX90" s="37" t="s">
        <v>1456</v>
      </c>
      <c r="AY90" s="30"/>
      <c r="AZ90" s="85" t="str">
        <f>IF(ISERROR(_xlfn.XLOOKUP(CONCATENATE(A90,"_",AV90),'Reference-Proof pt impact flag'!$I$3:$I$1048576,'Reference-Proof pt impact flag'!$G$3:$G$1048576)),"",_xlfn.XLOOKUP(CONCATENATE(A90,"_",AV90),'Reference-Proof pt impact flag'!$I$3:$I$1048576,'Reference-Proof pt impact flag'!$G$3:$G$1048576))</f>
        <v/>
      </c>
      <c r="BA90" s="74"/>
      <c r="BB90" s="74"/>
      <c r="BC90" s="74"/>
      <c r="BD90" s="74"/>
      <c r="BE90" s="74"/>
      <c r="BF90" s="74" t="e">
        <f>_xlfn.XLOOKUP(CONCATENATE(H90,"_",AV90),'Test 2 - Proof points - GPT5'!$T:$T,'Test 2 - Proof points - GPT5'!$S:$S)</f>
        <v>#N/A</v>
      </c>
      <c r="BG90" s="74" t="e">
        <f>_xlfn.XLOOKUP(CONCATENATE(H90,"_",AV90),'Test 2 -Proof points - Sonnet'!$AB:$AB,'Test 2 -Proof points - Sonnet'!$AA:$AA)</f>
        <v>#N/A</v>
      </c>
      <c r="BH90" s="74"/>
      <c r="BI90" s="74"/>
      <c r="BJ90" s="74" t="s">
        <v>1550</v>
      </c>
      <c r="BK90" s="30"/>
      <c r="BL90" s="30"/>
      <c r="BM90" s="30"/>
      <c r="BN90" s="30"/>
      <c r="BO90" s="30"/>
      <c r="BP90" s="30"/>
      <c r="BQ90" s="30"/>
      <c r="BR90" s="30"/>
      <c r="BS90" s="30"/>
      <c r="BT90" s="30"/>
      <c r="BU90" s="30"/>
      <c r="BV90" s="113"/>
    </row>
    <row r="91" spans="1:74" ht="203" hidden="1" x14ac:dyDescent="0.35">
      <c r="A91" s="22">
        <v>3</v>
      </c>
      <c r="B91" s="22" t="s">
        <v>1451</v>
      </c>
      <c r="C91" s="22" t="s">
        <v>1452</v>
      </c>
      <c r="D91" s="22" t="s">
        <v>1224</v>
      </c>
      <c r="E91" s="22" t="s">
        <v>1453</v>
      </c>
      <c r="F91" s="22"/>
      <c r="G91" s="22" t="s">
        <v>1274</v>
      </c>
      <c r="H91" s="21" t="s">
        <v>1279</v>
      </c>
      <c r="I91" s="22"/>
      <c r="J91" s="21" t="s">
        <v>1336</v>
      </c>
      <c r="K91" s="30"/>
      <c r="L91" s="30" t="s">
        <v>1239</v>
      </c>
      <c r="M91" s="35" t="str">
        <f>VLOOKUP(H91,'1_Value &amp; risk levers'!$H$9:$O$1048576,2,FALSE)</f>
        <v>No review conducted</v>
      </c>
      <c r="N91" s="35" t="str">
        <f>VLOOKUP(H91,'1_Value &amp; risk levers'!$H$9:$O$1048576,3,FALSE)</f>
        <v>Limited trials for bulk options</v>
      </c>
      <c r="O91" s="35" t="str">
        <f>VLOOKUP(H91,'1_Value &amp; risk levers'!$H$9:$O$1048576,4,FALSE)</f>
        <v>Regular assessments to optimize packaging</v>
      </c>
      <c r="P91" s="35" t="str">
        <f>VLOOKUP(H91,'1_Value &amp; risk levers'!$H$9:$O$1048576,5,FALSE)</f>
        <v>Fully optimized with advanced logistics planning</v>
      </c>
      <c r="Q91" s="77">
        <f>IF(VLOOKUP(H91,'1_Value &amp; risk levers'!$H$9:$T$1048576,13,FALSE)=0,"",VLOOKUP(H91,'1_Value &amp; risk levers'!$H$9:$T$1048576,13,FALSE))</f>
        <v>1</v>
      </c>
      <c r="R91" s="128">
        <f t="shared" si="22"/>
        <v>2</v>
      </c>
      <c r="S91" s="128" t="e">
        <f t="shared" si="23"/>
        <v>#DIV/0!</v>
      </c>
      <c r="T91" s="77"/>
      <c r="U91" s="77"/>
      <c r="V91" s="55"/>
      <c r="W91" s="71">
        <v>0.04</v>
      </c>
      <c r="X91" s="71">
        <v>0.1</v>
      </c>
      <c r="Y91" s="71">
        <f>VLOOKUP(H91,'1_Value &amp; risk levers'!$H$9:$O$1048576,8,FALSE)</f>
        <v>0.8</v>
      </c>
      <c r="Z91" s="51">
        <f t="shared" si="24"/>
        <v>7.0000000000000007E-2</v>
      </c>
      <c r="AA91" s="51">
        <f t="shared" si="26"/>
        <v>8.5000000000000006E-2</v>
      </c>
      <c r="AB91" s="55">
        <f t="shared" si="27"/>
        <v>2800000.0000000005</v>
      </c>
      <c r="AC91" s="55">
        <f t="shared" si="28"/>
        <v>3400000.0000000005</v>
      </c>
      <c r="AD91" s="80">
        <f t="shared" si="29"/>
        <v>7</v>
      </c>
      <c r="AE91" s="84">
        <f t="shared" si="30"/>
        <v>0.48864540816326468</v>
      </c>
      <c r="AF91" s="71" t="str">
        <f t="shared" si="31"/>
        <v>Low</v>
      </c>
      <c r="AG91" s="84">
        <f t="shared" si="32"/>
        <v>5.9772908163265304E-2</v>
      </c>
      <c r="AH91" s="84">
        <f t="shared" si="33"/>
        <v>9.5227091836734709E-2</v>
      </c>
      <c r="AI91" s="73">
        <f t="shared" si="34"/>
        <v>2390916.3265306121</v>
      </c>
      <c r="AJ91" s="73">
        <f t="shared" si="35"/>
        <v>3809083.6734693884</v>
      </c>
      <c r="AK91" s="46">
        <f>VLOOKUP(H91,'1_Value &amp; risk levers'!$H$9:$O$1048576,6,FALSE)</f>
        <v>0.02</v>
      </c>
      <c r="AL91" s="46">
        <f>VLOOKUP(H91,'1_Value &amp; risk levers'!$H$9:$O$1048576,7,FALSE)</f>
        <v>0.03</v>
      </c>
      <c r="AM91" s="50">
        <f t="shared" si="36"/>
        <v>2.75E-2</v>
      </c>
      <c r="AN91" s="72">
        <f t="shared" si="37"/>
        <v>0.12790697674418605</v>
      </c>
      <c r="AO91" s="84">
        <f t="shared" si="38"/>
        <v>7.6453719743711434E-3</v>
      </c>
      <c r="AP91" s="84">
        <f t="shared" si="39"/>
        <v>1.2180209420977696E-2</v>
      </c>
      <c r="AQ91" s="55">
        <f t="shared" si="40"/>
        <v>358139.53488372103</v>
      </c>
      <c r="AR91" s="55">
        <f t="shared" si="41"/>
        <v>434883.72093023261</v>
      </c>
      <c r="AS91" s="83">
        <f t="shared" si="25"/>
        <v>41</v>
      </c>
      <c r="AT91" s="50">
        <f t="shared" si="42"/>
        <v>6.66</v>
      </c>
      <c r="AU91" s="55" t="str">
        <f t="shared" si="43"/>
        <v>Medium</v>
      </c>
      <c r="AV91" s="36" t="s">
        <v>1477</v>
      </c>
      <c r="AW91" s="110" t="s">
        <v>1478</v>
      </c>
      <c r="AX91" s="37" t="s">
        <v>1456</v>
      </c>
      <c r="AY91" s="27" t="s">
        <v>1551</v>
      </c>
      <c r="AZ91" s="85" t="str">
        <f>IF(ISERROR(_xlfn.XLOOKUP(CONCATENATE(A91,"_",AV91),'Reference-Proof pt impact flag'!$I$3:$I$1048576,'Reference-Proof pt impact flag'!$G$3:$G$1048576)),"",_xlfn.XLOOKUP(CONCATENATE(A91,"_",AV91),'Reference-Proof pt impact flag'!$I$3:$I$1048576,'Reference-Proof pt impact flag'!$G$3:$G$1048576))</f>
        <v>Low</v>
      </c>
      <c r="BA91" s="27" t="s">
        <v>1458</v>
      </c>
      <c r="BB91" s="74"/>
      <c r="BC91" s="74"/>
      <c r="BD91" s="74"/>
      <c r="BE91" s="74" t="s">
        <v>1552</v>
      </c>
      <c r="BF91" s="74" t="str">
        <f>_xlfn.XLOOKUP(CONCATENATE(H91,"_",AV91),'Test 2 - Proof points - GPT5'!$T:$T,'Test 2 - Proof points - GPT5'!$S:$S)</f>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 REFINED SUNFLOWER OIL EDIBLE (suppliers: 13, plants: 2) — price/kg 1.65-2.09 (median 1.86; spread 24%). Potential value ≈ $1,565,056 by aligning 50% volume to P25–P10 pricing. Actions: Run competitive re-bids on the cited SKUs, standardize specs, and lock indexed contracts where volatility is high. Prioritize suppliers with proven capability across Malaysia/Australia plants to converge to best-in-class pricing.</v>
      </c>
      <c r="BG91" s="74" t="e">
        <f>_xlfn.XLOOKUP(CONCATENATE(H91,"_",AV91),'Test 2 -Proof points - Sonnet'!$AB:$AB,'Test 2 -Proof points - Sonnet'!$AA:$AA)</f>
        <v>#N/A</v>
      </c>
      <c r="BH91" s="74" t="s">
        <v>1553</v>
      </c>
      <c r="BI91" s="74"/>
      <c r="BJ91" s="74" t="s">
        <v>1550</v>
      </c>
      <c r="BK91" s="30"/>
      <c r="BL91" s="30"/>
      <c r="BM91" s="30"/>
      <c r="BN91" s="30" t="s">
        <v>132</v>
      </c>
      <c r="BO91" s="30" t="s">
        <v>132</v>
      </c>
      <c r="BP91" s="30"/>
      <c r="BQ91" s="30"/>
      <c r="BR91" s="30"/>
      <c r="BS91" s="30"/>
      <c r="BT91" s="30"/>
      <c r="BU91" s="30"/>
      <c r="BV91" s="113" t="s">
        <v>132</v>
      </c>
    </row>
    <row r="92" spans="1:74" ht="203" hidden="1" x14ac:dyDescent="0.35">
      <c r="A92" s="22">
        <v>3</v>
      </c>
      <c r="B92" s="22" t="s">
        <v>1451</v>
      </c>
      <c r="C92" s="22" t="s">
        <v>1452</v>
      </c>
      <c r="D92" s="22" t="s">
        <v>1224</v>
      </c>
      <c r="E92" s="22" t="s">
        <v>1453</v>
      </c>
      <c r="F92" s="22"/>
      <c r="G92" s="22" t="s">
        <v>1274</v>
      </c>
      <c r="H92" s="21" t="s">
        <v>1279</v>
      </c>
      <c r="I92" s="22"/>
      <c r="J92" s="21" t="s">
        <v>1336</v>
      </c>
      <c r="K92" s="30"/>
      <c r="L92" s="30" t="s">
        <v>1239</v>
      </c>
      <c r="M92" s="35" t="str">
        <f>VLOOKUP(H92,'1_Value &amp; risk levers'!$H$9:$O$1048576,2,FALSE)</f>
        <v>No review conducted</v>
      </c>
      <c r="N92" s="35" t="str">
        <f>VLOOKUP(H92,'1_Value &amp; risk levers'!$H$9:$O$1048576,3,FALSE)</f>
        <v>Limited trials for bulk options</v>
      </c>
      <c r="O92" s="35" t="str">
        <f>VLOOKUP(H92,'1_Value &amp; risk levers'!$H$9:$O$1048576,4,FALSE)</f>
        <v>Regular assessments to optimize packaging</v>
      </c>
      <c r="P92" s="35" t="str">
        <f>VLOOKUP(H92,'1_Value &amp; risk levers'!$H$9:$O$1048576,5,FALSE)</f>
        <v>Fully optimized with advanced logistics planning</v>
      </c>
      <c r="Q92" s="77">
        <f>IF(VLOOKUP(H92,'1_Value &amp; risk levers'!$H$9:$T$1048576,13,FALSE)=0,"",VLOOKUP(H92,'1_Value &amp; risk levers'!$H$9:$T$1048576,13,FALSE))</f>
        <v>1</v>
      </c>
      <c r="R92" s="128">
        <f t="shared" si="22"/>
        <v>2</v>
      </c>
      <c r="S92" s="128" t="e">
        <f t="shared" si="23"/>
        <v>#DIV/0!</v>
      </c>
      <c r="T92" s="77"/>
      <c r="U92" s="77"/>
      <c r="V92" s="55"/>
      <c r="W92" s="71">
        <v>0.04</v>
      </c>
      <c r="X92" s="71">
        <v>0.1</v>
      </c>
      <c r="Y92" s="71">
        <f>VLOOKUP(H92,'1_Value &amp; risk levers'!$H$9:$O$1048576,8,FALSE)</f>
        <v>0.8</v>
      </c>
      <c r="Z92" s="51">
        <f t="shared" si="24"/>
        <v>7.0000000000000007E-2</v>
      </c>
      <c r="AA92" s="51">
        <f t="shared" si="26"/>
        <v>8.5000000000000006E-2</v>
      </c>
      <c r="AB92" s="55">
        <f t="shared" si="27"/>
        <v>2800000.0000000005</v>
      </c>
      <c r="AC92" s="55">
        <f t="shared" si="28"/>
        <v>3400000.0000000005</v>
      </c>
      <c r="AD92" s="80">
        <f t="shared" si="29"/>
        <v>7</v>
      </c>
      <c r="AE92" s="84">
        <f t="shared" si="30"/>
        <v>0.48864540816326468</v>
      </c>
      <c r="AF92" s="71" t="str">
        <f t="shared" si="31"/>
        <v>Low</v>
      </c>
      <c r="AG92" s="84">
        <f t="shared" si="32"/>
        <v>5.9772908163265304E-2</v>
      </c>
      <c r="AH92" s="84">
        <f t="shared" si="33"/>
        <v>9.5227091836734709E-2</v>
      </c>
      <c r="AI92" s="73">
        <f t="shared" si="34"/>
        <v>2390916.3265306121</v>
      </c>
      <c r="AJ92" s="73">
        <f t="shared" si="35"/>
        <v>3809083.6734693884</v>
      </c>
      <c r="AK92" s="46">
        <f>VLOOKUP(H92,'1_Value &amp; risk levers'!$H$9:$O$1048576,6,FALSE)</f>
        <v>0.02</v>
      </c>
      <c r="AL92" s="46">
        <f>VLOOKUP(H92,'1_Value &amp; risk levers'!$H$9:$O$1048576,7,FALSE)</f>
        <v>0.03</v>
      </c>
      <c r="AM92" s="50">
        <f t="shared" si="36"/>
        <v>2.75E-2</v>
      </c>
      <c r="AN92" s="72">
        <f t="shared" si="37"/>
        <v>0.12790697674418605</v>
      </c>
      <c r="AO92" s="84">
        <f t="shared" si="38"/>
        <v>7.6453719743711434E-3</v>
      </c>
      <c r="AP92" s="84">
        <f t="shared" si="39"/>
        <v>1.2180209420977696E-2</v>
      </c>
      <c r="AQ92" s="55">
        <f t="shared" si="40"/>
        <v>358139.53488372103</v>
      </c>
      <c r="AR92" s="55">
        <f t="shared" si="41"/>
        <v>434883.72093023261</v>
      </c>
      <c r="AS92" s="83">
        <f t="shared" si="25"/>
        <v>41</v>
      </c>
      <c r="AT92" s="50">
        <f t="shared" si="42"/>
        <v>6.66</v>
      </c>
      <c r="AU92" s="55" t="str">
        <f t="shared" si="43"/>
        <v>Medium</v>
      </c>
      <c r="AV92" s="36" t="s">
        <v>1481</v>
      </c>
      <c r="AW92" s="110" t="s">
        <v>1482</v>
      </c>
      <c r="AX92" s="37" t="s">
        <v>1456</v>
      </c>
      <c r="AY92" s="30"/>
      <c r="AZ92" s="85" t="str">
        <f>IF(ISERROR(_xlfn.XLOOKUP(CONCATENATE(A92,"_",AV92),'Reference-Proof pt impact flag'!$I$3:$I$1048576,'Reference-Proof pt impact flag'!$G$3:$G$1048576)),"",_xlfn.XLOOKUP(CONCATENATE(A92,"_",AV92),'Reference-Proof pt impact flag'!$I$3:$I$1048576,'Reference-Proof pt impact flag'!$G$3:$G$1048576))</f>
        <v/>
      </c>
      <c r="BA92" s="74"/>
      <c r="BB92" s="74"/>
      <c r="BC92" s="74"/>
      <c r="BD92" s="74"/>
      <c r="BE92" s="74"/>
      <c r="BF92" s="74" t="e">
        <f>_xlfn.XLOOKUP(CONCATENATE(H92,"_",AV92),'Test 2 - Proof points - GPT5'!$T:$T,'Test 2 - Proof points - GPT5'!$S:$S)</f>
        <v>#N/A</v>
      </c>
      <c r="BG92" s="74" t="e">
        <f>_xlfn.XLOOKUP(CONCATENATE(H92,"_",AV92),'Test 2 -Proof points - Sonnet'!$AB:$AB,'Test 2 -Proof points - Sonnet'!$AA:$AA)</f>
        <v>#N/A</v>
      </c>
      <c r="BH92" s="74"/>
      <c r="BI92" s="74"/>
      <c r="BJ92" s="74" t="s">
        <v>1550</v>
      </c>
      <c r="BK92" s="30"/>
      <c r="BL92" s="30"/>
      <c r="BM92" s="30"/>
      <c r="BN92" s="30"/>
      <c r="BO92" s="30"/>
      <c r="BP92" s="30"/>
      <c r="BQ92" s="30"/>
      <c r="BR92" s="30"/>
      <c r="BS92" s="30"/>
      <c r="BT92" s="30"/>
      <c r="BU92" s="30"/>
      <c r="BV92" s="113"/>
    </row>
    <row r="93" spans="1:74" ht="203" hidden="1" x14ac:dyDescent="0.35">
      <c r="A93" s="22">
        <v>3</v>
      </c>
      <c r="B93" s="22" t="s">
        <v>1451</v>
      </c>
      <c r="C93" s="22" t="s">
        <v>1452</v>
      </c>
      <c r="D93" s="22" t="s">
        <v>1224</v>
      </c>
      <c r="E93" s="22" t="s">
        <v>1453</v>
      </c>
      <c r="F93" s="22"/>
      <c r="G93" s="22" t="s">
        <v>1274</v>
      </c>
      <c r="H93" s="21" t="s">
        <v>1279</v>
      </c>
      <c r="I93" s="22"/>
      <c r="J93" s="21" t="s">
        <v>1336</v>
      </c>
      <c r="K93" s="30"/>
      <c r="L93" s="30" t="s">
        <v>1239</v>
      </c>
      <c r="M93" s="35" t="str">
        <f>VLOOKUP(H93,'1_Value &amp; risk levers'!$H$9:$O$1048576,2,FALSE)</f>
        <v>No review conducted</v>
      </c>
      <c r="N93" s="35" t="str">
        <f>VLOOKUP(H93,'1_Value &amp; risk levers'!$H$9:$O$1048576,3,FALSE)</f>
        <v>Limited trials for bulk options</v>
      </c>
      <c r="O93" s="35" t="str">
        <f>VLOOKUP(H93,'1_Value &amp; risk levers'!$H$9:$O$1048576,4,FALSE)</f>
        <v>Regular assessments to optimize packaging</v>
      </c>
      <c r="P93" s="35" t="str">
        <f>VLOOKUP(H93,'1_Value &amp; risk levers'!$H$9:$O$1048576,5,FALSE)</f>
        <v>Fully optimized with advanced logistics planning</v>
      </c>
      <c r="Q93" s="77">
        <f>IF(VLOOKUP(H93,'1_Value &amp; risk levers'!$H$9:$T$1048576,13,FALSE)=0,"",VLOOKUP(H93,'1_Value &amp; risk levers'!$H$9:$T$1048576,13,FALSE))</f>
        <v>1</v>
      </c>
      <c r="R93" s="128">
        <f t="shared" si="22"/>
        <v>2</v>
      </c>
      <c r="S93" s="128" t="e">
        <f t="shared" si="23"/>
        <v>#DIV/0!</v>
      </c>
      <c r="T93" s="77"/>
      <c r="U93" s="77"/>
      <c r="V93" s="55"/>
      <c r="W93" s="71">
        <v>0.04</v>
      </c>
      <c r="X93" s="71">
        <v>0.1</v>
      </c>
      <c r="Y93" s="71">
        <f>VLOOKUP(H93,'1_Value &amp; risk levers'!$H$9:$O$1048576,8,FALSE)</f>
        <v>0.8</v>
      </c>
      <c r="Z93" s="51">
        <f t="shared" si="24"/>
        <v>7.0000000000000007E-2</v>
      </c>
      <c r="AA93" s="51">
        <f t="shared" si="26"/>
        <v>8.5000000000000006E-2</v>
      </c>
      <c r="AB93" s="55">
        <f t="shared" si="27"/>
        <v>2800000.0000000005</v>
      </c>
      <c r="AC93" s="55">
        <f t="shared" si="28"/>
        <v>3400000.0000000005</v>
      </c>
      <c r="AD93" s="80">
        <f t="shared" si="29"/>
        <v>7</v>
      </c>
      <c r="AE93" s="84">
        <f t="shared" si="30"/>
        <v>0.48864540816326468</v>
      </c>
      <c r="AF93" s="71" t="str">
        <f t="shared" si="31"/>
        <v>Low</v>
      </c>
      <c r="AG93" s="84">
        <f t="shared" si="32"/>
        <v>5.9772908163265304E-2</v>
      </c>
      <c r="AH93" s="84">
        <f t="shared" si="33"/>
        <v>9.5227091836734709E-2</v>
      </c>
      <c r="AI93" s="73">
        <f t="shared" si="34"/>
        <v>2390916.3265306121</v>
      </c>
      <c r="AJ93" s="73">
        <f t="shared" si="35"/>
        <v>3809083.6734693884</v>
      </c>
      <c r="AK93" s="46">
        <f>VLOOKUP(H93,'1_Value &amp; risk levers'!$H$9:$O$1048576,6,FALSE)</f>
        <v>0.02</v>
      </c>
      <c r="AL93" s="46">
        <f>VLOOKUP(H93,'1_Value &amp; risk levers'!$H$9:$O$1048576,7,FALSE)</f>
        <v>0.03</v>
      </c>
      <c r="AM93" s="50">
        <f t="shared" si="36"/>
        <v>2.75E-2</v>
      </c>
      <c r="AN93" s="72">
        <f t="shared" si="37"/>
        <v>0.12790697674418605</v>
      </c>
      <c r="AO93" s="84">
        <f t="shared" si="38"/>
        <v>7.6453719743711434E-3</v>
      </c>
      <c r="AP93" s="84">
        <f t="shared" si="39"/>
        <v>1.2180209420977696E-2</v>
      </c>
      <c r="AQ93" s="55">
        <f t="shared" si="40"/>
        <v>358139.53488372103</v>
      </c>
      <c r="AR93" s="55">
        <f t="shared" si="41"/>
        <v>434883.72093023261</v>
      </c>
      <c r="AS93" s="83">
        <f t="shared" si="25"/>
        <v>41</v>
      </c>
      <c r="AT93" s="50">
        <f t="shared" si="42"/>
        <v>6.66</v>
      </c>
      <c r="AU93" s="55" t="str">
        <f t="shared" si="43"/>
        <v>Medium</v>
      </c>
      <c r="AV93" s="36" t="s">
        <v>1483</v>
      </c>
      <c r="AW93" s="110" t="s">
        <v>1484</v>
      </c>
      <c r="AX93" s="37" t="s">
        <v>1456</v>
      </c>
      <c r="AY93" s="30"/>
      <c r="AZ93" s="85" t="str">
        <f>IF(ISERROR(_xlfn.XLOOKUP(CONCATENATE(A93,"_",AV93),'Reference-Proof pt impact flag'!$I$3:$I$1048576,'Reference-Proof pt impact flag'!$G$3:$G$1048576)),"",_xlfn.XLOOKUP(CONCATENATE(A93,"_",AV93),'Reference-Proof pt impact flag'!$I$3:$I$1048576,'Reference-Proof pt impact flag'!$G$3:$G$1048576))</f>
        <v/>
      </c>
      <c r="BA93" s="74"/>
      <c r="BB93" s="74"/>
      <c r="BC93" s="74"/>
      <c r="BD93" s="74"/>
      <c r="BE93" s="74"/>
      <c r="BF93" s="74" t="e">
        <f>_xlfn.XLOOKUP(CONCATENATE(H93,"_",AV93),'Test 2 - Proof points - GPT5'!$T:$T,'Test 2 - Proof points - GPT5'!$S:$S)</f>
        <v>#N/A</v>
      </c>
      <c r="BG93" s="74" t="e">
        <f>_xlfn.XLOOKUP(CONCATENATE(H93,"_",AV93),'Test 2 -Proof points - Sonnet'!$AB:$AB,'Test 2 -Proof points - Sonnet'!$AA:$AA)</f>
        <v>#N/A</v>
      </c>
      <c r="BH93" s="74"/>
      <c r="BI93" s="74"/>
      <c r="BJ93" s="74" t="s">
        <v>1550</v>
      </c>
      <c r="BK93" s="30"/>
      <c r="BL93" s="30"/>
      <c r="BM93" s="30"/>
      <c r="BN93" s="30"/>
      <c r="BO93" s="30"/>
      <c r="BP93" s="30"/>
      <c r="BQ93" s="30"/>
      <c r="BR93" s="30"/>
      <c r="BS93" s="30"/>
      <c r="BT93" s="30"/>
      <c r="BU93" s="30"/>
      <c r="BV93" s="113"/>
    </row>
    <row r="94" spans="1:74" ht="203" hidden="1" x14ac:dyDescent="0.35">
      <c r="A94" s="22">
        <v>3</v>
      </c>
      <c r="B94" s="22" t="s">
        <v>1451</v>
      </c>
      <c r="C94" s="22" t="s">
        <v>1452</v>
      </c>
      <c r="D94" s="22" t="s">
        <v>1224</v>
      </c>
      <c r="E94" s="22" t="s">
        <v>1453</v>
      </c>
      <c r="F94" s="22"/>
      <c r="G94" s="22" t="s">
        <v>1274</v>
      </c>
      <c r="H94" s="21" t="s">
        <v>1279</v>
      </c>
      <c r="I94" s="22"/>
      <c r="J94" s="21" t="s">
        <v>1336</v>
      </c>
      <c r="K94" s="30"/>
      <c r="L94" s="30" t="s">
        <v>1239</v>
      </c>
      <c r="M94" s="35" t="str">
        <f>VLOOKUP(H94,'1_Value &amp; risk levers'!$H$9:$O$1048576,2,FALSE)</f>
        <v>No review conducted</v>
      </c>
      <c r="N94" s="35" t="str">
        <f>VLOOKUP(H94,'1_Value &amp; risk levers'!$H$9:$O$1048576,3,FALSE)</f>
        <v>Limited trials for bulk options</v>
      </c>
      <c r="O94" s="35" t="str">
        <f>VLOOKUP(H94,'1_Value &amp; risk levers'!$H$9:$O$1048576,4,FALSE)</f>
        <v>Regular assessments to optimize packaging</v>
      </c>
      <c r="P94" s="35" t="str">
        <f>VLOOKUP(H94,'1_Value &amp; risk levers'!$H$9:$O$1048576,5,FALSE)</f>
        <v>Fully optimized with advanced logistics planning</v>
      </c>
      <c r="Q94" s="77">
        <f>IF(VLOOKUP(H94,'1_Value &amp; risk levers'!$H$9:$T$1048576,13,FALSE)=0,"",VLOOKUP(H94,'1_Value &amp; risk levers'!$H$9:$T$1048576,13,FALSE))</f>
        <v>1</v>
      </c>
      <c r="R94" s="128">
        <f t="shared" si="22"/>
        <v>2</v>
      </c>
      <c r="S94" s="128" t="e">
        <f t="shared" si="23"/>
        <v>#DIV/0!</v>
      </c>
      <c r="T94" s="77"/>
      <c r="U94" s="77"/>
      <c r="V94" s="55"/>
      <c r="W94" s="71">
        <v>0.04</v>
      </c>
      <c r="X94" s="71">
        <v>0.1</v>
      </c>
      <c r="Y94" s="71">
        <f>VLOOKUP(H94,'1_Value &amp; risk levers'!$H$9:$O$1048576,8,FALSE)</f>
        <v>0.8</v>
      </c>
      <c r="Z94" s="51">
        <f t="shared" si="24"/>
        <v>7.0000000000000007E-2</v>
      </c>
      <c r="AA94" s="51">
        <f t="shared" si="26"/>
        <v>8.5000000000000006E-2</v>
      </c>
      <c r="AB94" s="55">
        <f t="shared" si="27"/>
        <v>2800000.0000000005</v>
      </c>
      <c r="AC94" s="55">
        <f t="shared" si="28"/>
        <v>3400000.0000000005</v>
      </c>
      <c r="AD94" s="80">
        <f t="shared" si="29"/>
        <v>7</v>
      </c>
      <c r="AE94" s="84">
        <f t="shared" si="30"/>
        <v>0.48864540816326468</v>
      </c>
      <c r="AF94" s="71" t="str">
        <f t="shared" si="31"/>
        <v>Low</v>
      </c>
      <c r="AG94" s="84">
        <f t="shared" si="32"/>
        <v>5.9772908163265304E-2</v>
      </c>
      <c r="AH94" s="84">
        <f t="shared" si="33"/>
        <v>9.5227091836734709E-2</v>
      </c>
      <c r="AI94" s="73">
        <f t="shared" si="34"/>
        <v>2390916.3265306121</v>
      </c>
      <c r="AJ94" s="73">
        <f t="shared" si="35"/>
        <v>3809083.6734693884</v>
      </c>
      <c r="AK94" s="46">
        <f>VLOOKUP(H94,'1_Value &amp; risk levers'!$H$9:$O$1048576,6,FALSE)</f>
        <v>0.02</v>
      </c>
      <c r="AL94" s="46">
        <f>VLOOKUP(H94,'1_Value &amp; risk levers'!$H$9:$O$1048576,7,FALSE)</f>
        <v>0.03</v>
      </c>
      <c r="AM94" s="50">
        <f t="shared" si="36"/>
        <v>2.75E-2</v>
      </c>
      <c r="AN94" s="72">
        <f t="shared" si="37"/>
        <v>0.12790697674418605</v>
      </c>
      <c r="AO94" s="84">
        <f t="shared" si="38"/>
        <v>7.6453719743711434E-3</v>
      </c>
      <c r="AP94" s="84">
        <f t="shared" si="39"/>
        <v>1.2180209420977696E-2</v>
      </c>
      <c r="AQ94" s="55">
        <f t="shared" si="40"/>
        <v>358139.53488372103</v>
      </c>
      <c r="AR94" s="55">
        <f t="shared" si="41"/>
        <v>434883.72093023261</v>
      </c>
      <c r="AS94" s="83">
        <f t="shared" si="25"/>
        <v>41</v>
      </c>
      <c r="AT94" s="50">
        <f t="shared" si="42"/>
        <v>6.66</v>
      </c>
      <c r="AU94" s="55" t="str">
        <f t="shared" si="43"/>
        <v>Medium</v>
      </c>
      <c r="AV94" s="36" t="s">
        <v>1486</v>
      </c>
      <c r="AW94" s="110" t="s">
        <v>1487</v>
      </c>
      <c r="AX94" s="37" t="s">
        <v>1456</v>
      </c>
      <c r="AY94" s="30"/>
      <c r="AZ94" s="85" t="str">
        <f>IF(ISERROR(_xlfn.XLOOKUP(CONCATENATE(A94,"_",AV94),'Reference-Proof pt impact flag'!$I$3:$I$1048576,'Reference-Proof pt impact flag'!$G$3:$G$1048576)),"",_xlfn.XLOOKUP(CONCATENATE(A94,"_",AV94),'Reference-Proof pt impact flag'!$I$3:$I$1048576,'Reference-Proof pt impact flag'!$G$3:$G$1048576))</f>
        <v/>
      </c>
      <c r="BA94" s="74"/>
      <c r="BB94" s="74"/>
      <c r="BC94" s="74"/>
      <c r="BD94" s="74"/>
      <c r="BE94" s="74"/>
      <c r="BF94" s="74" t="e">
        <f>_xlfn.XLOOKUP(CONCATENATE(H94,"_",AV94),'Test 2 - Proof points - GPT5'!$T:$T,'Test 2 - Proof points - GPT5'!$S:$S)</f>
        <v>#N/A</v>
      </c>
      <c r="BG94" s="74" t="e">
        <f>_xlfn.XLOOKUP(CONCATENATE(H94,"_",AV94),'Test 2 -Proof points - Sonnet'!$AB:$AB,'Test 2 -Proof points - Sonnet'!$AA:$AA)</f>
        <v>#N/A</v>
      </c>
      <c r="BH94" s="74"/>
      <c r="BI94" s="74"/>
      <c r="BJ94" s="74" t="s">
        <v>1550</v>
      </c>
      <c r="BK94" s="30"/>
      <c r="BL94" s="30"/>
      <c r="BM94" s="30"/>
      <c r="BN94" s="30"/>
      <c r="BO94" s="30"/>
      <c r="BP94" s="30"/>
      <c r="BQ94" s="30"/>
      <c r="BR94" s="30"/>
      <c r="BS94" s="30"/>
      <c r="BT94" s="30"/>
      <c r="BU94" s="30"/>
      <c r="BV94" s="113"/>
    </row>
    <row r="95" spans="1:74" ht="203" hidden="1" x14ac:dyDescent="0.35">
      <c r="A95" s="22">
        <v>3</v>
      </c>
      <c r="B95" s="22" t="s">
        <v>1451</v>
      </c>
      <c r="C95" s="22" t="s">
        <v>1452</v>
      </c>
      <c r="D95" s="22" t="s">
        <v>1224</v>
      </c>
      <c r="E95" s="22" t="s">
        <v>1453</v>
      </c>
      <c r="F95" s="22"/>
      <c r="G95" s="22" t="s">
        <v>1274</v>
      </c>
      <c r="H95" s="21" t="s">
        <v>1279</v>
      </c>
      <c r="I95" s="22"/>
      <c r="J95" s="21" t="s">
        <v>1336</v>
      </c>
      <c r="K95" s="30"/>
      <c r="L95" s="30" t="s">
        <v>1239</v>
      </c>
      <c r="M95" s="35" t="str">
        <f>VLOOKUP(H95,'1_Value &amp; risk levers'!$H$9:$O$1048576,2,FALSE)</f>
        <v>No review conducted</v>
      </c>
      <c r="N95" s="35" t="str">
        <f>VLOOKUP(H95,'1_Value &amp; risk levers'!$H$9:$O$1048576,3,FALSE)</f>
        <v>Limited trials for bulk options</v>
      </c>
      <c r="O95" s="35" t="str">
        <f>VLOOKUP(H95,'1_Value &amp; risk levers'!$H$9:$O$1048576,4,FALSE)</f>
        <v>Regular assessments to optimize packaging</v>
      </c>
      <c r="P95" s="35" t="str">
        <f>VLOOKUP(H95,'1_Value &amp; risk levers'!$H$9:$O$1048576,5,FALSE)</f>
        <v>Fully optimized with advanced logistics planning</v>
      </c>
      <c r="Q95" s="77">
        <f>IF(VLOOKUP(H95,'1_Value &amp; risk levers'!$H$9:$T$1048576,13,FALSE)=0,"",VLOOKUP(H95,'1_Value &amp; risk levers'!$H$9:$T$1048576,13,FALSE))</f>
        <v>1</v>
      </c>
      <c r="R95" s="128">
        <f t="shared" si="22"/>
        <v>2</v>
      </c>
      <c r="S95" s="128" t="e">
        <f t="shared" si="23"/>
        <v>#DIV/0!</v>
      </c>
      <c r="T95" s="77"/>
      <c r="U95" s="77"/>
      <c r="V95" s="55"/>
      <c r="W95" s="71">
        <v>0.04</v>
      </c>
      <c r="X95" s="71">
        <v>0.1</v>
      </c>
      <c r="Y95" s="71">
        <f>VLOOKUP(H95,'1_Value &amp; risk levers'!$H$9:$O$1048576,8,FALSE)</f>
        <v>0.8</v>
      </c>
      <c r="Z95" s="51">
        <f t="shared" si="24"/>
        <v>7.0000000000000007E-2</v>
      </c>
      <c r="AA95" s="51">
        <f t="shared" si="26"/>
        <v>8.5000000000000006E-2</v>
      </c>
      <c r="AB95" s="55">
        <f t="shared" si="27"/>
        <v>2800000.0000000005</v>
      </c>
      <c r="AC95" s="55">
        <f t="shared" si="28"/>
        <v>3400000.0000000005</v>
      </c>
      <c r="AD95" s="80">
        <f t="shared" si="29"/>
        <v>7</v>
      </c>
      <c r="AE95" s="84">
        <f t="shared" si="30"/>
        <v>0.48864540816326468</v>
      </c>
      <c r="AF95" s="71" t="str">
        <f t="shared" si="31"/>
        <v>Low</v>
      </c>
      <c r="AG95" s="84">
        <f t="shared" si="32"/>
        <v>5.9772908163265304E-2</v>
      </c>
      <c r="AH95" s="84">
        <f t="shared" si="33"/>
        <v>9.5227091836734709E-2</v>
      </c>
      <c r="AI95" s="73">
        <f t="shared" si="34"/>
        <v>2390916.3265306121</v>
      </c>
      <c r="AJ95" s="73">
        <f t="shared" si="35"/>
        <v>3809083.6734693884</v>
      </c>
      <c r="AK95" s="46">
        <f>VLOOKUP(H95,'1_Value &amp; risk levers'!$H$9:$O$1048576,6,FALSE)</f>
        <v>0.02</v>
      </c>
      <c r="AL95" s="46">
        <f>VLOOKUP(H95,'1_Value &amp; risk levers'!$H$9:$O$1048576,7,FALSE)</f>
        <v>0.03</v>
      </c>
      <c r="AM95" s="50">
        <f t="shared" si="36"/>
        <v>2.75E-2</v>
      </c>
      <c r="AN95" s="72">
        <f t="shared" si="37"/>
        <v>0.12790697674418605</v>
      </c>
      <c r="AO95" s="84">
        <f t="shared" si="38"/>
        <v>7.6453719743711434E-3</v>
      </c>
      <c r="AP95" s="84">
        <f t="shared" si="39"/>
        <v>1.2180209420977696E-2</v>
      </c>
      <c r="AQ95" s="55">
        <f t="shared" si="40"/>
        <v>358139.53488372103</v>
      </c>
      <c r="AR95" s="55">
        <f t="shared" si="41"/>
        <v>434883.72093023261</v>
      </c>
      <c r="AS95" s="83">
        <f t="shared" si="25"/>
        <v>41</v>
      </c>
      <c r="AT95" s="50">
        <f t="shared" si="42"/>
        <v>6.66</v>
      </c>
      <c r="AU95" s="55" t="str">
        <f t="shared" si="43"/>
        <v>Medium</v>
      </c>
      <c r="AV95" s="36" t="s">
        <v>1488</v>
      </c>
      <c r="AW95" s="110" t="s">
        <v>1489</v>
      </c>
      <c r="AX95" s="37" t="s">
        <v>1456</v>
      </c>
      <c r="AY95" s="30"/>
      <c r="AZ95" s="85" t="str">
        <f>IF(ISERROR(_xlfn.XLOOKUP(CONCATENATE(A95,"_",AV95),'Reference-Proof pt impact flag'!$I$3:$I$1048576,'Reference-Proof pt impact flag'!$G$3:$G$1048576)),"",_xlfn.XLOOKUP(CONCATENATE(A95,"_",AV95),'Reference-Proof pt impact flag'!$I$3:$I$1048576,'Reference-Proof pt impact flag'!$G$3:$G$1048576))</f>
        <v/>
      </c>
      <c r="BA95" s="74"/>
      <c r="BB95" s="74"/>
      <c r="BC95" s="74"/>
      <c r="BD95" s="74"/>
      <c r="BE95" s="74"/>
      <c r="BF95" s="74" t="e">
        <f>_xlfn.XLOOKUP(CONCATENATE(H95,"_",AV95),'Test 2 - Proof points - GPT5'!$T:$T,'Test 2 - Proof points - GPT5'!$S:$S)</f>
        <v>#N/A</v>
      </c>
      <c r="BG95" s="74" t="e">
        <f>_xlfn.XLOOKUP(CONCATENATE(H95,"_",AV95),'Test 2 -Proof points - Sonnet'!$AB:$AB,'Test 2 -Proof points - Sonnet'!$AA:$AA)</f>
        <v>#N/A</v>
      </c>
      <c r="BH95" s="74"/>
      <c r="BI95" s="74"/>
      <c r="BJ95" s="74" t="s">
        <v>1550</v>
      </c>
      <c r="BK95" s="30"/>
      <c r="BL95" s="30"/>
      <c r="BM95" s="30"/>
      <c r="BN95" s="30"/>
      <c r="BO95" s="30"/>
      <c r="BP95" s="30"/>
      <c r="BQ95" s="30"/>
      <c r="BR95" s="30"/>
      <c r="BS95" s="30"/>
      <c r="BT95" s="30"/>
      <c r="BU95" s="30"/>
      <c r="BV95" s="113"/>
    </row>
    <row r="96" spans="1:74" ht="203" hidden="1" x14ac:dyDescent="0.35">
      <c r="A96" s="22">
        <v>3</v>
      </c>
      <c r="B96" s="22" t="s">
        <v>1451</v>
      </c>
      <c r="C96" s="22" t="s">
        <v>1452</v>
      </c>
      <c r="D96" s="22" t="s">
        <v>1224</v>
      </c>
      <c r="E96" s="22" t="s">
        <v>1453</v>
      </c>
      <c r="F96" s="22"/>
      <c r="G96" s="22" t="s">
        <v>1274</v>
      </c>
      <c r="H96" s="21" t="s">
        <v>1279</v>
      </c>
      <c r="I96" s="22"/>
      <c r="J96" s="21" t="s">
        <v>1336</v>
      </c>
      <c r="K96" s="30"/>
      <c r="L96" s="30" t="s">
        <v>1239</v>
      </c>
      <c r="M96" s="35" t="str">
        <f>VLOOKUP(H96,'1_Value &amp; risk levers'!$H$9:$O$1048576,2,FALSE)</f>
        <v>No review conducted</v>
      </c>
      <c r="N96" s="35" t="str">
        <f>VLOOKUP(H96,'1_Value &amp; risk levers'!$H$9:$O$1048576,3,FALSE)</f>
        <v>Limited trials for bulk options</v>
      </c>
      <c r="O96" s="35" t="str">
        <f>VLOOKUP(H96,'1_Value &amp; risk levers'!$H$9:$O$1048576,4,FALSE)</f>
        <v>Regular assessments to optimize packaging</v>
      </c>
      <c r="P96" s="35" t="str">
        <f>VLOOKUP(H96,'1_Value &amp; risk levers'!$H$9:$O$1048576,5,FALSE)</f>
        <v>Fully optimized with advanced logistics planning</v>
      </c>
      <c r="Q96" s="77">
        <f>IF(VLOOKUP(H96,'1_Value &amp; risk levers'!$H$9:$T$1048576,13,FALSE)=0,"",VLOOKUP(H96,'1_Value &amp; risk levers'!$H$9:$T$1048576,13,FALSE))</f>
        <v>1</v>
      </c>
      <c r="R96" s="128">
        <f t="shared" si="22"/>
        <v>2</v>
      </c>
      <c r="S96" s="128" t="e">
        <f t="shared" si="23"/>
        <v>#DIV/0!</v>
      </c>
      <c r="T96" s="77"/>
      <c r="U96" s="77"/>
      <c r="V96" s="55"/>
      <c r="W96" s="71">
        <v>0.04</v>
      </c>
      <c r="X96" s="71">
        <v>0.1</v>
      </c>
      <c r="Y96" s="71">
        <f>VLOOKUP(H96,'1_Value &amp; risk levers'!$H$9:$O$1048576,8,FALSE)</f>
        <v>0.8</v>
      </c>
      <c r="Z96" s="51">
        <f t="shared" si="24"/>
        <v>7.0000000000000007E-2</v>
      </c>
      <c r="AA96" s="51">
        <f t="shared" si="26"/>
        <v>8.5000000000000006E-2</v>
      </c>
      <c r="AB96" s="55">
        <f t="shared" si="27"/>
        <v>2800000.0000000005</v>
      </c>
      <c r="AC96" s="55">
        <f t="shared" si="28"/>
        <v>3400000.0000000005</v>
      </c>
      <c r="AD96" s="80">
        <f t="shared" si="29"/>
        <v>7</v>
      </c>
      <c r="AE96" s="84">
        <f t="shared" si="30"/>
        <v>0.48864540816326468</v>
      </c>
      <c r="AF96" s="71" t="str">
        <f t="shared" si="31"/>
        <v>Low</v>
      </c>
      <c r="AG96" s="84">
        <f t="shared" si="32"/>
        <v>5.9772908163265304E-2</v>
      </c>
      <c r="AH96" s="84">
        <f t="shared" si="33"/>
        <v>9.5227091836734709E-2</v>
      </c>
      <c r="AI96" s="73">
        <f t="shared" si="34"/>
        <v>2390916.3265306121</v>
      </c>
      <c r="AJ96" s="73">
        <f t="shared" si="35"/>
        <v>3809083.6734693884</v>
      </c>
      <c r="AK96" s="46">
        <f>VLOOKUP(H96,'1_Value &amp; risk levers'!$H$9:$O$1048576,6,FALSE)</f>
        <v>0.02</v>
      </c>
      <c r="AL96" s="46">
        <f>VLOOKUP(H96,'1_Value &amp; risk levers'!$H$9:$O$1048576,7,FALSE)</f>
        <v>0.03</v>
      </c>
      <c r="AM96" s="50">
        <f t="shared" si="36"/>
        <v>2.75E-2</v>
      </c>
      <c r="AN96" s="72">
        <f t="shared" si="37"/>
        <v>0.12790697674418605</v>
      </c>
      <c r="AO96" s="84">
        <f t="shared" si="38"/>
        <v>7.6453719743711434E-3</v>
      </c>
      <c r="AP96" s="84">
        <f t="shared" si="39"/>
        <v>1.2180209420977696E-2</v>
      </c>
      <c r="AQ96" s="55">
        <f t="shared" si="40"/>
        <v>358139.53488372103</v>
      </c>
      <c r="AR96" s="55">
        <f t="shared" si="41"/>
        <v>434883.72093023261</v>
      </c>
      <c r="AS96" s="83">
        <f t="shared" si="25"/>
        <v>41</v>
      </c>
      <c r="AT96" s="50">
        <f t="shared" si="42"/>
        <v>6.66</v>
      </c>
      <c r="AU96" s="55" t="str">
        <f t="shared" si="43"/>
        <v>Medium</v>
      </c>
      <c r="AV96" s="36" t="s">
        <v>1490</v>
      </c>
      <c r="AW96" s="110" t="s">
        <v>1491</v>
      </c>
      <c r="AX96" s="37" t="s">
        <v>1456</v>
      </c>
      <c r="AY96" s="30"/>
      <c r="AZ96" s="85" t="str">
        <f>IF(ISERROR(_xlfn.XLOOKUP(CONCATENATE(A96,"_",AV96),'Reference-Proof pt impact flag'!$I$3:$I$1048576,'Reference-Proof pt impact flag'!$G$3:$G$1048576)),"",_xlfn.XLOOKUP(CONCATENATE(A96,"_",AV96),'Reference-Proof pt impact flag'!$I$3:$I$1048576,'Reference-Proof pt impact flag'!$G$3:$G$1048576))</f>
        <v/>
      </c>
      <c r="BA96" s="74"/>
      <c r="BB96" s="74"/>
      <c r="BC96" s="74"/>
      <c r="BD96" s="74"/>
      <c r="BE96" s="74"/>
      <c r="BF96" s="74" t="e">
        <f>_xlfn.XLOOKUP(CONCATENATE(H96,"_",AV96),'Test 2 - Proof points - GPT5'!$T:$T,'Test 2 - Proof points - GPT5'!$S:$S)</f>
        <v>#N/A</v>
      </c>
      <c r="BG96" s="74" t="e">
        <f>_xlfn.XLOOKUP(CONCATENATE(H96,"_",AV96),'Test 2 -Proof points - Sonnet'!$AB:$AB,'Test 2 -Proof points - Sonnet'!$AA:$AA)</f>
        <v>#N/A</v>
      </c>
      <c r="BH96" s="74"/>
      <c r="BI96" s="74"/>
      <c r="BJ96" s="74" t="s">
        <v>1550</v>
      </c>
      <c r="BK96" s="30"/>
      <c r="BL96" s="30"/>
      <c r="BM96" s="30"/>
      <c r="BN96" s="30"/>
      <c r="BO96" s="30"/>
      <c r="BP96" s="30"/>
      <c r="BQ96" s="30"/>
      <c r="BR96" s="30"/>
      <c r="BS96" s="30"/>
      <c r="BT96" s="30"/>
      <c r="BU96" s="30"/>
      <c r="BV96" s="113"/>
    </row>
    <row r="97" spans="1:74" ht="203" hidden="1" x14ac:dyDescent="0.35">
      <c r="A97" s="22">
        <v>3</v>
      </c>
      <c r="B97" s="22" t="s">
        <v>1451</v>
      </c>
      <c r="C97" s="22" t="s">
        <v>1452</v>
      </c>
      <c r="D97" s="22" t="s">
        <v>1224</v>
      </c>
      <c r="E97" s="22" t="s">
        <v>1453</v>
      </c>
      <c r="F97" s="22"/>
      <c r="G97" s="22" t="s">
        <v>1274</v>
      </c>
      <c r="H97" s="21" t="s">
        <v>1279</v>
      </c>
      <c r="I97" s="22"/>
      <c r="J97" s="21" t="s">
        <v>1336</v>
      </c>
      <c r="K97" s="30"/>
      <c r="L97" s="30" t="s">
        <v>1239</v>
      </c>
      <c r="M97" s="35" t="str">
        <f>VLOOKUP(H97,'1_Value &amp; risk levers'!$H$9:$O$1048576,2,FALSE)</f>
        <v>No review conducted</v>
      </c>
      <c r="N97" s="35" t="str">
        <f>VLOOKUP(H97,'1_Value &amp; risk levers'!$H$9:$O$1048576,3,FALSE)</f>
        <v>Limited trials for bulk options</v>
      </c>
      <c r="O97" s="35" t="str">
        <f>VLOOKUP(H97,'1_Value &amp; risk levers'!$H$9:$O$1048576,4,FALSE)</f>
        <v>Regular assessments to optimize packaging</v>
      </c>
      <c r="P97" s="35" t="str">
        <f>VLOOKUP(H97,'1_Value &amp; risk levers'!$H$9:$O$1048576,5,FALSE)</f>
        <v>Fully optimized with advanced logistics planning</v>
      </c>
      <c r="Q97" s="77">
        <f>IF(VLOOKUP(H97,'1_Value &amp; risk levers'!$H$9:$T$1048576,13,FALSE)=0,"",VLOOKUP(H97,'1_Value &amp; risk levers'!$H$9:$T$1048576,13,FALSE))</f>
        <v>1</v>
      </c>
      <c r="R97" s="128">
        <f t="shared" si="22"/>
        <v>2</v>
      </c>
      <c r="S97" s="128" t="e">
        <f t="shared" si="23"/>
        <v>#DIV/0!</v>
      </c>
      <c r="T97" s="77"/>
      <c r="U97" s="77"/>
      <c r="V97" s="55"/>
      <c r="W97" s="71">
        <v>0.04</v>
      </c>
      <c r="X97" s="71">
        <v>0.1</v>
      </c>
      <c r="Y97" s="71">
        <f>VLOOKUP(H97,'1_Value &amp; risk levers'!$H$9:$O$1048576,8,FALSE)</f>
        <v>0.8</v>
      </c>
      <c r="Z97" s="51">
        <f t="shared" si="24"/>
        <v>7.0000000000000007E-2</v>
      </c>
      <c r="AA97" s="51">
        <f t="shared" si="26"/>
        <v>8.5000000000000006E-2</v>
      </c>
      <c r="AB97" s="55">
        <f t="shared" si="27"/>
        <v>2800000.0000000005</v>
      </c>
      <c r="AC97" s="55">
        <f t="shared" si="28"/>
        <v>3400000.0000000005</v>
      </c>
      <c r="AD97" s="80">
        <f t="shared" si="29"/>
        <v>7</v>
      </c>
      <c r="AE97" s="84">
        <f t="shared" si="30"/>
        <v>0.48864540816326468</v>
      </c>
      <c r="AF97" s="71" t="str">
        <f t="shared" si="31"/>
        <v>Low</v>
      </c>
      <c r="AG97" s="84">
        <f t="shared" si="32"/>
        <v>5.9772908163265304E-2</v>
      </c>
      <c r="AH97" s="84">
        <f t="shared" si="33"/>
        <v>9.5227091836734709E-2</v>
      </c>
      <c r="AI97" s="73">
        <f t="shared" si="34"/>
        <v>2390916.3265306121</v>
      </c>
      <c r="AJ97" s="73">
        <f t="shared" si="35"/>
        <v>3809083.6734693884</v>
      </c>
      <c r="AK97" s="46">
        <f>VLOOKUP(H97,'1_Value &amp; risk levers'!$H$9:$O$1048576,6,FALSE)</f>
        <v>0.02</v>
      </c>
      <c r="AL97" s="46">
        <f>VLOOKUP(H97,'1_Value &amp; risk levers'!$H$9:$O$1048576,7,FALSE)</f>
        <v>0.03</v>
      </c>
      <c r="AM97" s="50">
        <f t="shared" si="36"/>
        <v>2.75E-2</v>
      </c>
      <c r="AN97" s="72">
        <f t="shared" si="37"/>
        <v>0.12790697674418605</v>
      </c>
      <c r="AO97" s="84">
        <f t="shared" si="38"/>
        <v>7.6453719743711434E-3</v>
      </c>
      <c r="AP97" s="84">
        <f t="shared" si="39"/>
        <v>1.2180209420977696E-2</v>
      </c>
      <c r="AQ97" s="55">
        <f t="shared" si="40"/>
        <v>358139.53488372103</v>
      </c>
      <c r="AR97" s="55">
        <f t="shared" si="41"/>
        <v>434883.72093023261</v>
      </c>
      <c r="AS97" s="83">
        <f t="shared" si="25"/>
        <v>41</v>
      </c>
      <c r="AT97" s="50">
        <f t="shared" si="42"/>
        <v>6.66</v>
      </c>
      <c r="AU97" s="55" t="str">
        <f t="shared" si="43"/>
        <v>Medium</v>
      </c>
      <c r="AV97" s="34" t="s">
        <v>1492</v>
      </c>
      <c r="AW97" s="112" t="s">
        <v>1538</v>
      </c>
      <c r="AX97" s="30" t="s">
        <v>1493</v>
      </c>
      <c r="AY97" s="30"/>
      <c r="AZ97" s="85" t="str">
        <f>IF(ISERROR(_xlfn.XLOOKUP(CONCATENATE(A97,"_",AV97),'Reference-Proof pt impact flag'!$I$3:$I$1048576,'Reference-Proof pt impact flag'!$G$3:$G$1048576)),"",_xlfn.XLOOKUP(CONCATENATE(A97,"_",AV97),'Reference-Proof pt impact flag'!$I$3:$I$1048576,'Reference-Proof pt impact flag'!$G$3:$G$1048576))</f>
        <v/>
      </c>
      <c r="BA97" s="74"/>
      <c r="BB97" s="74"/>
      <c r="BC97" s="74"/>
      <c r="BD97" s="74"/>
      <c r="BE97" s="74"/>
      <c r="BF97" s="74" t="e">
        <f>_xlfn.XLOOKUP(CONCATENATE(H97,"_",AV97),'Test 2 - Proof points - GPT5'!$T:$T,'Test 2 - Proof points - GPT5'!$S:$S)</f>
        <v>#N/A</v>
      </c>
      <c r="BG97" s="74" t="e">
        <f>_xlfn.XLOOKUP(CONCATENATE(H97,"_",AV97),'Test 2 -Proof points - Sonnet'!$AB:$AB,'Test 2 -Proof points - Sonnet'!$AA:$AA)</f>
        <v>#N/A</v>
      </c>
      <c r="BH97" s="74"/>
      <c r="BI97" s="74"/>
      <c r="BJ97" s="74" t="s">
        <v>1550</v>
      </c>
      <c r="BK97" s="30"/>
      <c r="BL97" s="30"/>
      <c r="BM97" s="30"/>
      <c r="BN97" s="30"/>
      <c r="BO97" s="30"/>
      <c r="BP97" s="30"/>
      <c r="BQ97" s="30"/>
      <c r="BR97" s="30"/>
      <c r="BS97" s="30"/>
      <c r="BT97" s="30"/>
      <c r="BU97" s="30"/>
      <c r="BV97" s="113"/>
    </row>
    <row r="98" spans="1:74" ht="203" hidden="1" x14ac:dyDescent="0.35">
      <c r="A98" s="22">
        <v>3</v>
      </c>
      <c r="B98" s="22" t="s">
        <v>1451</v>
      </c>
      <c r="C98" s="22" t="s">
        <v>1452</v>
      </c>
      <c r="D98" s="22" t="s">
        <v>1224</v>
      </c>
      <c r="E98" s="22" t="s">
        <v>1453</v>
      </c>
      <c r="F98" s="22"/>
      <c r="G98" s="22" t="s">
        <v>1274</v>
      </c>
      <c r="H98" s="21" t="s">
        <v>1279</v>
      </c>
      <c r="I98" s="22"/>
      <c r="J98" s="21" t="s">
        <v>1336</v>
      </c>
      <c r="K98" s="30"/>
      <c r="L98" s="30" t="s">
        <v>1239</v>
      </c>
      <c r="M98" s="35" t="str">
        <f>VLOOKUP(H98,'1_Value &amp; risk levers'!$H$9:$O$1048576,2,FALSE)</f>
        <v>No review conducted</v>
      </c>
      <c r="N98" s="35" t="str">
        <f>VLOOKUP(H98,'1_Value &amp; risk levers'!$H$9:$O$1048576,3,FALSE)</f>
        <v>Limited trials for bulk options</v>
      </c>
      <c r="O98" s="35" t="str">
        <f>VLOOKUP(H98,'1_Value &amp; risk levers'!$H$9:$O$1048576,4,FALSE)</f>
        <v>Regular assessments to optimize packaging</v>
      </c>
      <c r="P98" s="35" t="str">
        <f>VLOOKUP(H98,'1_Value &amp; risk levers'!$H$9:$O$1048576,5,FALSE)</f>
        <v>Fully optimized with advanced logistics planning</v>
      </c>
      <c r="Q98" s="77">
        <f>IF(VLOOKUP(H98,'1_Value &amp; risk levers'!$H$9:$T$1048576,13,FALSE)=0,"",VLOOKUP(H98,'1_Value &amp; risk levers'!$H$9:$T$1048576,13,FALSE))</f>
        <v>1</v>
      </c>
      <c r="R98" s="128">
        <f t="shared" si="22"/>
        <v>2</v>
      </c>
      <c r="S98" s="128" t="e">
        <f t="shared" si="23"/>
        <v>#DIV/0!</v>
      </c>
      <c r="T98" s="77"/>
      <c r="U98" s="77"/>
      <c r="V98" s="55"/>
      <c r="W98" s="71">
        <v>0.04</v>
      </c>
      <c r="X98" s="71">
        <v>0.1</v>
      </c>
      <c r="Y98" s="71">
        <f>VLOOKUP(H98,'1_Value &amp; risk levers'!$H$9:$O$1048576,8,FALSE)</f>
        <v>0.8</v>
      </c>
      <c r="Z98" s="51">
        <f t="shared" si="24"/>
        <v>7.0000000000000007E-2</v>
      </c>
      <c r="AA98" s="51">
        <f t="shared" si="26"/>
        <v>8.5000000000000006E-2</v>
      </c>
      <c r="AB98" s="55">
        <f t="shared" si="27"/>
        <v>2800000.0000000005</v>
      </c>
      <c r="AC98" s="55">
        <f t="shared" si="28"/>
        <v>3400000.0000000005</v>
      </c>
      <c r="AD98" s="80">
        <f t="shared" si="29"/>
        <v>7</v>
      </c>
      <c r="AE98" s="84">
        <f t="shared" si="30"/>
        <v>0.48864540816326468</v>
      </c>
      <c r="AF98" s="71" t="str">
        <f t="shared" si="31"/>
        <v>Low</v>
      </c>
      <c r="AG98" s="84">
        <f t="shared" si="32"/>
        <v>5.9772908163265304E-2</v>
      </c>
      <c r="AH98" s="84">
        <f t="shared" si="33"/>
        <v>9.5227091836734709E-2</v>
      </c>
      <c r="AI98" s="73">
        <f t="shared" si="34"/>
        <v>2390916.3265306121</v>
      </c>
      <c r="AJ98" s="73">
        <f t="shared" si="35"/>
        <v>3809083.6734693884</v>
      </c>
      <c r="AK98" s="46">
        <f>VLOOKUP(H98,'1_Value &amp; risk levers'!$H$9:$O$1048576,6,FALSE)</f>
        <v>0.02</v>
      </c>
      <c r="AL98" s="46">
        <f>VLOOKUP(H98,'1_Value &amp; risk levers'!$H$9:$O$1048576,7,FALSE)</f>
        <v>0.03</v>
      </c>
      <c r="AM98" s="50">
        <f t="shared" si="36"/>
        <v>2.75E-2</v>
      </c>
      <c r="AN98" s="72">
        <f t="shared" si="37"/>
        <v>0.12790697674418605</v>
      </c>
      <c r="AO98" s="84">
        <f t="shared" si="38"/>
        <v>7.6453719743711434E-3</v>
      </c>
      <c r="AP98" s="84">
        <f t="shared" si="39"/>
        <v>1.2180209420977696E-2</v>
      </c>
      <c r="AQ98" s="55">
        <f t="shared" si="40"/>
        <v>358139.53488372103</v>
      </c>
      <c r="AR98" s="55">
        <f t="shared" si="41"/>
        <v>434883.72093023261</v>
      </c>
      <c r="AS98" s="83">
        <f t="shared" si="25"/>
        <v>41</v>
      </c>
      <c r="AT98" s="50">
        <f t="shared" si="42"/>
        <v>6.66</v>
      </c>
      <c r="AU98" s="55" t="str">
        <f t="shared" si="43"/>
        <v>Medium</v>
      </c>
      <c r="AV98" s="34" t="s">
        <v>1494</v>
      </c>
      <c r="AW98" s="112" t="s">
        <v>1539</v>
      </c>
      <c r="AX98" s="30" t="s">
        <v>1493</v>
      </c>
      <c r="AY98" s="30"/>
      <c r="AZ98" s="85" t="str">
        <f>IF(ISERROR(_xlfn.XLOOKUP(CONCATENATE(A98,"_",AV98),'Reference-Proof pt impact flag'!$I$3:$I$1048576,'Reference-Proof pt impact flag'!$G$3:$G$1048576)),"",_xlfn.XLOOKUP(CONCATENATE(A98,"_",AV98),'Reference-Proof pt impact flag'!$I$3:$I$1048576,'Reference-Proof pt impact flag'!$G$3:$G$1048576))</f>
        <v/>
      </c>
      <c r="BA98" s="74"/>
      <c r="BB98" s="74"/>
      <c r="BC98" s="74"/>
      <c r="BD98" s="74"/>
      <c r="BE98" s="74"/>
      <c r="BF98" s="74" t="e">
        <f>_xlfn.XLOOKUP(CONCATENATE(H98,"_",AV98),'Test 2 - Proof points - GPT5'!$T:$T,'Test 2 - Proof points - GPT5'!$S:$S)</f>
        <v>#N/A</v>
      </c>
      <c r="BG98" s="74" t="e">
        <f>_xlfn.XLOOKUP(CONCATENATE(H98,"_",AV98),'Test 2 -Proof points - Sonnet'!$AB:$AB,'Test 2 -Proof points - Sonnet'!$AA:$AA)</f>
        <v>#N/A</v>
      </c>
      <c r="BH98" s="74"/>
      <c r="BI98" s="74"/>
      <c r="BJ98" s="74" t="s">
        <v>1550</v>
      </c>
      <c r="BK98" s="30"/>
      <c r="BL98" s="30"/>
      <c r="BM98" s="30"/>
      <c r="BN98" s="30"/>
      <c r="BO98" s="30"/>
      <c r="BP98" s="30"/>
      <c r="BQ98" s="30"/>
      <c r="BR98" s="30"/>
      <c r="BS98" s="30"/>
      <c r="BT98" s="30"/>
      <c r="BU98" s="30"/>
      <c r="BV98" s="113"/>
    </row>
    <row r="99" spans="1:74" ht="203" hidden="1" x14ac:dyDescent="0.35">
      <c r="A99" s="22">
        <v>3</v>
      </c>
      <c r="B99" s="22" t="s">
        <v>1451</v>
      </c>
      <c r="C99" s="22" t="s">
        <v>1452</v>
      </c>
      <c r="D99" s="22" t="s">
        <v>1224</v>
      </c>
      <c r="E99" s="22" t="s">
        <v>1453</v>
      </c>
      <c r="F99" s="22"/>
      <c r="G99" s="22" t="s">
        <v>1274</v>
      </c>
      <c r="H99" s="21" t="s">
        <v>1279</v>
      </c>
      <c r="I99" s="22"/>
      <c r="J99" s="21" t="s">
        <v>1336</v>
      </c>
      <c r="K99" s="30"/>
      <c r="L99" s="30" t="s">
        <v>1239</v>
      </c>
      <c r="M99" s="35" t="str">
        <f>VLOOKUP(H99,'1_Value &amp; risk levers'!$H$9:$O$1048576,2,FALSE)</f>
        <v>No review conducted</v>
      </c>
      <c r="N99" s="35" t="str">
        <f>VLOOKUP(H99,'1_Value &amp; risk levers'!$H$9:$O$1048576,3,FALSE)</f>
        <v>Limited trials for bulk options</v>
      </c>
      <c r="O99" s="35" t="str">
        <f>VLOOKUP(H99,'1_Value &amp; risk levers'!$H$9:$O$1048576,4,FALSE)</f>
        <v>Regular assessments to optimize packaging</v>
      </c>
      <c r="P99" s="35" t="str">
        <f>VLOOKUP(H99,'1_Value &amp; risk levers'!$H$9:$O$1048576,5,FALSE)</f>
        <v>Fully optimized with advanced logistics planning</v>
      </c>
      <c r="Q99" s="77">
        <f>IF(VLOOKUP(H99,'1_Value &amp; risk levers'!$H$9:$T$1048576,13,FALSE)=0,"",VLOOKUP(H99,'1_Value &amp; risk levers'!$H$9:$T$1048576,13,FALSE))</f>
        <v>1</v>
      </c>
      <c r="R99" s="128">
        <f t="shared" si="22"/>
        <v>2</v>
      </c>
      <c r="S99" s="128" t="e">
        <f t="shared" si="23"/>
        <v>#DIV/0!</v>
      </c>
      <c r="T99" s="77"/>
      <c r="U99" s="77"/>
      <c r="V99" s="55"/>
      <c r="W99" s="71">
        <v>0.04</v>
      </c>
      <c r="X99" s="71">
        <v>0.1</v>
      </c>
      <c r="Y99" s="71">
        <f>VLOOKUP(H99,'1_Value &amp; risk levers'!$H$9:$O$1048576,8,FALSE)</f>
        <v>0.8</v>
      </c>
      <c r="Z99" s="51">
        <f t="shared" si="24"/>
        <v>7.0000000000000007E-2</v>
      </c>
      <c r="AA99" s="51">
        <f t="shared" si="26"/>
        <v>8.5000000000000006E-2</v>
      </c>
      <c r="AB99" s="55">
        <f t="shared" si="27"/>
        <v>2800000.0000000005</v>
      </c>
      <c r="AC99" s="55">
        <f t="shared" si="28"/>
        <v>3400000.0000000005</v>
      </c>
      <c r="AD99" s="80">
        <f t="shared" si="29"/>
        <v>7</v>
      </c>
      <c r="AE99" s="84">
        <f t="shared" si="30"/>
        <v>0.48864540816326468</v>
      </c>
      <c r="AF99" s="71" t="str">
        <f t="shared" si="31"/>
        <v>Low</v>
      </c>
      <c r="AG99" s="84">
        <f t="shared" si="32"/>
        <v>5.9772908163265304E-2</v>
      </c>
      <c r="AH99" s="84">
        <f t="shared" si="33"/>
        <v>9.5227091836734709E-2</v>
      </c>
      <c r="AI99" s="73">
        <f t="shared" si="34"/>
        <v>2390916.3265306121</v>
      </c>
      <c r="AJ99" s="73">
        <f t="shared" si="35"/>
        <v>3809083.6734693884</v>
      </c>
      <c r="AK99" s="46">
        <f>VLOOKUP(H99,'1_Value &amp; risk levers'!$H$9:$O$1048576,6,FALSE)</f>
        <v>0.02</v>
      </c>
      <c r="AL99" s="46">
        <f>VLOOKUP(H99,'1_Value &amp; risk levers'!$H$9:$O$1048576,7,FALSE)</f>
        <v>0.03</v>
      </c>
      <c r="AM99" s="50">
        <f t="shared" si="36"/>
        <v>2.75E-2</v>
      </c>
      <c r="AN99" s="72">
        <f t="shared" si="37"/>
        <v>0.12790697674418605</v>
      </c>
      <c r="AO99" s="84">
        <f t="shared" si="38"/>
        <v>7.6453719743711434E-3</v>
      </c>
      <c r="AP99" s="84">
        <f t="shared" si="39"/>
        <v>1.2180209420977696E-2</v>
      </c>
      <c r="AQ99" s="55">
        <f t="shared" si="40"/>
        <v>358139.53488372103</v>
      </c>
      <c r="AR99" s="55">
        <f t="shared" si="41"/>
        <v>434883.72093023261</v>
      </c>
      <c r="AS99" s="83">
        <f t="shared" si="25"/>
        <v>41</v>
      </c>
      <c r="AT99" s="50">
        <f t="shared" si="42"/>
        <v>6.66</v>
      </c>
      <c r="AU99" s="55" t="str">
        <f t="shared" si="43"/>
        <v>Medium</v>
      </c>
      <c r="AV99" s="34" t="s">
        <v>1495</v>
      </c>
      <c r="AW99" s="111"/>
      <c r="AX99" s="30" t="s">
        <v>1493</v>
      </c>
      <c r="AY99" s="30"/>
      <c r="AZ99" s="85" t="str">
        <f>IF(ISERROR(_xlfn.XLOOKUP(CONCATENATE(A99,"_",AV99),'Reference-Proof pt impact flag'!$I$3:$I$1048576,'Reference-Proof pt impact flag'!$G$3:$G$1048576)),"",_xlfn.XLOOKUP(CONCATENATE(A99,"_",AV99),'Reference-Proof pt impact flag'!$I$3:$I$1048576,'Reference-Proof pt impact flag'!$G$3:$G$1048576))</f>
        <v/>
      </c>
      <c r="BA99" s="74"/>
      <c r="BB99" s="74"/>
      <c r="BC99" s="74"/>
      <c r="BD99" s="74"/>
      <c r="BE99" s="74"/>
      <c r="BF99" s="74" t="e">
        <f>_xlfn.XLOOKUP(CONCATENATE(H99,"_",AV99),'Test 2 - Proof points - GPT5'!$T:$T,'Test 2 - Proof points - GPT5'!$S:$S)</f>
        <v>#N/A</v>
      </c>
      <c r="BG99" s="74" t="e">
        <f>_xlfn.XLOOKUP(CONCATENATE(H99,"_",AV99),'Test 2 -Proof points - Sonnet'!$AB:$AB,'Test 2 -Proof points - Sonnet'!$AA:$AA)</f>
        <v>#N/A</v>
      </c>
      <c r="BH99" s="74"/>
      <c r="BI99" s="74"/>
      <c r="BJ99" s="74" t="s">
        <v>1550</v>
      </c>
      <c r="BK99" s="30"/>
      <c r="BL99" s="30"/>
      <c r="BM99" s="30"/>
      <c r="BN99" s="30"/>
      <c r="BO99" s="30"/>
      <c r="BP99" s="30"/>
      <c r="BQ99" s="30"/>
      <c r="BR99" s="30"/>
      <c r="BS99" s="30"/>
      <c r="BT99" s="30"/>
      <c r="BU99" s="30"/>
      <c r="BV99" s="113"/>
    </row>
    <row r="100" spans="1:74" ht="203" hidden="1" x14ac:dyDescent="0.35">
      <c r="A100" s="22">
        <v>3</v>
      </c>
      <c r="B100" s="22" t="s">
        <v>1451</v>
      </c>
      <c r="C100" s="22" t="s">
        <v>1452</v>
      </c>
      <c r="D100" s="22" t="s">
        <v>1224</v>
      </c>
      <c r="E100" s="22" t="s">
        <v>1453</v>
      </c>
      <c r="F100" s="22"/>
      <c r="G100" s="22" t="s">
        <v>1274</v>
      </c>
      <c r="H100" s="21" t="s">
        <v>1279</v>
      </c>
      <c r="I100" s="22"/>
      <c r="J100" s="21" t="s">
        <v>1336</v>
      </c>
      <c r="K100" s="30"/>
      <c r="L100" s="30" t="s">
        <v>1239</v>
      </c>
      <c r="M100" s="35" t="str">
        <f>VLOOKUP(H100,'1_Value &amp; risk levers'!$H$9:$O$1048576,2,FALSE)</f>
        <v>No review conducted</v>
      </c>
      <c r="N100" s="35" t="str">
        <f>VLOOKUP(H100,'1_Value &amp; risk levers'!$H$9:$O$1048576,3,FALSE)</f>
        <v>Limited trials for bulk options</v>
      </c>
      <c r="O100" s="35" t="str">
        <f>VLOOKUP(H100,'1_Value &amp; risk levers'!$H$9:$O$1048576,4,FALSE)</f>
        <v>Regular assessments to optimize packaging</v>
      </c>
      <c r="P100" s="35" t="str">
        <f>VLOOKUP(H100,'1_Value &amp; risk levers'!$H$9:$O$1048576,5,FALSE)</f>
        <v>Fully optimized with advanced logistics planning</v>
      </c>
      <c r="Q100" s="77">
        <f>IF(VLOOKUP(H100,'1_Value &amp; risk levers'!$H$9:$T$1048576,13,FALSE)=0,"",VLOOKUP(H100,'1_Value &amp; risk levers'!$H$9:$T$1048576,13,FALSE))</f>
        <v>1</v>
      </c>
      <c r="R100" s="128">
        <f t="shared" si="22"/>
        <v>2</v>
      </c>
      <c r="S100" s="128" t="e">
        <f t="shared" si="23"/>
        <v>#DIV/0!</v>
      </c>
      <c r="T100" s="77"/>
      <c r="U100" s="77"/>
      <c r="V100" s="55"/>
      <c r="W100" s="71">
        <v>0.04</v>
      </c>
      <c r="X100" s="71">
        <v>0.1</v>
      </c>
      <c r="Y100" s="71">
        <f>VLOOKUP(H100,'1_Value &amp; risk levers'!$H$9:$O$1048576,8,FALSE)</f>
        <v>0.8</v>
      </c>
      <c r="Z100" s="51">
        <f t="shared" si="24"/>
        <v>7.0000000000000007E-2</v>
      </c>
      <c r="AA100" s="51">
        <f t="shared" si="26"/>
        <v>8.5000000000000006E-2</v>
      </c>
      <c r="AB100" s="55">
        <f t="shared" si="27"/>
        <v>2800000.0000000005</v>
      </c>
      <c r="AC100" s="55">
        <f t="shared" si="28"/>
        <v>3400000.0000000005</v>
      </c>
      <c r="AD100" s="80">
        <f t="shared" si="29"/>
        <v>7</v>
      </c>
      <c r="AE100" s="84">
        <f t="shared" si="30"/>
        <v>0.48864540816326468</v>
      </c>
      <c r="AF100" s="71" t="str">
        <f t="shared" si="31"/>
        <v>Low</v>
      </c>
      <c r="AG100" s="84">
        <f t="shared" si="32"/>
        <v>5.9772908163265304E-2</v>
      </c>
      <c r="AH100" s="84">
        <f t="shared" si="33"/>
        <v>9.5227091836734709E-2</v>
      </c>
      <c r="AI100" s="73">
        <f t="shared" si="34"/>
        <v>2390916.3265306121</v>
      </c>
      <c r="AJ100" s="73">
        <f t="shared" si="35"/>
        <v>3809083.6734693884</v>
      </c>
      <c r="AK100" s="46">
        <f>VLOOKUP(H100,'1_Value &amp; risk levers'!$H$9:$O$1048576,6,FALSE)</f>
        <v>0.02</v>
      </c>
      <c r="AL100" s="46">
        <f>VLOOKUP(H100,'1_Value &amp; risk levers'!$H$9:$O$1048576,7,FALSE)</f>
        <v>0.03</v>
      </c>
      <c r="AM100" s="50">
        <f t="shared" si="36"/>
        <v>2.75E-2</v>
      </c>
      <c r="AN100" s="72">
        <f t="shared" si="37"/>
        <v>0.12790697674418605</v>
      </c>
      <c r="AO100" s="84">
        <f t="shared" si="38"/>
        <v>7.6453719743711434E-3</v>
      </c>
      <c r="AP100" s="84">
        <f t="shared" si="39"/>
        <v>1.2180209420977696E-2</v>
      </c>
      <c r="AQ100" s="55">
        <f t="shared" si="40"/>
        <v>358139.53488372103</v>
      </c>
      <c r="AR100" s="55">
        <f t="shared" si="41"/>
        <v>434883.72093023261</v>
      </c>
      <c r="AS100" s="83">
        <f t="shared" si="25"/>
        <v>41</v>
      </c>
      <c r="AT100" s="50">
        <f t="shared" si="42"/>
        <v>6.66</v>
      </c>
      <c r="AU100" s="55" t="str">
        <f t="shared" si="43"/>
        <v>Medium</v>
      </c>
      <c r="AV100" s="34" t="s">
        <v>1496</v>
      </c>
      <c r="AW100" s="111"/>
      <c r="AX100" s="30" t="s">
        <v>1493</v>
      </c>
      <c r="AY100" s="30"/>
      <c r="AZ100" s="85" t="str">
        <f>IF(ISERROR(_xlfn.XLOOKUP(CONCATENATE(A100,"_",AV100),'Reference-Proof pt impact flag'!$I$3:$I$1048576,'Reference-Proof pt impact flag'!$G$3:$G$1048576)),"",_xlfn.XLOOKUP(CONCATENATE(A100,"_",AV100),'Reference-Proof pt impact flag'!$I$3:$I$1048576,'Reference-Proof pt impact flag'!$G$3:$G$1048576))</f>
        <v/>
      </c>
      <c r="BA100" s="74"/>
      <c r="BB100" s="74"/>
      <c r="BC100" s="74"/>
      <c r="BD100" s="74"/>
      <c r="BE100" s="74"/>
      <c r="BF100" s="74" t="e">
        <f>_xlfn.XLOOKUP(CONCATENATE(H100,"_",AV100),'Test 2 - Proof points - GPT5'!$T:$T,'Test 2 - Proof points - GPT5'!$S:$S)</f>
        <v>#N/A</v>
      </c>
      <c r="BG100" s="74" t="e">
        <f>_xlfn.XLOOKUP(CONCATENATE(H100,"_",AV100),'Test 2 -Proof points - Sonnet'!$AB:$AB,'Test 2 -Proof points - Sonnet'!$AA:$AA)</f>
        <v>#N/A</v>
      </c>
      <c r="BH100" s="74"/>
      <c r="BI100" s="74"/>
      <c r="BJ100" s="74" t="s">
        <v>1550</v>
      </c>
      <c r="BK100" s="30"/>
      <c r="BL100" s="30"/>
      <c r="BM100" s="30"/>
      <c r="BN100" s="30"/>
      <c r="BO100" s="30"/>
      <c r="BP100" s="30"/>
      <c r="BQ100" s="30"/>
      <c r="BR100" s="30"/>
      <c r="BS100" s="30"/>
      <c r="BT100" s="30"/>
      <c r="BU100" s="30"/>
      <c r="BV100" s="113"/>
    </row>
    <row r="101" spans="1:74" ht="203" hidden="1" x14ac:dyDescent="0.35">
      <c r="A101" s="22">
        <v>3</v>
      </c>
      <c r="B101" s="22" t="s">
        <v>1451</v>
      </c>
      <c r="C101" s="22" t="s">
        <v>1452</v>
      </c>
      <c r="D101" s="22" t="s">
        <v>1224</v>
      </c>
      <c r="E101" s="22" t="s">
        <v>1453</v>
      </c>
      <c r="F101" s="22"/>
      <c r="G101" s="22" t="s">
        <v>1274</v>
      </c>
      <c r="H101" s="21" t="s">
        <v>1279</v>
      </c>
      <c r="I101" s="22"/>
      <c r="J101" s="21" t="s">
        <v>1336</v>
      </c>
      <c r="K101" s="30"/>
      <c r="L101" s="30" t="s">
        <v>1239</v>
      </c>
      <c r="M101" s="35" t="str">
        <f>VLOOKUP(H101,'1_Value &amp; risk levers'!$H$9:$O$1048576,2,FALSE)</f>
        <v>No review conducted</v>
      </c>
      <c r="N101" s="35" t="str">
        <f>VLOOKUP(H101,'1_Value &amp; risk levers'!$H$9:$O$1048576,3,FALSE)</f>
        <v>Limited trials for bulk options</v>
      </c>
      <c r="O101" s="35" t="str">
        <f>VLOOKUP(H101,'1_Value &amp; risk levers'!$H$9:$O$1048576,4,FALSE)</f>
        <v>Regular assessments to optimize packaging</v>
      </c>
      <c r="P101" s="35" t="str">
        <f>VLOOKUP(H101,'1_Value &amp; risk levers'!$H$9:$O$1048576,5,FALSE)</f>
        <v>Fully optimized with advanced logistics planning</v>
      </c>
      <c r="Q101" s="77">
        <f>IF(VLOOKUP(H101,'1_Value &amp; risk levers'!$H$9:$T$1048576,13,FALSE)=0,"",VLOOKUP(H101,'1_Value &amp; risk levers'!$H$9:$T$1048576,13,FALSE))</f>
        <v>1</v>
      </c>
      <c r="R101" s="128">
        <f t="shared" si="22"/>
        <v>2</v>
      </c>
      <c r="S101" s="128" t="e">
        <f t="shared" si="23"/>
        <v>#DIV/0!</v>
      </c>
      <c r="T101" s="77"/>
      <c r="U101" s="77"/>
      <c r="V101" s="55"/>
      <c r="W101" s="71">
        <v>0.04</v>
      </c>
      <c r="X101" s="71">
        <v>0.1</v>
      </c>
      <c r="Y101" s="71">
        <f>VLOOKUP(H101,'1_Value &amp; risk levers'!$H$9:$O$1048576,8,FALSE)</f>
        <v>0.8</v>
      </c>
      <c r="Z101" s="51">
        <f t="shared" si="24"/>
        <v>7.0000000000000007E-2</v>
      </c>
      <c r="AA101" s="51">
        <f t="shared" si="26"/>
        <v>8.5000000000000006E-2</v>
      </c>
      <c r="AB101" s="55">
        <f t="shared" si="27"/>
        <v>2800000.0000000005</v>
      </c>
      <c r="AC101" s="55">
        <f t="shared" si="28"/>
        <v>3400000.0000000005</v>
      </c>
      <c r="AD101" s="80">
        <f t="shared" si="29"/>
        <v>7</v>
      </c>
      <c r="AE101" s="84">
        <f t="shared" si="30"/>
        <v>0.48864540816326468</v>
      </c>
      <c r="AF101" s="71" t="str">
        <f t="shared" si="31"/>
        <v>Low</v>
      </c>
      <c r="AG101" s="84">
        <f t="shared" si="32"/>
        <v>5.9772908163265304E-2</v>
      </c>
      <c r="AH101" s="84">
        <f t="shared" si="33"/>
        <v>9.5227091836734709E-2</v>
      </c>
      <c r="AI101" s="73">
        <f t="shared" si="34"/>
        <v>2390916.3265306121</v>
      </c>
      <c r="AJ101" s="73">
        <f t="shared" si="35"/>
        <v>3809083.6734693884</v>
      </c>
      <c r="AK101" s="46">
        <f>VLOOKUP(H101,'1_Value &amp; risk levers'!$H$9:$O$1048576,6,FALSE)</f>
        <v>0.02</v>
      </c>
      <c r="AL101" s="46">
        <f>VLOOKUP(H101,'1_Value &amp; risk levers'!$H$9:$O$1048576,7,FALSE)</f>
        <v>0.03</v>
      </c>
      <c r="AM101" s="50">
        <f t="shared" si="36"/>
        <v>2.75E-2</v>
      </c>
      <c r="AN101" s="72">
        <f t="shared" si="37"/>
        <v>0.12790697674418605</v>
      </c>
      <c r="AO101" s="84">
        <f t="shared" si="38"/>
        <v>7.6453719743711434E-3</v>
      </c>
      <c r="AP101" s="84">
        <f t="shared" si="39"/>
        <v>1.2180209420977696E-2</v>
      </c>
      <c r="AQ101" s="55">
        <f t="shared" si="40"/>
        <v>358139.53488372103</v>
      </c>
      <c r="AR101" s="55">
        <f t="shared" si="41"/>
        <v>434883.72093023261</v>
      </c>
      <c r="AS101" s="83">
        <f t="shared" si="25"/>
        <v>41</v>
      </c>
      <c r="AT101" s="50">
        <f t="shared" si="42"/>
        <v>6.66</v>
      </c>
      <c r="AU101" s="55" t="str">
        <f t="shared" si="43"/>
        <v>Medium</v>
      </c>
      <c r="AV101" s="34" t="s">
        <v>1499</v>
      </c>
      <c r="AW101" s="111"/>
      <c r="AX101" s="30" t="s">
        <v>1493</v>
      </c>
      <c r="AY101" s="30"/>
      <c r="AZ101" s="85" t="str">
        <f>IF(ISERROR(_xlfn.XLOOKUP(CONCATENATE(A101,"_",AV101),'Reference-Proof pt impact flag'!$I$3:$I$1048576,'Reference-Proof pt impact flag'!$G$3:$G$1048576)),"",_xlfn.XLOOKUP(CONCATENATE(A101,"_",AV101),'Reference-Proof pt impact flag'!$I$3:$I$1048576,'Reference-Proof pt impact flag'!$G$3:$G$1048576))</f>
        <v/>
      </c>
      <c r="BA101" s="74"/>
      <c r="BB101" s="74"/>
      <c r="BC101" s="74"/>
      <c r="BD101" s="74"/>
      <c r="BE101" s="74"/>
      <c r="BF101" s="74" t="e">
        <f>_xlfn.XLOOKUP(CONCATENATE(H101,"_",AV101),'Test 2 - Proof points - GPT5'!$T:$T,'Test 2 - Proof points - GPT5'!$S:$S)</f>
        <v>#N/A</v>
      </c>
      <c r="BG101" s="74" t="e">
        <f>_xlfn.XLOOKUP(CONCATENATE(H101,"_",AV101),'Test 2 -Proof points - Sonnet'!$AB:$AB,'Test 2 -Proof points - Sonnet'!$AA:$AA)</f>
        <v>#N/A</v>
      </c>
      <c r="BH101" s="74"/>
      <c r="BI101" s="74"/>
      <c r="BJ101" s="74" t="s">
        <v>1550</v>
      </c>
      <c r="BK101" s="30"/>
      <c r="BL101" s="30"/>
      <c r="BM101" s="30"/>
      <c r="BN101" s="30"/>
      <c r="BO101" s="30"/>
      <c r="BP101" s="30"/>
      <c r="BQ101" s="30"/>
      <c r="BR101" s="30"/>
      <c r="BS101" s="30"/>
      <c r="BT101" s="30"/>
      <c r="BU101" s="30"/>
      <c r="BV101" s="113"/>
    </row>
    <row r="102" spans="1:74" ht="203" hidden="1" x14ac:dyDescent="0.35">
      <c r="A102" s="22">
        <v>3</v>
      </c>
      <c r="B102" s="22" t="s">
        <v>1451</v>
      </c>
      <c r="C102" s="22" t="s">
        <v>1452</v>
      </c>
      <c r="D102" s="22" t="s">
        <v>1224</v>
      </c>
      <c r="E102" s="22" t="s">
        <v>1453</v>
      </c>
      <c r="F102" s="22"/>
      <c r="G102" s="22" t="s">
        <v>1274</v>
      </c>
      <c r="H102" s="21" t="s">
        <v>1279</v>
      </c>
      <c r="I102" s="22"/>
      <c r="J102" s="21" t="s">
        <v>1336</v>
      </c>
      <c r="K102" s="30"/>
      <c r="L102" s="30" t="s">
        <v>1239</v>
      </c>
      <c r="M102" s="35" t="str">
        <f>VLOOKUP(H102,'1_Value &amp; risk levers'!$H$9:$O$1048576,2,FALSE)</f>
        <v>No review conducted</v>
      </c>
      <c r="N102" s="35" t="str">
        <f>VLOOKUP(H102,'1_Value &amp; risk levers'!$H$9:$O$1048576,3,FALSE)</f>
        <v>Limited trials for bulk options</v>
      </c>
      <c r="O102" s="35" t="str">
        <f>VLOOKUP(H102,'1_Value &amp; risk levers'!$H$9:$O$1048576,4,FALSE)</f>
        <v>Regular assessments to optimize packaging</v>
      </c>
      <c r="P102" s="35" t="str">
        <f>VLOOKUP(H102,'1_Value &amp; risk levers'!$H$9:$O$1048576,5,FALSE)</f>
        <v>Fully optimized with advanced logistics planning</v>
      </c>
      <c r="Q102" s="77">
        <f>IF(VLOOKUP(H102,'1_Value &amp; risk levers'!$H$9:$T$1048576,13,FALSE)=0,"",VLOOKUP(H102,'1_Value &amp; risk levers'!$H$9:$T$1048576,13,FALSE))</f>
        <v>1</v>
      </c>
      <c r="R102" s="128">
        <f t="shared" si="22"/>
        <v>2</v>
      </c>
      <c r="S102" s="128" t="e">
        <f t="shared" si="23"/>
        <v>#DIV/0!</v>
      </c>
      <c r="T102" s="77"/>
      <c r="U102" s="77"/>
      <c r="V102" s="55"/>
      <c r="W102" s="71">
        <v>0.04</v>
      </c>
      <c r="X102" s="71">
        <v>0.1</v>
      </c>
      <c r="Y102" s="71">
        <f>VLOOKUP(H102,'1_Value &amp; risk levers'!$H$9:$O$1048576,8,FALSE)</f>
        <v>0.8</v>
      </c>
      <c r="Z102" s="51">
        <f t="shared" si="24"/>
        <v>7.0000000000000007E-2</v>
      </c>
      <c r="AA102" s="51">
        <f t="shared" si="26"/>
        <v>8.5000000000000006E-2</v>
      </c>
      <c r="AB102" s="55">
        <f t="shared" si="27"/>
        <v>2800000.0000000005</v>
      </c>
      <c r="AC102" s="55">
        <f t="shared" si="28"/>
        <v>3400000.0000000005</v>
      </c>
      <c r="AD102" s="80">
        <f t="shared" si="29"/>
        <v>7</v>
      </c>
      <c r="AE102" s="84">
        <f t="shared" si="30"/>
        <v>0.48864540816326468</v>
      </c>
      <c r="AF102" s="71" t="str">
        <f t="shared" si="31"/>
        <v>Low</v>
      </c>
      <c r="AG102" s="84">
        <f t="shared" si="32"/>
        <v>5.9772908163265304E-2</v>
      </c>
      <c r="AH102" s="84">
        <f t="shared" si="33"/>
        <v>9.5227091836734709E-2</v>
      </c>
      <c r="AI102" s="73">
        <f t="shared" si="34"/>
        <v>2390916.3265306121</v>
      </c>
      <c r="AJ102" s="73">
        <f t="shared" si="35"/>
        <v>3809083.6734693884</v>
      </c>
      <c r="AK102" s="46">
        <f>VLOOKUP(H102,'1_Value &amp; risk levers'!$H$9:$O$1048576,6,FALSE)</f>
        <v>0.02</v>
      </c>
      <c r="AL102" s="46">
        <f>VLOOKUP(H102,'1_Value &amp; risk levers'!$H$9:$O$1048576,7,FALSE)</f>
        <v>0.03</v>
      </c>
      <c r="AM102" s="50">
        <f t="shared" si="36"/>
        <v>2.75E-2</v>
      </c>
      <c r="AN102" s="72">
        <f t="shared" si="37"/>
        <v>0.12790697674418605</v>
      </c>
      <c r="AO102" s="84">
        <f t="shared" si="38"/>
        <v>7.6453719743711434E-3</v>
      </c>
      <c r="AP102" s="84">
        <f t="shared" si="39"/>
        <v>1.2180209420977696E-2</v>
      </c>
      <c r="AQ102" s="55">
        <f t="shared" si="40"/>
        <v>358139.53488372103</v>
      </c>
      <c r="AR102" s="55">
        <f t="shared" si="41"/>
        <v>434883.72093023261</v>
      </c>
      <c r="AS102" s="83">
        <f t="shared" si="25"/>
        <v>41</v>
      </c>
      <c r="AT102" s="50">
        <f t="shared" si="42"/>
        <v>6.66</v>
      </c>
      <c r="AU102" s="55" t="str">
        <f t="shared" si="43"/>
        <v>Medium</v>
      </c>
      <c r="AV102" s="34" t="s">
        <v>1500</v>
      </c>
      <c r="AW102" s="111"/>
      <c r="AX102" s="30" t="s">
        <v>1493</v>
      </c>
      <c r="AY102" s="30"/>
      <c r="AZ102" s="85" t="str">
        <f>IF(ISERROR(_xlfn.XLOOKUP(CONCATENATE(A102,"_",AV102),'Reference-Proof pt impact flag'!$I$3:$I$1048576,'Reference-Proof pt impact flag'!$G$3:$G$1048576)),"",_xlfn.XLOOKUP(CONCATENATE(A102,"_",AV102),'Reference-Proof pt impact flag'!$I$3:$I$1048576,'Reference-Proof pt impact flag'!$G$3:$G$1048576))</f>
        <v/>
      </c>
      <c r="BA102" s="74"/>
      <c r="BB102" s="74"/>
      <c r="BC102" s="74"/>
      <c r="BD102" s="74"/>
      <c r="BE102" s="74"/>
      <c r="BF102" s="74" t="e">
        <f>_xlfn.XLOOKUP(CONCATENATE(H102,"_",AV102),'Test 2 - Proof points - GPT5'!$T:$T,'Test 2 - Proof points - GPT5'!$S:$S)</f>
        <v>#N/A</v>
      </c>
      <c r="BG102" s="74" t="e">
        <f>_xlfn.XLOOKUP(CONCATENATE(H102,"_",AV102),'Test 2 -Proof points - Sonnet'!$AB:$AB,'Test 2 -Proof points - Sonnet'!$AA:$AA)</f>
        <v>#N/A</v>
      </c>
      <c r="BH102" s="74"/>
      <c r="BI102" s="74"/>
      <c r="BJ102" s="74" t="s">
        <v>1550</v>
      </c>
      <c r="BK102" s="30"/>
      <c r="BL102" s="30"/>
      <c r="BM102" s="30"/>
      <c r="BN102" s="30"/>
      <c r="BO102" s="30"/>
      <c r="BP102" s="30"/>
      <c r="BQ102" s="30"/>
      <c r="BR102" s="30"/>
      <c r="BS102" s="30"/>
      <c r="BT102" s="30"/>
      <c r="BU102" s="30"/>
      <c r="BV102" s="113"/>
    </row>
    <row r="103" spans="1:74" ht="203" hidden="1" x14ac:dyDescent="0.35">
      <c r="A103" s="22">
        <v>3</v>
      </c>
      <c r="B103" s="22" t="s">
        <v>1451</v>
      </c>
      <c r="C103" s="22" t="s">
        <v>1452</v>
      </c>
      <c r="D103" s="22" t="s">
        <v>1224</v>
      </c>
      <c r="E103" s="22" t="s">
        <v>1453</v>
      </c>
      <c r="F103" s="22"/>
      <c r="G103" s="22" t="s">
        <v>1274</v>
      </c>
      <c r="H103" s="21" t="s">
        <v>1279</v>
      </c>
      <c r="I103" s="22"/>
      <c r="J103" s="21" t="s">
        <v>1336</v>
      </c>
      <c r="K103" s="30"/>
      <c r="L103" s="30" t="s">
        <v>1239</v>
      </c>
      <c r="M103" s="35" t="str">
        <f>VLOOKUP(H103,'1_Value &amp; risk levers'!$H$9:$O$1048576,2,FALSE)</f>
        <v>No review conducted</v>
      </c>
      <c r="N103" s="35" t="str">
        <f>VLOOKUP(H103,'1_Value &amp; risk levers'!$H$9:$O$1048576,3,FALSE)</f>
        <v>Limited trials for bulk options</v>
      </c>
      <c r="O103" s="35" t="str">
        <f>VLOOKUP(H103,'1_Value &amp; risk levers'!$H$9:$O$1048576,4,FALSE)</f>
        <v>Regular assessments to optimize packaging</v>
      </c>
      <c r="P103" s="35" t="str">
        <f>VLOOKUP(H103,'1_Value &amp; risk levers'!$H$9:$O$1048576,5,FALSE)</f>
        <v>Fully optimized with advanced logistics planning</v>
      </c>
      <c r="Q103" s="77">
        <f>IF(VLOOKUP(H103,'1_Value &amp; risk levers'!$H$9:$T$1048576,13,FALSE)=0,"",VLOOKUP(H103,'1_Value &amp; risk levers'!$H$9:$T$1048576,13,FALSE))</f>
        <v>1</v>
      </c>
      <c r="R103" s="128">
        <f t="shared" si="22"/>
        <v>2</v>
      </c>
      <c r="S103" s="128" t="e">
        <f t="shared" si="23"/>
        <v>#DIV/0!</v>
      </c>
      <c r="T103" s="77"/>
      <c r="U103" s="77"/>
      <c r="V103" s="55"/>
      <c r="W103" s="71">
        <v>0.04</v>
      </c>
      <c r="X103" s="71">
        <v>0.1</v>
      </c>
      <c r="Y103" s="71">
        <f>VLOOKUP(H103,'1_Value &amp; risk levers'!$H$9:$O$1048576,8,FALSE)</f>
        <v>0.8</v>
      </c>
      <c r="Z103" s="51">
        <f t="shared" si="24"/>
        <v>7.0000000000000007E-2</v>
      </c>
      <c r="AA103" s="51">
        <f t="shared" si="26"/>
        <v>8.5000000000000006E-2</v>
      </c>
      <c r="AB103" s="55">
        <f t="shared" si="27"/>
        <v>2800000.0000000005</v>
      </c>
      <c r="AC103" s="55">
        <f t="shared" si="28"/>
        <v>3400000.0000000005</v>
      </c>
      <c r="AD103" s="80">
        <f t="shared" si="29"/>
        <v>7</v>
      </c>
      <c r="AE103" s="84">
        <f t="shared" si="30"/>
        <v>0.48864540816326468</v>
      </c>
      <c r="AF103" s="71" t="str">
        <f t="shared" si="31"/>
        <v>Low</v>
      </c>
      <c r="AG103" s="84">
        <f t="shared" si="32"/>
        <v>5.9772908163265304E-2</v>
      </c>
      <c r="AH103" s="84">
        <f t="shared" si="33"/>
        <v>9.5227091836734709E-2</v>
      </c>
      <c r="AI103" s="73">
        <f t="shared" si="34"/>
        <v>2390916.3265306121</v>
      </c>
      <c r="AJ103" s="73">
        <f t="shared" si="35"/>
        <v>3809083.6734693884</v>
      </c>
      <c r="AK103" s="46">
        <f>VLOOKUP(H103,'1_Value &amp; risk levers'!$H$9:$O$1048576,6,FALSE)</f>
        <v>0.02</v>
      </c>
      <c r="AL103" s="46">
        <f>VLOOKUP(H103,'1_Value &amp; risk levers'!$H$9:$O$1048576,7,FALSE)</f>
        <v>0.03</v>
      </c>
      <c r="AM103" s="50">
        <f t="shared" si="36"/>
        <v>2.75E-2</v>
      </c>
      <c r="AN103" s="72">
        <f t="shared" si="37"/>
        <v>0.12790697674418605</v>
      </c>
      <c r="AO103" s="84">
        <f t="shared" si="38"/>
        <v>7.6453719743711434E-3</v>
      </c>
      <c r="AP103" s="84">
        <f t="shared" si="39"/>
        <v>1.2180209420977696E-2</v>
      </c>
      <c r="AQ103" s="55">
        <f t="shared" si="40"/>
        <v>358139.53488372103</v>
      </c>
      <c r="AR103" s="55">
        <f t="shared" si="41"/>
        <v>434883.72093023261</v>
      </c>
      <c r="AS103" s="83">
        <f t="shared" si="25"/>
        <v>41</v>
      </c>
      <c r="AT103" s="50">
        <f t="shared" si="42"/>
        <v>6.66</v>
      </c>
      <c r="AU103" s="55" t="str">
        <f t="shared" si="43"/>
        <v>Medium</v>
      </c>
      <c r="AV103" s="34" t="s">
        <v>1501</v>
      </c>
      <c r="AW103" s="111"/>
      <c r="AX103" s="30" t="s">
        <v>1493</v>
      </c>
      <c r="AY103" s="30"/>
      <c r="AZ103" s="85" t="str">
        <f>IF(ISERROR(_xlfn.XLOOKUP(CONCATENATE(A103,"_",AV103),'Reference-Proof pt impact flag'!$I$3:$I$1048576,'Reference-Proof pt impact flag'!$G$3:$G$1048576)),"",_xlfn.XLOOKUP(CONCATENATE(A103,"_",AV103),'Reference-Proof pt impact flag'!$I$3:$I$1048576,'Reference-Proof pt impact flag'!$G$3:$G$1048576))</f>
        <v/>
      </c>
      <c r="BA103" s="74"/>
      <c r="BB103" s="74"/>
      <c r="BC103" s="74"/>
      <c r="BD103" s="74"/>
      <c r="BE103" s="74"/>
      <c r="BF103" s="74" t="e">
        <f>_xlfn.XLOOKUP(CONCATENATE(H103,"_",AV103),'Test 2 - Proof points - GPT5'!$T:$T,'Test 2 - Proof points - GPT5'!$S:$S)</f>
        <v>#N/A</v>
      </c>
      <c r="BG103" s="74" t="e">
        <f>_xlfn.XLOOKUP(CONCATENATE(H103,"_",AV103),'Test 2 -Proof points - Sonnet'!$AB:$AB,'Test 2 -Proof points - Sonnet'!$AA:$AA)</f>
        <v>#N/A</v>
      </c>
      <c r="BH103" s="74"/>
      <c r="BI103" s="74"/>
      <c r="BJ103" s="74" t="s">
        <v>1550</v>
      </c>
      <c r="BK103" s="30"/>
      <c r="BL103" s="30"/>
      <c r="BM103" s="30"/>
      <c r="BN103" s="30"/>
      <c r="BO103" s="30"/>
      <c r="BP103" s="30"/>
      <c r="BQ103" s="30"/>
      <c r="BR103" s="30"/>
      <c r="BS103" s="30"/>
      <c r="BT103" s="30"/>
      <c r="BU103" s="30"/>
      <c r="BV103" s="113"/>
    </row>
    <row r="104" spans="1:74" ht="203" hidden="1" x14ac:dyDescent="0.35">
      <c r="A104" s="22">
        <v>3</v>
      </c>
      <c r="B104" s="22" t="s">
        <v>1451</v>
      </c>
      <c r="C104" s="22" t="s">
        <v>1452</v>
      </c>
      <c r="D104" s="22" t="s">
        <v>1224</v>
      </c>
      <c r="E104" s="22" t="s">
        <v>1453</v>
      </c>
      <c r="F104" s="22"/>
      <c r="G104" s="22" t="s">
        <v>1274</v>
      </c>
      <c r="H104" s="21" t="s">
        <v>1279</v>
      </c>
      <c r="I104" s="22"/>
      <c r="J104" s="21" t="s">
        <v>1336</v>
      </c>
      <c r="K104" s="30"/>
      <c r="L104" s="30" t="s">
        <v>1239</v>
      </c>
      <c r="M104" s="35" t="str">
        <f>VLOOKUP(H104,'1_Value &amp; risk levers'!$H$9:$O$1048576,2,FALSE)</f>
        <v>No review conducted</v>
      </c>
      <c r="N104" s="35" t="str">
        <f>VLOOKUP(H104,'1_Value &amp; risk levers'!$H$9:$O$1048576,3,FALSE)</f>
        <v>Limited trials for bulk options</v>
      </c>
      <c r="O104" s="35" t="str">
        <f>VLOOKUP(H104,'1_Value &amp; risk levers'!$H$9:$O$1048576,4,FALSE)</f>
        <v>Regular assessments to optimize packaging</v>
      </c>
      <c r="P104" s="35" t="str">
        <f>VLOOKUP(H104,'1_Value &amp; risk levers'!$H$9:$O$1048576,5,FALSE)</f>
        <v>Fully optimized with advanced logistics planning</v>
      </c>
      <c r="Q104" s="77">
        <f>IF(VLOOKUP(H104,'1_Value &amp; risk levers'!$H$9:$T$1048576,13,FALSE)=0,"",VLOOKUP(H104,'1_Value &amp; risk levers'!$H$9:$T$1048576,13,FALSE))</f>
        <v>1</v>
      </c>
      <c r="R104" s="128">
        <f t="shared" si="22"/>
        <v>2</v>
      </c>
      <c r="S104" s="128" t="e">
        <f t="shared" si="23"/>
        <v>#DIV/0!</v>
      </c>
      <c r="T104" s="77"/>
      <c r="U104" s="77"/>
      <c r="V104" s="55"/>
      <c r="W104" s="71">
        <v>0.04</v>
      </c>
      <c r="X104" s="71">
        <v>0.1</v>
      </c>
      <c r="Y104" s="71">
        <f>VLOOKUP(H104,'1_Value &amp; risk levers'!$H$9:$O$1048576,8,FALSE)</f>
        <v>0.8</v>
      </c>
      <c r="Z104" s="51">
        <f t="shared" si="24"/>
        <v>7.0000000000000007E-2</v>
      </c>
      <c r="AA104" s="51">
        <f t="shared" si="26"/>
        <v>8.5000000000000006E-2</v>
      </c>
      <c r="AB104" s="55">
        <f t="shared" si="27"/>
        <v>2800000.0000000005</v>
      </c>
      <c r="AC104" s="55">
        <f t="shared" si="28"/>
        <v>3400000.0000000005</v>
      </c>
      <c r="AD104" s="80">
        <f t="shared" si="29"/>
        <v>7</v>
      </c>
      <c r="AE104" s="84">
        <f t="shared" si="30"/>
        <v>0.48864540816326468</v>
      </c>
      <c r="AF104" s="71" t="str">
        <f t="shared" si="31"/>
        <v>Low</v>
      </c>
      <c r="AG104" s="84">
        <f t="shared" si="32"/>
        <v>5.9772908163265304E-2</v>
      </c>
      <c r="AH104" s="84">
        <f t="shared" si="33"/>
        <v>9.5227091836734709E-2</v>
      </c>
      <c r="AI104" s="73">
        <f t="shared" si="34"/>
        <v>2390916.3265306121</v>
      </c>
      <c r="AJ104" s="73">
        <f t="shared" si="35"/>
        <v>3809083.6734693884</v>
      </c>
      <c r="AK104" s="46">
        <f>VLOOKUP(H104,'1_Value &amp; risk levers'!$H$9:$O$1048576,6,FALSE)</f>
        <v>0.02</v>
      </c>
      <c r="AL104" s="46">
        <f>VLOOKUP(H104,'1_Value &amp; risk levers'!$H$9:$O$1048576,7,FALSE)</f>
        <v>0.03</v>
      </c>
      <c r="AM104" s="50">
        <f t="shared" si="36"/>
        <v>2.75E-2</v>
      </c>
      <c r="AN104" s="72">
        <f t="shared" si="37"/>
        <v>0.12790697674418605</v>
      </c>
      <c r="AO104" s="84">
        <f t="shared" si="38"/>
        <v>7.6453719743711434E-3</v>
      </c>
      <c r="AP104" s="84">
        <f t="shared" si="39"/>
        <v>1.2180209420977696E-2</v>
      </c>
      <c r="AQ104" s="55">
        <f t="shared" si="40"/>
        <v>358139.53488372103</v>
      </c>
      <c r="AR104" s="55">
        <f t="shared" si="41"/>
        <v>434883.72093023261</v>
      </c>
      <c r="AS104" s="83">
        <f t="shared" si="25"/>
        <v>41</v>
      </c>
      <c r="AT104" s="50">
        <f t="shared" si="42"/>
        <v>6.66</v>
      </c>
      <c r="AU104" s="55" t="str">
        <f t="shared" si="43"/>
        <v>Medium</v>
      </c>
      <c r="AV104" s="34" t="s">
        <v>1502</v>
      </c>
      <c r="AW104" s="111"/>
      <c r="AX104" s="30" t="s">
        <v>1493</v>
      </c>
      <c r="AY104" s="30"/>
      <c r="AZ104" s="85" t="str">
        <f>IF(ISERROR(_xlfn.XLOOKUP(CONCATENATE(A104,"_",AV104),'Reference-Proof pt impact flag'!$I$3:$I$1048576,'Reference-Proof pt impact flag'!$G$3:$G$1048576)),"",_xlfn.XLOOKUP(CONCATENATE(A104,"_",AV104),'Reference-Proof pt impact flag'!$I$3:$I$1048576,'Reference-Proof pt impact flag'!$G$3:$G$1048576))</f>
        <v/>
      </c>
      <c r="BA104" s="74"/>
      <c r="BB104" s="74"/>
      <c r="BC104" s="74"/>
      <c r="BD104" s="74"/>
      <c r="BE104" s="74"/>
      <c r="BF104" s="74" t="e">
        <f>_xlfn.XLOOKUP(CONCATENATE(H104,"_",AV104),'Test 2 - Proof points - GPT5'!$T:$T,'Test 2 - Proof points - GPT5'!$S:$S)</f>
        <v>#N/A</v>
      </c>
      <c r="BG104" s="74" t="e">
        <f>_xlfn.XLOOKUP(CONCATENATE(H104,"_",AV104),'Test 2 -Proof points - Sonnet'!$AB:$AB,'Test 2 -Proof points - Sonnet'!$AA:$AA)</f>
        <v>#N/A</v>
      </c>
      <c r="BH104" s="74"/>
      <c r="BI104" s="74"/>
      <c r="BJ104" s="74" t="s">
        <v>1550</v>
      </c>
      <c r="BK104" s="30"/>
      <c r="BL104" s="30"/>
      <c r="BM104" s="30"/>
      <c r="BN104" s="30"/>
      <c r="BO104" s="30"/>
      <c r="BP104" s="30"/>
      <c r="BQ104" s="30"/>
      <c r="BR104" s="30"/>
      <c r="BS104" s="30"/>
      <c r="BT104" s="30"/>
      <c r="BU104" s="30"/>
      <c r="BV104" s="113"/>
    </row>
    <row r="105" spans="1:74" ht="203" hidden="1" x14ac:dyDescent="0.35">
      <c r="A105" s="22">
        <v>3</v>
      </c>
      <c r="B105" s="22" t="s">
        <v>1451</v>
      </c>
      <c r="C105" s="22" t="s">
        <v>1452</v>
      </c>
      <c r="D105" s="22" t="s">
        <v>1224</v>
      </c>
      <c r="E105" s="22" t="s">
        <v>1453</v>
      </c>
      <c r="F105" s="22"/>
      <c r="G105" s="22" t="s">
        <v>1274</v>
      </c>
      <c r="H105" s="21" t="s">
        <v>1279</v>
      </c>
      <c r="I105" s="22"/>
      <c r="J105" s="21" t="s">
        <v>1336</v>
      </c>
      <c r="K105" s="30"/>
      <c r="L105" s="30" t="s">
        <v>1239</v>
      </c>
      <c r="M105" s="35" t="str">
        <f>VLOOKUP(H105,'1_Value &amp; risk levers'!$H$9:$O$1048576,2,FALSE)</f>
        <v>No review conducted</v>
      </c>
      <c r="N105" s="35" t="str">
        <f>VLOOKUP(H105,'1_Value &amp; risk levers'!$H$9:$O$1048576,3,FALSE)</f>
        <v>Limited trials for bulk options</v>
      </c>
      <c r="O105" s="35" t="str">
        <f>VLOOKUP(H105,'1_Value &amp; risk levers'!$H$9:$O$1048576,4,FALSE)</f>
        <v>Regular assessments to optimize packaging</v>
      </c>
      <c r="P105" s="35" t="str">
        <f>VLOOKUP(H105,'1_Value &amp; risk levers'!$H$9:$O$1048576,5,FALSE)</f>
        <v>Fully optimized with advanced logistics planning</v>
      </c>
      <c r="Q105" s="77">
        <f>IF(VLOOKUP(H105,'1_Value &amp; risk levers'!$H$9:$T$1048576,13,FALSE)=0,"",VLOOKUP(H105,'1_Value &amp; risk levers'!$H$9:$T$1048576,13,FALSE))</f>
        <v>1</v>
      </c>
      <c r="R105" s="128">
        <f t="shared" si="22"/>
        <v>2</v>
      </c>
      <c r="S105" s="128" t="e">
        <f t="shared" si="23"/>
        <v>#DIV/0!</v>
      </c>
      <c r="T105" s="77"/>
      <c r="U105" s="77"/>
      <c r="V105" s="55"/>
      <c r="W105" s="71">
        <v>0.04</v>
      </c>
      <c r="X105" s="71">
        <v>0.1</v>
      </c>
      <c r="Y105" s="71">
        <f>VLOOKUP(H105,'1_Value &amp; risk levers'!$H$9:$O$1048576,8,FALSE)</f>
        <v>0.8</v>
      </c>
      <c r="Z105" s="51">
        <f t="shared" si="24"/>
        <v>7.0000000000000007E-2</v>
      </c>
      <c r="AA105" s="51">
        <f t="shared" si="26"/>
        <v>8.5000000000000006E-2</v>
      </c>
      <c r="AB105" s="55">
        <f t="shared" si="27"/>
        <v>2800000.0000000005</v>
      </c>
      <c r="AC105" s="55">
        <f t="shared" si="28"/>
        <v>3400000.0000000005</v>
      </c>
      <c r="AD105" s="80">
        <f t="shared" si="29"/>
        <v>7</v>
      </c>
      <c r="AE105" s="84">
        <f t="shared" si="30"/>
        <v>0.48864540816326468</v>
      </c>
      <c r="AF105" s="71" t="str">
        <f t="shared" si="31"/>
        <v>Low</v>
      </c>
      <c r="AG105" s="84">
        <f t="shared" si="32"/>
        <v>5.9772908163265304E-2</v>
      </c>
      <c r="AH105" s="84">
        <f t="shared" si="33"/>
        <v>9.5227091836734709E-2</v>
      </c>
      <c r="AI105" s="73">
        <f t="shared" si="34"/>
        <v>2390916.3265306121</v>
      </c>
      <c r="AJ105" s="73">
        <f t="shared" si="35"/>
        <v>3809083.6734693884</v>
      </c>
      <c r="AK105" s="46">
        <f>VLOOKUP(H105,'1_Value &amp; risk levers'!$H$9:$O$1048576,6,FALSE)</f>
        <v>0.02</v>
      </c>
      <c r="AL105" s="46">
        <f>VLOOKUP(H105,'1_Value &amp; risk levers'!$H$9:$O$1048576,7,FALSE)</f>
        <v>0.03</v>
      </c>
      <c r="AM105" s="50">
        <f t="shared" si="36"/>
        <v>2.75E-2</v>
      </c>
      <c r="AN105" s="72">
        <f t="shared" si="37"/>
        <v>0.12790697674418605</v>
      </c>
      <c r="AO105" s="84">
        <f t="shared" si="38"/>
        <v>7.6453719743711434E-3</v>
      </c>
      <c r="AP105" s="84">
        <f t="shared" si="39"/>
        <v>1.2180209420977696E-2</v>
      </c>
      <c r="AQ105" s="55">
        <f t="shared" si="40"/>
        <v>358139.53488372103</v>
      </c>
      <c r="AR105" s="55">
        <f t="shared" si="41"/>
        <v>434883.72093023261</v>
      </c>
      <c r="AS105" s="83">
        <f t="shared" si="25"/>
        <v>41</v>
      </c>
      <c r="AT105" s="50">
        <f t="shared" si="42"/>
        <v>6.66</v>
      </c>
      <c r="AU105" s="55" t="str">
        <f t="shared" si="43"/>
        <v>Medium</v>
      </c>
      <c r="AV105" s="34" t="s">
        <v>1503</v>
      </c>
      <c r="AW105" s="111"/>
      <c r="AX105" s="30" t="s">
        <v>1493</v>
      </c>
      <c r="AY105" s="30"/>
      <c r="AZ105" s="85" t="str">
        <f>IF(ISERROR(_xlfn.XLOOKUP(CONCATENATE(A105,"_",AV105),'Reference-Proof pt impact flag'!$I$3:$I$1048576,'Reference-Proof pt impact flag'!$G$3:$G$1048576)),"",_xlfn.XLOOKUP(CONCATENATE(A105,"_",AV105),'Reference-Proof pt impact flag'!$I$3:$I$1048576,'Reference-Proof pt impact flag'!$G$3:$G$1048576))</f>
        <v/>
      </c>
      <c r="BA105" s="74"/>
      <c r="BB105" s="74"/>
      <c r="BC105" s="74"/>
      <c r="BD105" s="74"/>
      <c r="BE105" s="74"/>
      <c r="BF105" s="74" t="e">
        <f>_xlfn.XLOOKUP(CONCATENATE(H105,"_",AV105),'Test 2 - Proof points - GPT5'!$T:$T,'Test 2 - Proof points - GPT5'!$S:$S)</f>
        <v>#N/A</v>
      </c>
      <c r="BG105" s="74" t="e">
        <f>_xlfn.XLOOKUP(CONCATENATE(H105,"_",AV105),'Test 2 -Proof points - Sonnet'!$AB:$AB,'Test 2 -Proof points - Sonnet'!$AA:$AA)</f>
        <v>#N/A</v>
      </c>
      <c r="BH105" s="74"/>
      <c r="BI105" s="74"/>
      <c r="BJ105" s="74" t="s">
        <v>1550</v>
      </c>
      <c r="BK105" s="30"/>
      <c r="BL105" s="30"/>
      <c r="BM105" s="30"/>
      <c r="BN105" s="30"/>
      <c r="BO105" s="30"/>
      <c r="BP105" s="30"/>
      <c r="BQ105" s="30"/>
      <c r="BR105" s="30"/>
      <c r="BS105" s="30"/>
      <c r="BT105" s="30"/>
      <c r="BU105" s="30"/>
      <c r="BV105" s="113"/>
    </row>
    <row r="106" spans="1:74" ht="203" hidden="1" x14ac:dyDescent="0.35">
      <c r="A106" s="22">
        <v>3</v>
      </c>
      <c r="B106" s="22" t="s">
        <v>1451</v>
      </c>
      <c r="C106" s="22" t="s">
        <v>1452</v>
      </c>
      <c r="D106" s="22" t="s">
        <v>1224</v>
      </c>
      <c r="E106" s="22" t="s">
        <v>1453</v>
      </c>
      <c r="F106" s="22"/>
      <c r="G106" s="22" t="s">
        <v>1274</v>
      </c>
      <c r="H106" s="21" t="s">
        <v>1279</v>
      </c>
      <c r="I106" s="22"/>
      <c r="J106" s="21" t="s">
        <v>1336</v>
      </c>
      <c r="K106" s="30"/>
      <c r="L106" s="30" t="s">
        <v>1239</v>
      </c>
      <c r="M106" s="35" t="str">
        <f>VLOOKUP(H106,'1_Value &amp; risk levers'!$H$9:$O$1048576,2,FALSE)</f>
        <v>No review conducted</v>
      </c>
      <c r="N106" s="35" t="str">
        <f>VLOOKUP(H106,'1_Value &amp; risk levers'!$H$9:$O$1048576,3,FALSE)</f>
        <v>Limited trials for bulk options</v>
      </c>
      <c r="O106" s="35" t="str">
        <f>VLOOKUP(H106,'1_Value &amp; risk levers'!$H$9:$O$1048576,4,FALSE)</f>
        <v>Regular assessments to optimize packaging</v>
      </c>
      <c r="P106" s="35" t="str">
        <f>VLOOKUP(H106,'1_Value &amp; risk levers'!$H$9:$O$1048576,5,FALSE)</f>
        <v>Fully optimized with advanced logistics planning</v>
      </c>
      <c r="Q106" s="77">
        <f>IF(VLOOKUP(H106,'1_Value &amp; risk levers'!$H$9:$T$1048576,13,FALSE)=0,"",VLOOKUP(H106,'1_Value &amp; risk levers'!$H$9:$T$1048576,13,FALSE))</f>
        <v>1</v>
      </c>
      <c r="R106" s="128">
        <f t="shared" si="22"/>
        <v>2</v>
      </c>
      <c r="S106" s="128" t="e">
        <f t="shared" si="23"/>
        <v>#DIV/0!</v>
      </c>
      <c r="T106" s="77"/>
      <c r="U106" s="77"/>
      <c r="V106" s="55"/>
      <c r="W106" s="71">
        <v>0.04</v>
      </c>
      <c r="X106" s="71">
        <v>0.1</v>
      </c>
      <c r="Y106" s="71">
        <f>VLOOKUP(H106,'1_Value &amp; risk levers'!$H$9:$O$1048576,8,FALSE)</f>
        <v>0.8</v>
      </c>
      <c r="Z106" s="51">
        <f t="shared" si="24"/>
        <v>7.0000000000000007E-2</v>
      </c>
      <c r="AA106" s="51">
        <f t="shared" si="26"/>
        <v>8.5000000000000006E-2</v>
      </c>
      <c r="AB106" s="55">
        <f t="shared" si="27"/>
        <v>2800000.0000000005</v>
      </c>
      <c r="AC106" s="55">
        <f t="shared" si="28"/>
        <v>3400000.0000000005</v>
      </c>
      <c r="AD106" s="80">
        <f t="shared" si="29"/>
        <v>7</v>
      </c>
      <c r="AE106" s="84">
        <f t="shared" si="30"/>
        <v>0.48864540816326468</v>
      </c>
      <c r="AF106" s="71" t="str">
        <f t="shared" si="31"/>
        <v>Low</v>
      </c>
      <c r="AG106" s="84">
        <f t="shared" si="32"/>
        <v>5.9772908163265304E-2</v>
      </c>
      <c r="AH106" s="84">
        <f t="shared" si="33"/>
        <v>9.5227091836734709E-2</v>
      </c>
      <c r="AI106" s="73">
        <f t="shared" si="34"/>
        <v>2390916.3265306121</v>
      </c>
      <c r="AJ106" s="73">
        <f t="shared" si="35"/>
        <v>3809083.6734693884</v>
      </c>
      <c r="AK106" s="46">
        <f>VLOOKUP(H106,'1_Value &amp; risk levers'!$H$9:$O$1048576,6,FALSE)</f>
        <v>0.02</v>
      </c>
      <c r="AL106" s="46">
        <f>VLOOKUP(H106,'1_Value &amp; risk levers'!$H$9:$O$1048576,7,FALSE)</f>
        <v>0.03</v>
      </c>
      <c r="AM106" s="50">
        <f t="shared" si="36"/>
        <v>2.75E-2</v>
      </c>
      <c r="AN106" s="72">
        <f t="shared" si="37"/>
        <v>0.12790697674418605</v>
      </c>
      <c r="AO106" s="84">
        <f t="shared" si="38"/>
        <v>7.6453719743711434E-3</v>
      </c>
      <c r="AP106" s="84">
        <f t="shared" si="39"/>
        <v>1.2180209420977696E-2</v>
      </c>
      <c r="AQ106" s="55">
        <f t="shared" si="40"/>
        <v>358139.53488372103</v>
      </c>
      <c r="AR106" s="55">
        <f t="shared" si="41"/>
        <v>434883.72093023261</v>
      </c>
      <c r="AS106" s="83">
        <f t="shared" si="25"/>
        <v>41</v>
      </c>
      <c r="AT106" s="50">
        <f t="shared" si="42"/>
        <v>6.66</v>
      </c>
      <c r="AU106" s="55" t="str">
        <f t="shared" si="43"/>
        <v>Medium</v>
      </c>
      <c r="AV106" s="34" t="s">
        <v>1504</v>
      </c>
      <c r="AW106" s="111"/>
      <c r="AX106" s="30" t="s">
        <v>1493</v>
      </c>
      <c r="AY106" s="30" t="s">
        <v>1554</v>
      </c>
      <c r="AZ106" s="85" t="str">
        <f>IF(ISERROR(_xlfn.XLOOKUP(CONCATENATE(A106,"_",AV106),'Reference-Proof pt impact flag'!$I$3:$I$1048576,'Reference-Proof pt impact flag'!$G$3:$G$1048576)),"",_xlfn.XLOOKUP(CONCATENATE(A106,"_",AV106),'Reference-Proof pt impact flag'!$I$3:$I$1048576,'Reference-Proof pt impact flag'!$G$3:$G$1048576))</f>
        <v>High</v>
      </c>
      <c r="BA106" s="27" t="s">
        <v>1458</v>
      </c>
      <c r="BB106" s="74"/>
      <c r="BC106" s="74"/>
      <c r="BD106" s="74"/>
      <c r="BE106" s="74"/>
      <c r="BF106" s="74" t="str">
        <f>_xlfn.XLOOKUP(CONCATENATE(H106,"_",AV106),'Test 2 - Proof points - GPT5'!$T:$T,'Test 2 - Proof points - GPT5'!$S:$S)</f>
        <v>Market view: Top rice bran oil exporters include India, Bangladesh, and Thailand; sunflower oil exports are dominated by Ukraine/Russia, with Turkey also significant. For client’s Asia-focused plants, preferred exporter origins: India/Thailand (RBO) and Ukraine/Russia/Turkey (sunflower). Actions: pre-qualify 3–5 non-incumbent suppliers per origin; pilot spot buys to benchmark incumbents. [Sources: Volza; Reuters]</v>
      </c>
      <c r="BG106" s="74" t="str">
        <f>_xlfn.XLOOKUP(CONCATENATE(H106,"_",AV106),'Test 2 -Proof points - Sonnet'!$AB:$AB,'Test 2 -Proof points - Sonnet'!$AA:$AA)</f>
        <v>â€¢ **Adopt industry-standard packaging**: Global export data shows 20-25MT flexi-tank shipments as industry standard for vegetable oil transportation, offering 15-20% cost savings vs. traditional drum packaging for large volumes.
â€¢ **Leverage infrastructure compatibility**: Major Asian ports equipped for flexi-tank handling - align packaging strategy with established infrastructure to optimize logistics costs and delivery efficiency.
â€¢ **Future sustainable packaging**: Industry shift toward eco-friendly packaging solutions and reduced material waste will favor bulk delivery systems like flexi-tanks, making current packaging optimization essential for meeting future sustainability requirements and maintaining competitive transportation costs in evolving regulatory environments.</v>
      </c>
      <c r="BH106" s="74" t="s">
        <v>1553</v>
      </c>
      <c r="BI106" s="74"/>
      <c r="BJ106" s="74" t="s">
        <v>1550</v>
      </c>
      <c r="BK106" s="30"/>
      <c r="BL106" s="30"/>
      <c r="BM106" s="30"/>
      <c r="BN106" s="30"/>
      <c r="BO106" s="30"/>
      <c r="BP106" s="30"/>
      <c r="BQ106" s="30"/>
      <c r="BR106" s="30"/>
      <c r="BS106" s="30"/>
      <c r="BT106" s="30"/>
      <c r="BU106" s="30"/>
      <c r="BV106" s="113" t="s">
        <v>132</v>
      </c>
    </row>
    <row r="107" spans="1:74" ht="203" hidden="1" x14ac:dyDescent="0.35">
      <c r="A107" s="22">
        <v>3</v>
      </c>
      <c r="B107" s="22" t="s">
        <v>1451</v>
      </c>
      <c r="C107" s="22" t="s">
        <v>1452</v>
      </c>
      <c r="D107" s="22" t="s">
        <v>1224</v>
      </c>
      <c r="E107" s="22" t="s">
        <v>1453</v>
      </c>
      <c r="F107" s="22"/>
      <c r="G107" s="22" t="s">
        <v>1274</v>
      </c>
      <c r="H107" s="21" t="s">
        <v>1279</v>
      </c>
      <c r="I107" s="22"/>
      <c r="J107" s="21" t="s">
        <v>1336</v>
      </c>
      <c r="K107" s="30"/>
      <c r="L107" s="30" t="s">
        <v>1239</v>
      </c>
      <c r="M107" s="35" t="str">
        <f>VLOOKUP(H107,'1_Value &amp; risk levers'!$H$9:$O$1048576,2,FALSE)</f>
        <v>No review conducted</v>
      </c>
      <c r="N107" s="35" t="str">
        <f>VLOOKUP(H107,'1_Value &amp; risk levers'!$H$9:$O$1048576,3,FALSE)</f>
        <v>Limited trials for bulk options</v>
      </c>
      <c r="O107" s="35" t="str">
        <f>VLOOKUP(H107,'1_Value &amp; risk levers'!$H$9:$O$1048576,4,FALSE)</f>
        <v>Regular assessments to optimize packaging</v>
      </c>
      <c r="P107" s="35" t="str">
        <f>VLOOKUP(H107,'1_Value &amp; risk levers'!$H$9:$O$1048576,5,FALSE)</f>
        <v>Fully optimized with advanced logistics planning</v>
      </c>
      <c r="Q107" s="77">
        <f>IF(VLOOKUP(H107,'1_Value &amp; risk levers'!$H$9:$T$1048576,13,FALSE)=0,"",VLOOKUP(H107,'1_Value &amp; risk levers'!$H$9:$T$1048576,13,FALSE))</f>
        <v>1</v>
      </c>
      <c r="R107" s="128">
        <f t="shared" si="22"/>
        <v>2</v>
      </c>
      <c r="S107" s="128" t="e">
        <f t="shared" si="23"/>
        <v>#DIV/0!</v>
      </c>
      <c r="T107" s="77"/>
      <c r="U107" s="77"/>
      <c r="V107" s="55"/>
      <c r="W107" s="71">
        <v>0.04</v>
      </c>
      <c r="X107" s="71">
        <v>0.1</v>
      </c>
      <c r="Y107" s="71">
        <f>VLOOKUP(H107,'1_Value &amp; risk levers'!$H$9:$O$1048576,8,FALSE)</f>
        <v>0.8</v>
      </c>
      <c r="Z107" s="51">
        <f t="shared" si="24"/>
        <v>7.0000000000000007E-2</v>
      </c>
      <c r="AA107" s="51">
        <f t="shared" si="26"/>
        <v>8.5000000000000006E-2</v>
      </c>
      <c r="AB107" s="55">
        <f t="shared" si="27"/>
        <v>2800000.0000000005</v>
      </c>
      <c r="AC107" s="55">
        <f t="shared" si="28"/>
        <v>3400000.0000000005</v>
      </c>
      <c r="AD107" s="80">
        <f t="shared" si="29"/>
        <v>7</v>
      </c>
      <c r="AE107" s="84">
        <f t="shared" si="30"/>
        <v>0.48864540816326468</v>
      </c>
      <c r="AF107" s="71" t="str">
        <f t="shared" si="31"/>
        <v>Low</v>
      </c>
      <c r="AG107" s="84">
        <f t="shared" si="32"/>
        <v>5.9772908163265304E-2</v>
      </c>
      <c r="AH107" s="84">
        <f t="shared" si="33"/>
        <v>9.5227091836734709E-2</v>
      </c>
      <c r="AI107" s="73">
        <f t="shared" si="34"/>
        <v>2390916.3265306121</v>
      </c>
      <c r="AJ107" s="73">
        <f t="shared" si="35"/>
        <v>3809083.6734693884</v>
      </c>
      <c r="AK107" s="46">
        <f>VLOOKUP(H107,'1_Value &amp; risk levers'!$H$9:$O$1048576,6,FALSE)</f>
        <v>0.02</v>
      </c>
      <c r="AL107" s="46">
        <f>VLOOKUP(H107,'1_Value &amp; risk levers'!$H$9:$O$1048576,7,FALSE)</f>
        <v>0.03</v>
      </c>
      <c r="AM107" s="50">
        <f t="shared" si="36"/>
        <v>2.75E-2</v>
      </c>
      <c r="AN107" s="72">
        <f t="shared" si="37"/>
        <v>0.12790697674418605</v>
      </c>
      <c r="AO107" s="84">
        <f t="shared" si="38"/>
        <v>7.6453719743711434E-3</v>
      </c>
      <c r="AP107" s="84">
        <f t="shared" si="39"/>
        <v>1.2180209420977696E-2</v>
      </c>
      <c r="AQ107" s="55">
        <f t="shared" si="40"/>
        <v>358139.53488372103</v>
      </c>
      <c r="AR107" s="55">
        <f t="shared" si="41"/>
        <v>434883.72093023261</v>
      </c>
      <c r="AS107" s="83">
        <f t="shared" si="25"/>
        <v>41</v>
      </c>
      <c r="AT107" s="50">
        <f t="shared" si="42"/>
        <v>6.66</v>
      </c>
      <c r="AU107" s="55" t="str">
        <f t="shared" si="43"/>
        <v>Medium</v>
      </c>
      <c r="AV107" s="34" t="s">
        <v>1505</v>
      </c>
      <c r="AW107" s="111"/>
      <c r="AX107" s="30" t="s">
        <v>1493</v>
      </c>
      <c r="AY107" s="30"/>
      <c r="AZ107" s="85" t="str">
        <f>IF(ISERROR(_xlfn.XLOOKUP(CONCATENATE(A107,"_",AV107),'Reference-Proof pt impact flag'!$I$3:$I$1048576,'Reference-Proof pt impact flag'!$G$3:$G$1048576)),"",_xlfn.XLOOKUP(CONCATENATE(A107,"_",AV107),'Reference-Proof pt impact flag'!$I$3:$I$1048576,'Reference-Proof pt impact flag'!$G$3:$G$1048576))</f>
        <v/>
      </c>
      <c r="BA107" s="74"/>
      <c r="BB107" s="74"/>
      <c r="BC107" s="74"/>
      <c r="BD107" s="74"/>
      <c r="BE107" s="74"/>
      <c r="BF107" s="74" t="e">
        <f>_xlfn.XLOOKUP(CONCATENATE(H107,"_",AV107),'Test 2 - Proof points - GPT5'!$T:$T,'Test 2 - Proof points - GPT5'!$S:$S)</f>
        <v>#N/A</v>
      </c>
      <c r="BG107" s="74" t="e">
        <f>_xlfn.XLOOKUP(CONCATENATE(H107,"_",AV107),'Test 2 -Proof points - Sonnet'!$AB:$AB,'Test 2 -Proof points - Sonnet'!$AA:$AA)</f>
        <v>#N/A</v>
      </c>
      <c r="BH107" s="74"/>
      <c r="BI107" s="74"/>
      <c r="BJ107" s="74" t="s">
        <v>1550</v>
      </c>
      <c r="BK107" s="30"/>
      <c r="BL107" s="30"/>
      <c r="BM107" s="30"/>
      <c r="BN107" s="30"/>
      <c r="BO107" s="30"/>
      <c r="BP107" s="30"/>
      <c r="BQ107" s="30"/>
      <c r="BR107" s="30"/>
      <c r="BS107" s="30"/>
      <c r="BT107" s="30"/>
      <c r="BU107" s="30"/>
      <c r="BV107" s="113"/>
    </row>
    <row r="108" spans="1:74" ht="203" hidden="1" x14ac:dyDescent="0.35">
      <c r="A108" s="22">
        <v>3</v>
      </c>
      <c r="B108" s="22" t="s">
        <v>1451</v>
      </c>
      <c r="C108" s="22" t="s">
        <v>1452</v>
      </c>
      <c r="D108" s="22" t="s">
        <v>1224</v>
      </c>
      <c r="E108" s="22" t="s">
        <v>1453</v>
      </c>
      <c r="F108" s="22"/>
      <c r="G108" s="22" t="s">
        <v>1274</v>
      </c>
      <c r="H108" s="21" t="s">
        <v>1279</v>
      </c>
      <c r="I108" s="22"/>
      <c r="J108" s="21" t="s">
        <v>1336</v>
      </c>
      <c r="K108" s="30"/>
      <c r="L108" s="30" t="s">
        <v>1239</v>
      </c>
      <c r="M108" s="35" t="str">
        <f>VLOOKUP(H108,'1_Value &amp; risk levers'!$H$9:$O$1048576,2,FALSE)</f>
        <v>No review conducted</v>
      </c>
      <c r="N108" s="35" t="str">
        <f>VLOOKUP(H108,'1_Value &amp; risk levers'!$H$9:$O$1048576,3,FALSE)</f>
        <v>Limited trials for bulk options</v>
      </c>
      <c r="O108" s="35" t="str">
        <f>VLOOKUP(H108,'1_Value &amp; risk levers'!$H$9:$O$1048576,4,FALSE)</f>
        <v>Regular assessments to optimize packaging</v>
      </c>
      <c r="P108" s="35" t="str">
        <f>VLOOKUP(H108,'1_Value &amp; risk levers'!$H$9:$O$1048576,5,FALSE)</f>
        <v>Fully optimized with advanced logistics planning</v>
      </c>
      <c r="Q108" s="77">
        <f>IF(VLOOKUP(H108,'1_Value &amp; risk levers'!$H$9:$T$1048576,13,FALSE)=0,"",VLOOKUP(H108,'1_Value &amp; risk levers'!$H$9:$T$1048576,13,FALSE))</f>
        <v>1</v>
      </c>
      <c r="R108" s="128">
        <f t="shared" si="22"/>
        <v>2</v>
      </c>
      <c r="S108" s="128" t="e">
        <f t="shared" si="23"/>
        <v>#DIV/0!</v>
      </c>
      <c r="T108" s="77"/>
      <c r="U108" s="77"/>
      <c r="V108" s="55"/>
      <c r="W108" s="71">
        <v>0.04</v>
      </c>
      <c r="X108" s="71">
        <v>0.1</v>
      </c>
      <c r="Y108" s="71">
        <f>VLOOKUP(H108,'1_Value &amp; risk levers'!$H$9:$O$1048576,8,FALSE)</f>
        <v>0.8</v>
      </c>
      <c r="Z108" s="51">
        <f t="shared" si="24"/>
        <v>7.0000000000000007E-2</v>
      </c>
      <c r="AA108" s="51">
        <f t="shared" si="26"/>
        <v>8.5000000000000006E-2</v>
      </c>
      <c r="AB108" s="55">
        <f t="shared" si="27"/>
        <v>2800000.0000000005</v>
      </c>
      <c r="AC108" s="55">
        <f t="shared" si="28"/>
        <v>3400000.0000000005</v>
      </c>
      <c r="AD108" s="80">
        <f t="shared" si="29"/>
        <v>7</v>
      </c>
      <c r="AE108" s="84">
        <f t="shared" si="30"/>
        <v>0.48864540816326468</v>
      </c>
      <c r="AF108" s="71" t="str">
        <f t="shared" si="31"/>
        <v>Low</v>
      </c>
      <c r="AG108" s="84">
        <f t="shared" si="32"/>
        <v>5.9772908163265304E-2</v>
      </c>
      <c r="AH108" s="84">
        <f t="shared" si="33"/>
        <v>9.5227091836734709E-2</v>
      </c>
      <c r="AI108" s="73">
        <f t="shared" si="34"/>
        <v>2390916.3265306121</v>
      </c>
      <c r="AJ108" s="73">
        <f t="shared" si="35"/>
        <v>3809083.6734693884</v>
      </c>
      <c r="AK108" s="46">
        <f>VLOOKUP(H108,'1_Value &amp; risk levers'!$H$9:$O$1048576,6,FALSE)</f>
        <v>0.02</v>
      </c>
      <c r="AL108" s="46">
        <f>VLOOKUP(H108,'1_Value &amp; risk levers'!$H$9:$O$1048576,7,FALSE)</f>
        <v>0.03</v>
      </c>
      <c r="AM108" s="50">
        <f t="shared" si="36"/>
        <v>2.75E-2</v>
      </c>
      <c r="AN108" s="72">
        <f t="shared" si="37"/>
        <v>0.12790697674418605</v>
      </c>
      <c r="AO108" s="84">
        <f t="shared" si="38"/>
        <v>7.6453719743711434E-3</v>
      </c>
      <c r="AP108" s="84">
        <f t="shared" si="39"/>
        <v>1.2180209420977696E-2</v>
      </c>
      <c r="AQ108" s="55">
        <f t="shared" si="40"/>
        <v>358139.53488372103</v>
      </c>
      <c r="AR108" s="55">
        <f t="shared" si="41"/>
        <v>434883.72093023261</v>
      </c>
      <c r="AS108" s="83">
        <f t="shared" si="25"/>
        <v>41</v>
      </c>
      <c r="AT108" s="50">
        <f t="shared" si="42"/>
        <v>6.66</v>
      </c>
      <c r="AU108" s="55" t="str">
        <f t="shared" si="43"/>
        <v>Medium</v>
      </c>
      <c r="AV108" s="34" t="s">
        <v>1506</v>
      </c>
      <c r="AW108" s="111"/>
      <c r="AX108" s="30" t="s">
        <v>1493</v>
      </c>
      <c r="AY108" s="30"/>
      <c r="AZ108" s="85" t="str">
        <f>IF(ISERROR(_xlfn.XLOOKUP(CONCATENATE(A108,"_",AV108),'Reference-Proof pt impact flag'!$I$3:$I$1048576,'Reference-Proof pt impact flag'!$G$3:$G$1048576)),"",_xlfn.XLOOKUP(CONCATENATE(A108,"_",AV108),'Reference-Proof pt impact flag'!$I$3:$I$1048576,'Reference-Proof pt impact flag'!$G$3:$G$1048576))</f>
        <v/>
      </c>
      <c r="BA108" s="74"/>
      <c r="BB108" s="74"/>
      <c r="BC108" s="74"/>
      <c r="BD108" s="74"/>
      <c r="BE108" s="74"/>
      <c r="BF108" s="74" t="e">
        <f>_xlfn.XLOOKUP(CONCATENATE(H108,"_",AV108),'Test 2 - Proof points - GPT5'!$T:$T,'Test 2 - Proof points - GPT5'!$S:$S)</f>
        <v>#N/A</v>
      </c>
      <c r="BG108" s="74" t="e">
        <f>_xlfn.XLOOKUP(CONCATENATE(H108,"_",AV108),'Test 2 -Proof points - Sonnet'!$AB:$AB,'Test 2 -Proof points - Sonnet'!$AA:$AA)</f>
        <v>#N/A</v>
      </c>
      <c r="BH108" s="74"/>
      <c r="BI108" s="74"/>
      <c r="BJ108" s="74" t="s">
        <v>1550</v>
      </c>
      <c r="BK108" s="30"/>
      <c r="BL108" s="30"/>
      <c r="BM108" s="30"/>
      <c r="BN108" s="30"/>
      <c r="BO108" s="30"/>
      <c r="BP108" s="30"/>
      <c r="BQ108" s="30"/>
      <c r="BR108" s="30"/>
      <c r="BS108" s="30"/>
      <c r="BT108" s="30"/>
      <c r="BU108" s="30"/>
      <c r="BV108" s="113"/>
    </row>
    <row r="109" spans="1:74" ht="203" hidden="1" x14ac:dyDescent="0.35">
      <c r="A109" s="22">
        <v>3</v>
      </c>
      <c r="B109" s="22" t="s">
        <v>1451</v>
      </c>
      <c r="C109" s="22" t="s">
        <v>1452</v>
      </c>
      <c r="D109" s="22" t="s">
        <v>1224</v>
      </c>
      <c r="E109" s="22" t="s">
        <v>1453</v>
      </c>
      <c r="F109" s="22"/>
      <c r="G109" s="22" t="s">
        <v>1274</v>
      </c>
      <c r="H109" s="21" t="s">
        <v>1279</v>
      </c>
      <c r="I109" s="22"/>
      <c r="J109" s="21" t="s">
        <v>1336</v>
      </c>
      <c r="K109" s="30"/>
      <c r="L109" s="30" t="s">
        <v>1239</v>
      </c>
      <c r="M109" s="35" t="str">
        <f>VLOOKUP(H109,'1_Value &amp; risk levers'!$H$9:$O$1048576,2,FALSE)</f>
        <v>No review conducted</v>
      </c>
      <c r="N109" s="35" t="str">
        <f>VLOOKUP(H109,'1_Value &amp; risk levers'!$H$9:$O$1048576,3,FALSE)</f>
        <v>Limited trials for bulk options</v>
      </c>
      <c r="O109" s="35" t="str">
        <f>VLOOKUP(H109,'1_Value &amp; risk levers'!$H$9:$O$1048576,4,FALSE)</f>
        <v>Regular assessments to optimize packaging</v>
      </c>
      <c r="P109" s="35" t="str">
        <f>VLOOKUP(H109,'1_Value &amp; risk levers'!$H$9:$O$1048576,5,FALSE)</f>
        <v>Fully optimized with advanced logistics planning</v>
      </c>
      <c r="Q109" s="77">
        <f>IF(VLOOKUP(H109,'1_Value &amp; risk levers'!$H$9:$T$1048576,13,FALSE)=0,"",VLOOKUP(H109,'1_Value &amp; risk levers'!$H$9:$T$1048576,13,FALSE))</f>
        <v>1</v>
      </c>
      <c r="R109" s="128">
        <f t="shared" si="22"/>
        <v>2</v>
      </c>
      <c r="S109" s="128" t="e">
        <f t="shared" si="23"/>
        <v>#DIV/0!</v>
      </c>
      <c r="T109" s="77"/>
      <c r="U109" s="77"/>
      <c r="V109" s="55"/>
      <c r="W109" s="71">
        <v>0.04</v>
      </c>
      <c r="X109" s="71">
        <v>0.1</v>
      </c>
      <c r="Y109" s="71">
        <f>VLOOKUP(H109,'1_Value &amp; risk levers'!$H$9:$O$1048576,8,FALSE)</f>
        <v>0.8</v>
      </c>
      <c r="Z109" s="51">
        <f t="shared" si="24"/>
        <v>7.0000000000000007E-2</v>
      </c>
      <c r="AA109" s="51">
        <f t="shared" si="26"/>
        <v>8.5000000000000006E-2</v>
      </c>
      <c r="AB109" s="55">
        <f t="shared" si="27"/>
        <v>2800000.0000000005</v>
      </c>
      <c r="AC109" s="55">
        <f t="shared" si="28"/>
        <v>3400000.0000000005</v>
      </c>
      <c r="AD109" s="80">
        <f t="shared" si="29"/>
        <v>7</v>
      </c>
      <c r="AE109" s="84">
        <f t="shared" si="30"/>
        <v>0.48864540816326468</v>
      </c>
      <c r="AF109" s="71" t="str">
        <f t="shared" si="31"/>
        <v>Low</v>
      </c>
      <c r="AG109" s="84">
        <f t="shared" si="32"/>
        <v>5.9772908163265304E-2</v>
      </c>
      <c r="AH109" s="84">
        <f t="shared" si="33"/>
        <v>9.5227091836734709E-2</v>
      </c>
      <c r="AI109" s="73">
        <f t="shared" si="34"/>
        <v>2390916.3265306121</v>
      </c>
      <c r="AJ109" s="73">
        <f t="shared" si="35"/>
        <v>3809083.6734693884</v>
      </c>
      <c r="AK109" s="46">
        <f>VLOOKUP(H109,'1_Value &amp; risk levers'!$H$9:$O$1048576,6,FALSE)</f>
        <v>0.02</v>
      </c>
      <c r="AL109" s="46">
        <f>VLOOKUP(H109,'1_Value &amp; risk levers'!$H$9:$O$1048576,7,FALSE)</f>
        <v>0.03</v>
      </c>
      <c r="AM109" s="50">
        <f t="shared" si="36"/>
        <v>2.75E-2</v>
      </c>
      <c r="AN109" s="72">
        <f t="shared" si="37"/>
        <v>0.12790697674418605</v>
      </c>
      <c r="AO109" s="84">
        <f t="shared" si="38"/>
        <v>7.6453719743711434E-3</v>
      </c>
      <c r="AP109" s="84">
        <f t="shared" si="39"/>
        <v>1.2180209420977696E-2</v>
      </c>
      <c r="AQ109" s="55">
        <f t="shared" si="40"/>
        <v>358139.53488372103</v>
      </c>
      <c r="AR109" s="55">
        <f t="shared" si="41"/>
        <v>434883.72093023261</v>
      </c>
      <c r="AS109" s="83">
        <f t="shared" si="25"/>
        <v>41</v>
      </c>
      <c r="AT109" s="50">
        <f t="shared" si="42"/>
        <v>6.66</v>
      </c>
      <c r="AU109" s="55" t="str">
        <f t="shared" si="43"/>
        <v>Medium</v>
      </c>
      <c r="AV109" s="34" t="s">
        <v>1507</v>
      </c>
      <c r="AW109" s="111"/>
      <c r="AX109" s="30" t="s">
        <v>1493</v>
      </c>
      <c r="AY109" s="30"/>
      <c r="AZ109" s="85" t="str">
        <f>IF(ISERROR(_xlfn.XLOOKUP(CONCATENATE(A109,"_",AV109),'Reference-Proof pt impact flag'!$I$3:$I$1048576,'Reference-Proof pt impact flag'!$G$3:$G$1048576)),"",_xlfn.XLOOKUP(CONCATENATE(A109,"_",AV109),'Reference-Proof pt impact flag'!$I$3:$I$1048576,'Reference-Proof pt impact flag'!$G$3:$G$1048576))</f>
        <v/>
      </c>
      <c r="BA109" s="74"/>
      <c r="BB109" s="74"/>
      <c r="BC109" s="74"/>
      <c r="BD109" s="74"/>
      <c r="BE109" s="74"/>
      <c r="BF109" s="74" t="e">
        <f>_xlfn.XLOOKUP(CONCATENATE(H109,"_",AV109),'Test 2 - Proof points - GPT5'!$T:$T,'Test 2 - Proof points - GPT5'!$S:$S)</f>
        <v>#N/A</v>
      </c>
      <c r="BG109" s="74" t="e">
        <f>_xlfn.XLOOKUP(CONCATENATE(H109,"_",AV109),'Test 2 -Proof points - Sonnet'!$AB:$AB,'Test 2 -Proof points - Sonnet'!$AA:$AA)</f>
        <v>#N/A</v>
      </c>
      <c r="BH109" s="74"/>
      <c r="BI109" s="74"/>
      <c r="BJ109" s="74" t="s">
        <v>1550</v>
      </c>
      <c r="BK109" s="30"/>
      <c r="BL109" s="30"/>
      <c r="BM109" s="30"/>
      <c r="BN109" s="30"/>
      <c r="BO109" s="30"/>
      <c r="BP109" s="30"/>
      <c r="BQ109" s="30"/>
      <c r="BR109" s="30"/>
      <c r="BS109" s="30"/>
      <c r="BT109" s="30"/>
      <c r="BU109" s="30"/>
      <c r="BV109" s="113"/>
    </row>
    <row r="110" spans="1:74" ht="203" hidden="1" x14ac:dyDescent="0.35">
      <c r="A110" s="22">
        <v>3</v>
      </c>
      <c r="B110" s="22" t="s">
        <v>1451</v>
      </c>
      <c r="C110" s="22" t="s">
        <v>1452</v>
      </c>
      <c r="D110" s="22" t="s">
        <v>1224</v>
      </c>
      <c r="E110" s="22" t="s">
        <v>1453</v>
      </c>
      <c r="F110" s="22"/>
      <c r="G110" s="22" t="s">
        <v>1274</v>
      </c>
      <c r="H110" s="21" t="s">
        <v>1279</v>
      </c>
      <c r="I110" s="22"/>
      <c r="J110" s="21" t="s">
        <v>1336</v>
      </c>
      <c r="K110" s="30"/>
      <c r="L110" s="30" t="s">
        <v>1239</v>
      </c>
      <c r="M110" s="35" t="str">
        <f>VLOOKUP(H110,'1_Value &amp; risk levers'!$H$9:$O$1048576,2,FALSE)</f>
        <v>No review conducted</v>
      </c>
      <c r="N110" s="35" t="str">
        <f>VLOOKUP(H110,'1_Value &amp; risk levers'!$H$9:$O$1048576,3,FALSE)</f>
        <v>Limited trials for bulk options</v>
      </c>
      <c r="O110" s="35" t="str">
        <f>VLOOKUP(H110,'1_Value &amp; risk levers'!$H$9:$O$1048576,4,FALSE)</f>
        <v>Regular assessments to optimize packaging</v>
      </c>
      <c r="P110" s="35" t="str">
        <f>VLOOKUP(H110,'1_Value &amp; risk levers'!$H$9:$O$1048576,5,FALSE)</f>
        <v>Fully optimized with advanced logistics planning</v>
      </c>
      <c r="Q110" s="77">
        <f>IF(VLOOKUP(H110,'1_Value &amp; risk levers'!$H$9:$T$1048576,13,FALSE)=0,"",VLOOKUP(H110,'1_Value &amp; risk levers'!$H$9:$T$1048576,13,FALSE))</f>
        <v>1</v>
      </c>
      <c r="R110" s="128">
        <f t="shared" si="22"/>
        <v>2</v>
      </c>
      <c r="S110" s="128" t="e">
        <f t="shared" si="23"/>
        <v>#DIV/0!</v>
      </c>
      <c r="T110" s="77"/>
      <c r="U110" s="77"/>
      <c r="V110" s="55"/>
      <c r="W110" s="71">
        <v>0.04</v>
      </c>
      <c r="X110" s="71">
        <v>0.1</v>
      </c>
      <c r="Y110" s="71">
        <f>VLOOKUP(H110,'1_Value &amp; risk levers'!$H$9:$O$1048576,8,FALSE)</f>
        <v>0.8</v>
      </c>
      <c r="Z110" s="51">
        <f t="shared" si="24"/>
        <v>7.0000000000000007E-2</v>
      </c>
      <c r="AA110" s="51">
        <f t="shared" si="26"/>
        <v>8.5000000000000006E-2</v>
      </c>
      <c r="AB110" s="55">
        <f t="shared" si="27"/>
        <v>2800000.0000000005</v>
      </c>
      <c r="AC110" s="55">
        <f t="shared" si="28"/>
        <v>3400000.0000000005</v>
      </c>
      <c r="AD110" s="80">
        <f t="shared" si="29"/>
        <v>7</v>
      </c>
      <c r="AE110" s="84">
        <f t="shared" si="30"/>
        <v>0.48864540816326468</v>
      </c>
      <c r="AF110" s="71" t="str">
        <f t="shared" si="31"/>
        <v>Low</v>
      </c>
      <c r="AG110" s="84">
        <f t="shared" si="32"/>
        <v>5.9772908163265304E-2</v>
      </c>
      <c r="AH110" s="84">
        <f t="shared" si="33"/>
        <v>9.5227091836734709E-2</v>
      </c>
      <c r="AI110" s="73">
        <f t="shared" si="34"/>
        <v>2390916.3265306121</v>
      </c>
      <c r="AJ110" s="73">
        <f t="shared" si="35"/>
        <v>3809083.6734693884</v>
      </c>
      <c r="AK110" s="46">
        <f>VLOOKUP(H110,'1_Value &amp; risk levers'!$H$9:$O$1048576,6,FALSE)</f>
        <v>0.02</v>
      </c>
      <c r="AL110" s="46">
        <f>VLOOKUP(H110,'1_Value &amp; risk levers'!$H$9:$O$1048576,7,FALSE)</f>
        <v>0.03</v>
      </c>
      <c r="AM110" s="50">
        <f t="shared" si="36"/>
        <v>2.75E-2</v>
      </c>
      <c r="AN110" s="72">
        <f t="shared" si="37"/>
        <v>0.12790697674418605</v>
      </c>
      <c r="AO110" s="84">
        <f t="shared" si="38"/>
        <v>7.6453719743711434E-3</v>
      </c>
      <c r="AP110" s="84">
        <f t="shared" si="39"/>
        <v>1.2180209420977696E-2</v>
      </c>
      <c r="AQ110" s="55">
        <f t="shared" si="40"/>
        <v>358139.53488372103</v>
      </c>
      <c r="AR110" s="55">
        <f t="shared" si="41"/>
        <v>434883.72093023261</v>
      </c>
      <c r="AS110" s="83">
        <f t="shared" si="25"/>
        <v>41</v>
      </c>
      <c r="AT110" s="50">
        <f t="shared" si="42"/>
        <v>6.66</v>
      </c>
      <c r="AU110" s="55" t="str">
        <f t="shared" si="43"/>
        <v>Medium</v>
      </c>
      <c r="AV110" s="34" t="s">
        <v>1508</v>
      </c>
      <c r="AW110" s="111"/>
      <c r="AX110" s="30" t="s">
        <v>1493</v>
      </c>
      <c r="AY110" s="27" t="s">
        <v>1555</v>
      </c>
      <c r="AZ110" s="85" t="str">
        <f>IF(ISERROR(_xlfn.XLOOKUP(CONCATENATE(A110,"_",AV110),'Reference-Proof pt impact flag'!$I$3:$I$1048576,'Reference-Proof pt impact flag'!$G$3:$G$1048576)),"",_xlfn.XLOOKUP(CONCATENATE(A110,"_",AV110),'Reference-Proof pt impact flag'!$I$3:$I$1048576,'Reference-Proof pt impact flag'!$G$3:$G$1048576))</f>
        <v>High</v>
      </c>
      <c r="BA110" s="27" t="s">
        <v>1458</v>
      </c>
      <c r="BB110" s="74"/>
      <c r="BC110" s="74"/>
      <c r="BD110" s="74"/>
      <c r="BE110" s="74" t="s">
        <v>1556</v>
      </c>
      <c r="BF110" s="74" t="str">
        <f>_xlfn.XLOOKUP(CONCATENATE(H110,"_",AV110),'Test 2 - Proof points - GPT5'!$T:$T,'Test 2 - Proof points - GPT5'!$S:$S)</f>
        <v>Indicative cost stack (veg oils proxy): Direct Materials or Services: 55%; Net Margin: 10%; Energy &amp; Utilities: 3%; Depreciation: 3%; Labor: 3%. Actions: Tie price formula to feedstock index + FX; negotiate energy/freight passthrough floors/ceilings to avoid overpayment when input costs soften.</v>
      </c>
      <c r="BG110" s="74" t="str">
        <f>_xlfn.XLOOKUP(CONCATENATE(H110,"_",AV110),'Test 2 -Proof points - Sonnet'!$AB:$AB,'Test 2 -Proof points - Sonnet'!$AA:$AA)</f>
        <v>â€¢ **Reduce packaging cost impact**: Packaging represents 3-5% of total vegetable oil costs in Indian supply regions - optimize toward bulk delivery to capture these savings while maintaining quality standards.
â€¢ **Focus on high-impact regions**: Indian suppliers like SHIVAGANGA and SIDDAGANGA can offer bulk/flexi-tank options due to established infrastructure, enabling immediate cost structure optimization for Malaysia operations.
â€¢ **Future cost structure benefits**: Industry evolution toward integrated supply chains and reduced handling complexity will amplify packaging optimization benefits, making current bulk delivery initiatives critical for maintaining competitive cost structures and operational efficiency in evolving commodity markets.</v>
      </c>
      <c r="BH110" s="74" t="s">
        <v>1553</v>
      </c>
      <c r="BI110" s="74"/>
      <c r="BJ110" s="74" t="s">
        <v>1550</v>
      </c>
      <c r="BK110" s="30" t="s">
        <v>132</v>
      </c>
      <c r="BL110" s="30"/>
      <c r="BM110" s="30"/>
      <c r="BN110" s="30" t="s">
        <v>132</v>
      </c>
      <c r="BO110" s="30"/>
      <c r="BP110" s="30"/>
      <c r="BQ110" s="30"/>
      <c r="BR110" s="30"/>
      <c r="BS110" s="30"/>
      <c r="BT110" s="30"/>
      <c r="BU110" s="30"/>
      <c r="BV110" s="113" t="s">
        <v>132</v>
      </c>
    </row>
    <row r="111" spans="1:74" ht="203" hidden="1" x14ac:dyDescent="0.35">
      <c r="A111" s="22">
        <v>3</v>
      </c>
      <c r="B111" s="22" t="s">
        <v>1451</v>
      </c>
      <c r="C111" s="22" t="s">
        <v>1452</v>
      </c>
      <c r="D111" s="22" t="s">
        <v>1224</v>
      </c>
      <c r="E111" s="22" t="s">
        <v>1453</v>
      </c>
      <c r="F111" s="22"/>
      <c r="G111" s="22" t="s">
        <v>1274</v>
      </c>
      <c r="H111" s="21" t="s">
        <v>1279</v>
      </c>
      <c r="I111" s="22"/>
      <c r="J111" s="21" t="s">
        <v>1336</v>
      </c>
      <c r="K111" s="30"/>
      <c r="L111" s="30" t="s">
        <v>1239</v>
      </c>
      <c r="M111" s="35" t="str">
        <f>VLOOKUP(H111,'1_Value &amp; risk levers'!$H$9:$O$1048576,2,FALSE)</f>
        <v>No review conducted</v>
      </c>
      <c r="N111" s="35" t="str">
        <f>VLOOKUP(H111,'1_Value &amp; risk levers'!$H$9:$O$1048576,3,FALSE)</f>
        <v>Limited trials for bulk options</v>
      </c>
      <c r="O111" s="35" t="str">
        <f>VLOOKUP(H111,'1_Value &amp; risk levers'!$H$9:$O$1048576,4,FALSE)</f>
        <v>Regular assessments to optimize packaging</v>
      </c>
      <c r="P111" s="35" t="str">
        <f>VLOOKUP(H111,'1_Value &amp; risk levers'!$H$9:$O$1048576,5,FALSE)</f>
        <v>Fully optimized with advanced logistics planning</v>
      </c>
      <c r="Q111" s="77">
        <f>IF(VLOOKUP(H111,'1_Value &amp; risk levers'!$H$9:$T$1048576,13,FALSE)=0,"",VLOOKUP(H111,'1_Value &amp; risk levers'!$H$9:$T$1048576,13,FALSE))</f>
        <v>1</v>
      </c>
      <c r="R111" s="128">
        <f t="shared" si="22"/>
        <v>2</v>
      </c>
      <c r="S111" s="128" t="e">
        <f t="shared" si="23"/>
        <v>#DIV/0!</v>
      </c>
      <c r="T111" s="77"/>
      <c r="U111" s="77"/>
      <c r="V111" s="55"/>
      <c r="W111" s="71">
        <v>0.04</v>
      </c>
      <c r="X111" s="71">
        <v>0.1</v>
      </c>
      <c r="Y111" s="71">
        <f>VLOOKUP(H111,'1_Value &amp; risk levers'!$H$9:$O$1048576,8,FALSE)</f>
        <v>0.8</v>
      </c>
      <c r="Z111" s="51">
        <f t="shared" si="24"/>
        <v>7.0000000000000007E-2</v>
      </c>
      <c r="AA111" s="51">
        <f t="shared" si="26"/>
        <v>8.5000000000000006E-2</v>
      </c>
      <c r="AB111" s="55">
        <f t="shared" si="27"/>
        <v>2800000.0000000005</v>
      </c>
      <c r="AC111" s="55">
        <f t="shared" si="28"/>
        <v>3400000.0000000005</v>
      </c>
      <c r="AD111" s="80">
        <f t="shared" si="29"/>
        <v>7</v>
      </c>
      <c r="AE111" s="84">
        <f t="shared" si="30"/>
        <v>0.48864540816326468</v>
      </c>
      <c r="AF111" s="71" t="str">
        <f t="shared" si="31"/>
        <v>Low</v>
      </c>
      <c r="AG111" s="84">
        <f t="shared" si="32"/>
        <v>5.9772908163265304E-2</v>
      </c>
      <c r="AH111" s="84">
        <f t="shared" si="33"/>
        <v>9.5227091836734709E-2</v>
      </c>
      <c r="AI111" s="73">
        <f t="shared" si="34"/>
        <v>2390916.3265306121</v>
      </c>
      <c r="AJ111" s="73">
        <f t="shared" si="35"/>
        <v>3809083.6734693884</v>
      </c>
      <c r="AK111" s="46">
        <f>VLOOKUP(H111,'1_Value &amp; risk levers'!$H$9:$O$1048576,6,FALSE)</f>
        <v>0.02</v>
      </c>
      <c r="AL111" s="46">
        <f>VLOOKUP(H111,'1_Value &amp; risk levers'!$H$9:$O$1048576,7,FALSE)</f>
        <v>0.03</v>
      </c>
      <c r="AM111" s="50">
        <f t="shared" si="36"/>
        <v>2.75E-2</v>
      </c>
      <c r="AN111" s="72">
        <f t="shared" si="37"/>
        <v>0.12790697674418605</v>
      </c>
      <c r="AO111" s="84">
        <f t="shared" si="38"/>
        <v>7.6453719743711434E-3</v>
      </c>
      <c r="AP111" s="84">
        <f t="shared" si="39"/>
        <v>1.2180209420977696E-2</v>
      </c>
      <c r="AQ111" s="55">
        <f t="shared" si="40"/>
        <v>358139.53488372103</v>
      </c>
      <c r="AR111" s="55">
        <f t="shared" si="41"/>
        <v>434883.72093023261</v>
      </c>
      <c r="AS111" s="83">
        <f t="shared" si="25"/>
        <v>41</v>
      </c>
      <c r="AT111" s="50">
        <f t="shared" si="42"/>
        <v>6.66</v>
      </c>
      <c r="AU111" s="55" t="str">
        <f t="shared" si="43"/>
        <v>Medium</v>
      </c>
      <c r="AV111" s="34" t="s">
        <v>1509</v>
      </c>
      <c r="AW111" s="111"/>
      <c r="AX111" s="30" t="s">
        <v>1493</v>
      </c>
      <c r="AY111" s="30"/>
      <c r="AZ111" s="85" t="str">
        <f>IF(ISERROR(_xlfn.XLOOKUP(CONCATENATE(A111,"_",AV111),'Reference-Proof pt impact flag'!$I$3:$I$1048576,'Reference-Proof pt impact flag'!$G$3:$G$1048576)),"",_xlfn.XLOOKUP(CONCATENATE(A111,"_",AV111),'Reference-Proof pt impact flag'!$I$3:$I$1048576,'Reference-Proof pt impact flag'!$G$3:$G$1048576))</f>
        <v/>
      </c>
      <c r="BA111" s="74"/>
      <c r="BB111" s="74"/>
      <c r="BC111" s="74"/>
      <c r="BD111" s="74"/>
      <c r="BE111" s="74"/>
      <c r="BF111" s="74" t="e">
        <f>_xlfn.XLOOKUP(CONCATENATE(H111,"_",AV111),'Test 2 - Proof points - GPT5'!$T:$T,'Test 2 - Proof points - GPT5'!$S:$S)</f>
        <v>#N/A</v>
      </c>
      <c r="BG111" s="74" t="e">
        <f>_xlfn.XLOOKUP(CONCATENATE(H111,"_",AV111),'Test 2 -Proof points - Sonnet'!$AB:$AB,'Test 2 -Proof points - Sonnet'!$AA:$AA)</f>
        <v>#N/A</v>
      </c>
      <c r="BH111" s="74"/>
      <c r="BI111" s="74"/>
      <c r="BJ111" s="74" t="s">
        <v>1550</v>
      </c>
      <c r="BK111" s="30"/>
      <c r="BL111" s="30"/>
      <c r="BM111" s="30"/>
      <c r="BN111" s="30"/>
      <c r="BO111" s="30"/>
      <c r="BP111" s="30"/>
      <c r="BQ111" s="30"/>
      <c r="BR111" s="30"/>
      <c r="BS111" s="30"/>
      <c r="BT111" s="30"/>
      <c r="BU111" s="30"/>
      <c r="BV111" s="113"/>
    </row>
    <row r="112" spans="1:74" ht="203" hidden="1" x14ac:dyDescent="0.35">
      <c r="A112" s="22">
        <v>3</v>
      </c>
      <c r="B112" s="22" t="s">
        <v>1451</v>
      </c>
      <c r="C112" s="22" t="s">
        <v>1452</v>
      </c>
      <c r="D112" s="22" t="s">
        <v>1224</v>
      </c>
      <c r="E112" s="22" t="s">
        <v>1453</v>
      </c>
      <c r="F112" s="22"/>
      <c r="G112" s="22" t="s">
        <v>1274</v>
      </c>
      <c r="H112" s="21" t="s">
        <v>1279</v>
      </c>
      <c r="I112" s="22"/>
      <c r="J112" s="21" t="s">
        <v>1336</v>
      </c>
      <c r="K112" s="30"/>
      <c r="L112" s="30" t="s">
        <v>1239</v>
      </c>
      <c r="M112" s="35" t="str">
        <f>VLOOKUP(H112,'1_Value &amp; risk levers'!$H$9:$O$1048576,2,FALSE)</f>
        <v>No review conducted</v>
      </c>
      <c r="N112" s="35" t="str">
        <f>VLOOKUP(H112,'1_Value &amp; risk levers'!$H$9:$O$1048576,3,FALSE)</f>
        <v>Limited trials for bulk options</v>
      </c>
      <c r="O112" s="35" t="str">
        <f>VLOOKUP(H112,'1_Value &amp; risk levers'!$H$9:$O$1048576,4,FALSE)</f>
        <v>Regular assessments to optimize packaging</v>
      </c>
      <c r="P112" s="35" t="str">
        <f>VLOOKUP(H112,'1_Value &amp; risk levers'!$H$9:$O$1048576,5,FALSE)</f>
        <v>Fully optimized with advanced logistics planning</v>
      </c>
      <c r="Q112" s="128">
        <f>IF(VLOOKUP(H112,'1_Value &amp; risk levers'!$H$9:$T$1048576,13,FALSE)=0,"",VLOOKUP(H112,'1_Value &amp; risk levers'!$H$9:$T$1048576,13,FALSE))</f>
        <v>1</v>
      </c>
      <c r="R112" s="128">
        <f t="shared" si="22"/>
        <v>2</v>
      </c>
      <c r="S112" s="128" t="e">
        <f t="shared" si="23"/>
        <v>#DIV/0!</v>
      </c>
      <c r="T112" s="77"/>
      <c r="U112" s="77"/>
      <c r="V112" s="55"/>
      <c r="W112" s="71">
        <v>0.04</v>
      </c>
      <c r="X112" s="71">
        <v>0.1</v>
      </c>
      <c r="Y112" s="71">
        <f>VLOOKUP(H112,'1_Value &amp; risk levers'!$H$9:$O$1048576,8,FALSE)</f>
        <v>0.8</v>
      </c>
      <c r="Z112" s="51">
        <f t="shared" si="24"/>
        <v>7.0000000000000007E-2</v>
      </c>
      <c r="AA112" s="51">
        <f t="shared" si="26"/>
        <v>8.5000000000000006E-2</v>
      </c>
      <c r="AB112" s="55">
        <f t="shared" si="27"/>
        <v>2800000.0000000005</v>
      </c>
      <c r="AC112" s="55">
        <f t="shared" si="28"/>
        <v>3400000.0000000005</v>
      </c>
      <c r="AD112" s="80">
        <f t="shared" si="29"/>
        <v>7</v>
      </c>
      <c r="AE112" s="84">
        <f t="shared" si="30"/>
        <v>0.48864540816326468</v>
      </c>
      <c r="AF112" s="71" t="str">
        <f t="shared" si="31"/>
        <v>Low</v>
      </c>
      <c r="AG112" s="84">
        <f t="shared" si="32"/>
        <v>5.9772908163265304E-2</v>
      </c>
      <c r="AH112" s="84">
        <f t="shared" si="33"/>
        <v>9.5227091836734709E-2</v>
      </c>
      <c r="AI112" s="73">
        <f t="shared" si="34"/>
        <v>2390916.3265306121</v>
      </c>
      <c r="AJ112" s="73">
        <f t="shared" si="35"/>
        <v>3809083.6734693884</v>
      </c>
      <c r="AK112" s="46">
        <f>VLOOKUP(H112,'1_Value &amp; risk levers'!$H$9:$O$1048576,6,FALSE)</f>
        <v>0.02</v>
      </c>
      <c r="AL112" s="46">
        <f>VLOOKUP(H112,'1_Value &amp; risk levers'!$H$9:$O$1048576,7,FALSE)</f>
        <v>0.03</v>
      </c>
      <c r="AM112" s="50">
        <f t="shared" si="36"/>
        <v>2.75E-2</v>
      </c>
      <c r="AN112" s="72">
        <f t="shared" si="37"/>
        <v>0.12790697674418605</v>
      </c>
      <c r="AO112" s="84">
        <f t="shared" si="38"/>
        <v>7.6453719743711434E-3</v>
      </c>
      <c r="AP112" s="84">
        <f t="shared" si="39"/>
        <v>1.2180209420977696E-2</v>
      </c>
      <c r="AQ112" s="55">
        <f t="shared" si="40"/>
        <v>358139.53488372103</v>
      </c>
      <c r="AR112" s="55">
        <f t="shared" si="41"/>
        <v>434883.72093023261</v>
      </c>
      <c r="AS112" s="83">
        <f t="shared" si="25"/>
        <v>41</v>
      </c>
      <c r="AT112" s="50">
        <f t="shared" si="42"/>
        <v>6.66</v>
      </c>
      <c r="AU112" s="55" t="str">
        <f t="shared" si="43"/>
        <v>Medium</v>
      </c>
      <c r="AV112" s="34" t="s">
        <v>1510</v>
      </c>
      <c r="AW112" s="111"/>
      <c r="AX112" s="30" t="s">
        <v>1493</v>
      </c>
      <c r="AY112" s="30"/>
      <c r="AZ112" s="85" t="str">
        <f>IF(ISERROR(_xlfn.XLOOKUP(CONCATENATE(A112,"_",AV112),'Reference-Proof pt impact flag'!$I$3:$I$1048576,'Reference-Proof pt impact flag'!$G$3:$G$1048576)),"",_xlfn.XLOOKUP(CONCATENATE(A112,"_",AV112),'Reference-Proof pt impact flag'!$I$3:$I$1048576,'Reference-Proof pt impact flag'!$G$3:$G$1048576))</f>
        <v/>
      </c>
      <c r="BA112" s="74"/>
      <c r="BB112" s="74"/>
      <c r="BC112" s="74"/>
      <c r="BD112" s="74"/>
      <c r="BE112" s="74"/>
      <c r="BF112" s="74" t="e">
        <f>_xlfn.XLOOKUP(CONCATENATE(H112,"_",AV112),'Test 2 - Proof points - GPT5'!$T:$T,'Test 2 - Proof points - GPT5'!$S:$S)</f>
        <v>#N/A</v>
      </c>
      <c r="BG112" s="74" t="e">
        <f>_xlfn.XLOOKUP(CONCATENATE(H112,"_",AV112),'Test 2 -Proof points - Sonnet'!$AB:$AB,'Test 2 -Proof points - Sonnet'!$AA:$AA)</f>
        <v>#N/A</v>
      </c>
      <c r="BH112" s="74"/>
      <c r="BI112" s="74"/>
      <c r="BJ112" s="74" t="s">
        <v>1550</v>
      </c>
      <c r="BK112" s="30"/>
      <c r="BL112" s="30"/>
      <c r="BM112" s="30"/>
      <c r="BN112" s="30"/>
      <c r="BO112" s="30"/>
      <c r="BP112" s="30"/>
      <c r="BQ112" s="30"/>
      <c r="BR112" s="30"/>
      <c r="BS112" s="30"/>
      <c r="BT112" s="30"/>
      <c r="BU112" s="30"/>
      <c r="BV112" s="113"/>
    </row>
    <row r="113" spans="1:74" ht="203" hidden="1" x14ac:dyDescent="0.35">
      <c r="A113" s="22">
        <v>3</v>
      </c>
      <c r="B113" s="22" t="s">
        <v>1451</v>
      </c>
      <c r="C113" s="22" t="s">
        <v>1452</v>
      </c>
      <c r="D113" s="22" t="s">
        <v>1224</v>
      </c>
      <c r="E113" s="22" t="s">
        <v>1453</v>
      </c>
      <c r="F113" s="22"/>
      <c r="G113" s="22" t="s">
        <v>1274</v>
      </c>
      <c r="H113" s="21" t="s">
        <v>1279</v>
      </c>
      <c r="I113" s="22"/>
      <c r="J113" s="21" t="s">
        <v>1336</v>
      </c>
      <c r="K113" s="30"/>
      <c r="L113" s="30" t="s">
        <v>1239</v>
      </c>
      <c r="M113" s="35" t="str">
        <f>VLOOKUP(H113,'1_Value &amp; risk levers'!$H$9:$O$1048576,2,FALSE)</f>
        <v>No review conducted</v>
      </c>
      <c r="N113" s="35" t="str">
        <f>VLOOKUP(H113,'1_Value &amp; risk levers'!$H$9:$O$1048576,3,FALSE)</f>
        <v>Limited trials for bulk options</v>
      </c>
      <c r="O113" s="35" t="str">
        <f>VLOOKUP(H113,'1_Value &amp; risk levers'!$H$9:$O$1048576,4,FALSE)</f>
        <v>Regular assessments to optimize packaging</v>
      </c>
      <c r="P113" s="35" t="str">
        <f>VLOOKUP(H113,'1_Value &amp; risk levers'!$H$9:$O$1048576,5,FALSE)</f>
        <v>Fully optimized with advanced logistics planning</v>
      </c>
      <c r="Q113" s="77">
        <f>IF(VLOOKUP(H113,'1_Value &amp; risk levers'!$H$9:$T$1048576,13,FALSE)=0,"",VLOOKUP(H113,'1_Value &amp; risk levers'!$H$9:$T$1048576,13,FALSE))</f>
        <v>1</v>
      </c>
      <c r="R113" s="128">
        <f t="shared" si="22"/>
        <v>2</v>
      </c>
      <c r="S113" s="128" t="e">
        <f t="shared" si="23"/>
        <v>#DIV/0!</v>
      </c>
      <c r="T113" s="77"/>
      <c r="U113" s="77"/>
      <c r="V113" s="55"/>
      <c r="W113" s="71">
        <v>0.04</v>
      </c>
      <c r="X113" s="71">
        <v>0.1</v>
      </c>
      <c r="Y113" s="71">
        <f>VLOOKUP(H113,'1_Value &amp; risk levers'!$H$9:$O$1048576,8,FALSE)</f>
        <v>0.8</v>
      </c>
      <c r="Z113" s="51">
        <f t="shared" si="24"/>
        <v>7.0000000000000007E-2</v>
      </c>
      <c r="AA113" s="51">
        <f t="shared" si="26"/>
        <v>8.5000000000000006E-2</v>
      </c>
      <c r="AB113" s="55">
        <f t="shared" si="27"/>
        <v>2800000.0000000005</v>
      </c>
      <c r="AC113" s="55">
        <f t="shared" si="28"/>
        <v>3400000.0000000005</v>
      </c>
      <c r="AD113" s="80">
        <f t="shared" si="29"/>
        <v>7</v>
      </c>
      <c r="AE113" s="84">
        <f t="shared" si="30"/>
        <v>0.48864540816326468</v>
      </c>
      <c r="AF113" s="71" t="str">
        <f t="shared" si="31"/>
        <v>Low</v>
      </c>
      <c r="AG113" s="84">
        <f t="shared" si="32"/>
        <v>5.9772908163265304E-2</v>
      </c>
      <c r="AH113" s="84">
        <f t="shared" si="33"/>
        <v>9.5227091836734709E-2</v>
      </c>
      <c r="AI113" s="73">
        <f t="shared" si="34"/>
        <v>2390916.3265306121</v>
      </c>
      <c r="AJ113" s="73">
        <f t="shared" si="35"/>
        <v>3809083.6734693884</v>
      </c>
      <c r="AK113" s="46">
        <f>VLOOKUP(H113,'1_Value &amp; risk levers'!$H$9:$O$1048576,6,FALSE)</f>
        <v>0.02</v>
      </c>
      <c r="AL113" s="46">
        <f>VLOOKUP(H113,'1_Value &amp; risk levers'!$H$9:$O$1048576,7,FALSE)</f>
        <v>0.03</v>
      </c>
      <c r="AM113" s="50">
        <f t="shared" si="36"/>
        <v>2.75E-2</v>
      </c>
      <c r="AN113" s="72">
        <f t="shared" si="37"/>
        <v>0.12790697674418605</v>
      </c>
      <c r="AO113" s="84">
        <f t="shared" si="38"/>
        <v>7.6453719743711434E-3</v>
      </c>
      <c r="AP113" s="84">
        <f t="shared" si="39"/>
        <v>1.2180209420977696E-2</v>
      </c>
      <c r="AQ113" s="55">
        <f t="shared" si="40"/>
        <v>358139.53488372103</v>
      </c>
      <c r="AR113" s="55">
        <f t="shared" si="41"/>
        <v>434883.72093023261</v>
      </c>
      <c r="AS113" s="83">
        <f t="shared" si="25"/>
        <v>41</v>
      </c>
      <c r="AT113" s="50">
        <f t="shared" si="42"/>
        <v>6.66</v>
      </c>
      <c r="AU113" s="55" t="str">
        <f t="shared" si="43"/>
        <v>Medium</v>
      </c>
      <c r="AV113" s="34" t="s">
        <v>1511</v>
      </c>
      <c r="AW113" s="111"/>
      <c r="AX113" s="30" t="s">
        <v>1493</v>
      </c>
      <c r="AY113" s="30"/>
      <c r="AZ113" s="85" t="str">
        <f>IF(ISERROR(_xlfn.XLOOKUP(CONCATENATE(A113,"_",AV113),'Reference-Proof pt impact flag'!$I$3:$I$1048576,'Reference-Proof pt impact flag'!$G$3:$G$1048576)),"",_xlfn.XLOOKUP(CONCATENATE(A113,"_",AV113),'Reference-Proof pt impact flag'!$I$3:$I$1048576,'Reference-Proof pt impact flag'!$G$3:$G$1048576))</f>
        <v/>
      </c>
      <c r="BA113" s="74"/>
      <c r="BB113" s="74"/>
      <c r="BC113" s="74"/>
      <c r="BD113" s="74"/>
      <c r="BE113" s="74"/>
      <c r="BF113" s="74" t="e">
        <f>_xlfn.XLOOKUP(CONCATENATE(H113,"_",AV113),'Test 2 - Proof points - GPT5'!$T:$T,'Test 2 - Proof points - GPT5'!$S:$S)</f>
        <v>#N/A</v>
      </c>
      <c r="BG113" s="74" t="e">
        <f>_xlfn.XLOOKUP(CONCATENATE(H113,"_",AV113),'Test 2 -Proof points - Sonnet'!$AB:$AB,'Test 2 -Proof points - Sonnet'!$AA:$AA)</f>
        <v>#N/A</v>
      </c>
      <c r="BH113" s="74"/>
      <c r="BI113" s="74"/>
      <c r="BJ113" s="74" t="s">
        <v>1550</v>
      </c>
      <c r="BK113" s="30"/>
      <c r="BL113" s="30"/>
      <c r="BM113" s="30"/>
      <c r="BN113" s="30"/>
      <c r="BO113" s="30"/>
      <c r="BP113" s="30"/>
      <c r="BQ113" s="30"/>
      <c r="BR113" s="30"/>
      <c r="BS113" s="30"/>
      <c r="BT113" s="30"/>
      <c r="BU113" s="30"/>
      <c r="BV113" s="113"/>
    </row>
    <row r="114" spans="1:74" ht="203" hidden="1" x14ac:dyDescent="0.35">
      <c r="A114" s="22">
        <v>3</v>
      </c>
      <c r="B114" s="22" t="s">
        <v>1451</v>
      </c>
      <c r="C114" s="22" t="s">
        <v>1452</v>
      </c>
      <c r="D114" s="22" t="s">
        <v>1224</v>
      </c>
      <c r="E114" s="22" t="s">
        <v>1453</v>
      </c>
      <c r="F114" s="22"/>
      <c r="G114" s="22" t="s">
        <v>1274</v>
      </c>
      <c r="H114" s="21" t="s">
        <v>1279</v>
      </c>
      <c r="I114" s="22"/>
      <c r="J114" s="21" t="s">
        <v>1336</v>
      </c>
      <c r="K114" s="30"/>
      <c r="L114" s="30" t="s">
        <v>1239</v>
      </c>
      <c r="M114" s="35" t="str">
        <f>VLOOKUP(H114,'1_Value &amp; risk levers'!$H$9:$O$1048576,2,FALSE)</f>
        <v>No review conducted</v>
      </c>
      <c r="N114" s="35" t="str">
        <f>VLOOKUP(H114,'1_Value &amp; risk levers'!$H$9:$O$1048576,3,FALSE)</f>
        <v>Limited trials for bulk options</v>
      </c>
      <c r="O114" s="35" t="str">
        <f>VLOOKUP(H114,'1_Value &amp; risk levers'!$H$9:$O$1048576,4,FALSE)</f>
        <v>Regular assessments to optimize packaging</v>
      </c>
      <c r="P114" s="35" t="str">
        <f>VLOOKUP(H114,'1_Value &amp; risk levers'!$H$9:$O$1048576,5,FALSE)</f>
        <v>Fully optimized with advanced logistics planning</v>
      </c>
      <c r="Q114" s="77">
        <f>IF(VLOOKUP(H114,'1_Value &amp; risk levers'!$H$9:$T$1048576,13,FALSE)=0,"",VLOOKUP(H114,'1_Value &amp; risk levers'!$H$9:$T$1048576,13,FALSE))</f>
        <v>1</v>
      </c>
      <c r="R114" s="128">
        <f t="shared" si="22"/>
        <v>2</v>
      </c>
      <c r="S114" s="128" t="e">
        <f t="shared" si="23"/>
        <v>#DIV/0!</v>
      </c>
      <c r="T114" s="77"/>
      <c r="U114" s="77"/>
      <c r="V114" s="55"/>
      <c r="W114" s="71">
        <v>0.04</v>
      </c>
      <c r="X114" s="71">
        <v>0.1</v>
      </c>
      <c r="Y114" s="71">
        <f>VLOOKUP(H114,'1_Value &amp; risk levers'!$H$9:$O$1048576,8,FALSE)</f>
        <v>0.8</v>
      </c>
      <c r="Z114" s="51">
        <f t="shared" si="24"/>
        <v>7.0000000000000007E-2</v>
      </c>
      <c r="AA114" s="51">
        <f t="shared" si="26"/>
        <v>8.5000000000000006E-2</v>
      </c>
      <c r="AB114" s="55">
        <f t="shared" si="27"/>
        <v>2800000.0000000005</v>
      </c>
      <c r="AC114" s="55">
        <f t="shared" si="28"/>
        <v>3400000.0000000005</v>
      </c>
      <c r="AD114" s="80">
        <f t="shared" si="29"/>
        <v>7</v>
      </c>
      <c r="AE114" s="84">
        <f t="shared" si="30"/>
        <v>0.48864540816326468</v>
      </c>
      <c r="AF114" s="71" t="str">
        <f t="shared" si="31"/>
        <v>Low</v>
      </c>
      <c r="AG114" s="84">
        <f t="shared" si="32"/>
        <v>5.9772908163265304E-2</v>
      </c>
      <c r="AH114" s="84">
        <f t="shared" si="33"/>
        <v>9.5227091836734709E-2</v>
      </c>
      <c r="AI114" s="73">
        <f t="shared" si="34"/>
        <v>2390916.3265306121</v>
      </c>
      <c r="AJ114" s="73">
        <f t="shared" si="35"/>
        <v>3809083.6734693884</v>
      </c>
      <c r="AK114" s="46">
        <f>VLOOKUP(H114,'1_Value &amp; risk levers'!$H$9:$O$1048576,6,FALSE)</f>
        <v>0.02</v>
      </c>
      <c r="AL114" s="46">
        <f>VLOOKUP(H114,'1_Value &amp; risk levers'!$H$9:$O$1048576,7,FALSE)</f>
        <v>0.03</v>
      </c>
      <c r="AM114" s="50">
        <f t="shared" si="36"/>
        <v>2.75E-2</v>
      </c>
      <c r="AN114" s="72">
        <f t="shared" si="37"/>
        <v>0.12790697674418605</v>
      </c>
      <c r="AO114" s="84">
        <f t="shared" si="38"/>
        <v>7.6453719743711434E-3</v>
      </c>
      <c r="AP114" s="84">
        <f t="shared" si="39"/>
        <v>1.2180209420977696E-2</v>
      </c>
      <c r="AQ114" s="55">
        <f t="shared" si="40"/>
        <v>358139.53488372103</v>
      </c>
      <c r="AR114" s="55">
        <f t="shared" si="41"/>
        <v>434883.72093023261</v>
      </c>
      <c r="AS114" s="83">
        <f t="shared" si="25"/>
        <v>41</v>
      </c>
      <c r="AT114" s="50">
        <f t="shared" si="42"/>
        <v>6.66</v>
      </c>
      <c r="AU114" s="55" t="str">
        <f t="shared" si="43"/>
        <v>Medium</v>
      </c>
      <c r="AV114" s="34" t="s">
        <v>1512</v>
      </c>
      <c r="AW114" s="111"/>
      <c r="AX114" s="30" t="s">
        <v>1493</v>
      </c>
      <c r="AY114" s="30"/>
      <c r="AZ114" s="85" t="str">
        <f>IF(ISERROR(_xlfn.XLOOKUP(CONCATENATE(A114,"_",AV114),'Reference-Proof pt impact flag'!$I$3:$I$1048576,'Reference-Proof pt impact flag'!$G$3:$G$1048576)),"",_xlfn.XLOOKUP(CONCATENATE(A114,"_",AV114),'Reference-Proof pt impact flag'!$I$3:$I$1048576,'Reference-Proof pt impact flag'!$G$3:$G$1048576))</f>
        <v/>
      </c>
      <c r="BA114" s="74"/>
      <c r="BB114" s="74"/>
      <c r="BC114" s="74"/>
      <c r="BD114" s="74"/>
      <c r="BE114" s="74"/>
      <c r="BF114" s="74" t="e">
        <f>_xlfn.XLOOKUP(CONCATENATE(H114,"_",AV114),'Test 2 - Proof points - GPT5'!$T:$T,'Test 2 - Proof points - GPT5'!$S:$S)</f>
        <v>#N/A</v>
      </c>
      <c r="BG114" s="74" t="e">
        <f>_xlfn.XLOOKUP(CONCATENATE(H114,"_",AV114),'Test 2 -Proof points - Sonnet'!$AB:$AB,'Test 2 -Proof points - Sonnet'!$AA:$AA)</f>
        <v>#N/A</v>
      </c>
      <c r="BH114" s="74"/>
      <c r="BI114" s="74"/>
      <c r="BJ114" s="74" t="s">
        <v>1550</v>
      </c>
      <c r="BK114" s="30"/>
      <c r="BL114" s="30"/>
      <c r="BM114" s="30"/>
      <c r="BN114" s="30"/>
      <c r="BO114" s="30"/>
      <c r="BP114" s="30"/>
      <c r="BQ114" s="30"/>
      <c r="BR114" s="30"/>
      <c r="BS114" s="30"/>
      <c r="BT114" s="30"/>
      <c r="BU114" s="30"/>
      <c r="BV114" s="113"/>
    </row>
    <row r="115" spans="1:74" ht="203" hidden="1" x14ac:dyDescent="0.35">
      <c r="A115" s="22">
        <v>3</v>
      </c>
      <c r="B115" s="22" t="s">
        <v>1451</v>
      </c>
      <c r="C115" s="22" t="s">
        <v>1452</v>
      </c>
      <c r="D115" s="22" t="s">
        <v>1224</v>
      </c>
      <c r="E115" s="22" t="s">
        <v>1453</v>
      </c>
      <c r="F115" s="22"/>
      <c r="G115" s="22" t="s">
        <v>1274</v>
      </c>
      <c r="H115" s="21" t="s">
        <v>1279</v>
      </c>
      <c r="I115" s="22"/>
      <c r="J115" s="21" t="s">
        <v>1336</v>
      </c>
      <c r="K115" s="30"/>
      <c r="L115" s="30" t="s">
        <v>1239</v>
      </c>
      <c r="M115" s="35" t="str">
        <f>VLOOKUP(H115,'1_Value &amp; risk levers'!$H$9:$O$1048576,2,FALSE)</f>
        <v>No review conducted</v>
      </c>
      <c r="N115" s="35" t="str">
        <f>VLOOKUP(H115,'1_Value &amp; risk levers'!$H$9:$O$1048576,3,FALSE)</f>
        <v>Limited trials for bulk options</v>
      </c>
      <c r="O115" s="35" t="str">
        <f>VLOOKUP(H115,'1_Value &amp; risk levers'!$H$9:$O$1048576,4,FALSE)</f>
        <v>Regular assessments to optimize packaging</v>
      </c>
      <c r="P115" s="35" t="str">
        <f>VLOOKUP(H115,'1_Value &amp; risk levers'!$H$9:$O$1048576,5,FALSE)</f>
        <v>Fully optimized with advanced logistics planning</v>
      </c>
      <c r="Q115" s="77">
        <f>IF(VLOOKUP(H115,'1_Value &amp; risk levers'!$H$9:$T$1048576,13,FALSE)=0,"",VLOOKUP(H115,'1_Value &amp; risk levers'!$H$9:$T$1048576,13,FALSE))</f>
        <v>1</v>
      </c>
      <c r="R115" s="128">
        <f t="shared" si="22"/>
        <v>2</v>
      </c>
      <c r="S115" s="128" t="e">
        <f t="shared" si="23"/>
        <v>#DIV/0!</v>
      </c>
      <c r="T115" s="77"/>
      <c r="U115" s="77"/>
      <c r="V115" s="55"/>
      <c r="W115" s="71">
        <v>0.04</v>
      </c>
      <c r="X115" s="71">
        <v>0.1</v>
      </c>
      <c r="Y115" s="71">
        <f>VLOOKUP(H115,'1_Value &amp; risk levers'!$H$9:$O$1048576,8,FALSE)</f>
        <v>0.8</v>
      </c>
      <c r="Z115" s="51">
        <f t="shared" si="24"/>
        <v>7.0000000000000007E-2</v>
      </c>
      <c r="AA115" s="51">
        <f t="shared" si="26"/>
        <v>8.5000000000000006E-2</v>
      </c>
      <c r="AB115" s="55">
        <f t="shared" si="27"/>
        <v>2800000.0000000005</v>
      </c>
      <c r="AC115" s="55">
        <f t="shared" si="28"/>
        <v>3400000.0000000005</v>
      </c>
      <c r="AD115" s="80">
        <f t="shared" si="29"/>
        <v>7</v>
      </c>
      <c r="AE115" s="84">
        <f t="shared" si="30"/>
        <v>0.48864540816326468</v>
      </c>
      <c r="AF115" s="71" t="str">
        <f t="shared" si="31"/>
        <v>Low</v>
      </c>
      <c r="AG115" s="84">
        <f t="shared" si="32"/>
        <v>5.9772908163265304E-2</v>
      </c>
      <c r="AH115" s="84">
        <f t="shared" si="33"/>
        <v>9.5227091836734709E-2</v>
      </c>
      <c r="AI115" s="73">
        <f t="shared" si="34"/>
        <v>2390916.3265306121</v>
      </c>
      <c r="AJ115" s="73">
        <f t="shared" si="35"/>
        <v>3809083.6734693884</v>
      </c>
      <c r="AK115" s="46">
        <f>VLOOKUP(H115,'1_Value &amp; risk levers'!$H$9:$O$1048576,6,FALSE)</f>
        <v>0.02</v>
      </c>
      <c r="AL115" s="46">
        <f>VLOOKUP(H115,'1_Value &amp; risk levers'!$H$9:$O$1048576,7,FALSE)</f>
        <v>0.03</v>
      </c>
      <c r="AM115" s="50">
        <f t="shared" si="36"/>
        <v>2.75E-2</v>
      </c>
      <c r="AN115" s="72">
        <f t="shared" si="37"/>
        <v>0.12790697674418605</v>
      </c>
      <c r="AO115" s="84">
        <f t="shared" si="38"/>
        <v>7.6453719743711434E-3</v>
      </c>
      <c r="AP115" s="84">
        <f t="shared" si="39"/>
        <v>1.2180209420977696E-2</v>
      </c>
      <c r="AQ115" s="55">
        <f t="shared" si="40"/>
        <v>358139.53488372103</v>
      </c>
      <c r="AR115" s="55">
        <f t="shared" si="41"/>
        <v>434883.72093023261</v>
      </c>
      <c r="AS115" s="83">
        <f t="shared" si="25"/>
        <v>41</v>
      </c>
      <c r="AT115" s="50">
        <f t="shared" si="42"/>
        <v>6.66</v>
      </c>
      <c r="AU115" s="55" t="str">
        <f t="shared" si="43"/>
        <v>Medium</v>
      </c>
      <c r="AV115" s="34" t="s">
        <v>1513</v>
      </c>
      <c r="AW115" s="111"/>
      <c r="AX115" s="30" t="s">
        <v>1493</v>
      </c>
      <c r="AY115" s="30"/>
      <c r="AZ115" s="85" t="str">
        <f>IF(ISERROR(_xlfn.XLOOKUP(CONCATENATE(A115,"_",AV115),'Reference-Proof pt impact flag'!$I$3:$I$1048576,'Reference-Proof pt impact flag'!$G$3:$G$1048576)),"",_xlfn.XLOOKUP(CONCATENATE(A115,"_",AV115),'Reference-Proof pt impact flag'!$I$3:$I$1048576,'Reference-Proof pt impact flag'!$G$3:$G$1048576))</f>
        <v/>
      </c>
      <c r="BA115" s="74"/>
      <c r="BB115" s="74"/>
      <c r="BC115" s="74"/>
      <c r="BD115" s="74"/>
      <c r="BE115" s="74"/>
      <c r="BF115" s="74" t="e">
        <f>_xlfn.XLOOKUP(CONCATENATE(H115,"_",AV115),'Test 2 - Proof points - GPT5'!$T:$T,'Test 2 - Proof points - GPT5'!$S:$S)</f>
        <v>#N/A</v>
      </c>
      <c r="BG115" s="74" t="e">
        <f>_xlfn.XLOOKUP(CONCATENATE(H115,"_",AV115),'Test 2 -Proof points - Sonnet'!$AB:$AB,'Test 2 -Proof points - Sonnet'!$AA:$AA)</f>
        <v>#N/A</v>
      </c>
      <c r="BH115" s="74"/>
      <c r="BI115" s="74"/>
      <c r="BJ115" s="74" t="s">
        <v>1550</v>
      </c>
      <c r="BK115" s="30"/>
      <c r="BL115" s="30"/>
      <c r="BM115" s="30"/>
      <c r="BN115" s="30"/>
      <c r="BO115" s="30"/>
      <c r="BP115" s="30"/>
      <c r="BQ115" s="30"/>
      <c r="BR115" s="30"/>
      <c r="BS115" s="30"/>
      <c r="BT115" s="30"/>
      <c r="BU115" s="30"/>
      <c r="BV115" s="113"/>
    </row>
    <row r="116" spans="1:74" ht="203" hidden="1" x14ac:dyDescent="0.35">
      <c r="A116" s="22">
        <v>3</v>
      </c>
      <c r="B116" s="22" t="s">
        <v>1451</v>
      </c>
      <c r="C116" s="22" t="s">
        <v>1452</v>
      </c>
      <c r="D116" s="22" t="s">
        <v>1224</v>
      </c>
      <c r="E116" s="22" t="s">
        <v>1453</v>
      </c>
      <c r="F116" s="22"/>
      <c r="G116" s="22" t="s">
        <v>1274</v>
      </c>
      <c r="H116" s="21" t="s">
        <v>1279</v>
      </c>
      <c r="I116" s="22"/>
      <c r="J116" s="21" t="s">
        <v>1336</v>
      </c>
      <c r="K116" s="30"/>
      <c r="L116" s="30" t="s">
        <v>1239</v>
      </c>
      <c r="M116" s="35" t="str">
        <f>VLOOKUP(H116,'1_Value &amp; risk levers'!$H$9:$O$1048576,2,FALSE)</f>
        <v>No review conducted</v>
      </c>
      <c r="N116" s="35" t="str">
        <f>VLOOKUP(H116,'1_Value &amp; risk levers'!$H$9:$O$1048576,3,FALSE)</f>
        <v>Limited trials for bulk options</v>
      </c>
      <c r="O116" s="35" t="str">
        <f>VLOOKUP(H116,'1_Value &amp; risk levers'!$H$9:$O$1048576,4,FALSE)</f>
        <v>Regular assessments to optimize packaging</v>
      </c>
      <c r="P116" s="35" t="str">
        <f>VLOOKUP(H116,'1_Value &amp; risk levers'!$H$9:$O$1048576,5,FALSE)</f>
        <v>Fully optimized with advanced logistics planning</v>
      </c>
      <c r="Q116" s="77">
        <f>IF(VLOOKUP(H116,'1_Value &amp; risk levers'!$H$9:$T$1048576,13,FALSE)=0,"",VLOOKUP(H116,'1_Value &amp; risk levers'!$H$9:$T$1048576,13,FALSE))</f>
        <v>1</v>
      </c>
      <c r="R116" s="128">
        <f t="shared" si="22"/>
        <v>2</v>
      </c>
      <c r="S116" s="128" t="e">
        <f t="shared" si="23"/>
        <v>#DIV/0!</v>
      </c>
      <c r="T116" s="77"/>
      <c r="U116" s="77"/>
      <c r="V116" s="55"/>
      <c r="W116" s="71">
        <v>0.04</v>
      </c>
      <c r="X116" s="71">
        <v>0.1</v>
      </c>
      <c r="Y116" s="71">
        <f>VLOOKUP(H116,'1_Value &amp; risk levers'!$H$9:$O$1048576,8,FALSE)</f>
        <v>0.8</v>
      </c>
      <c r="Z116" s="51">
        <f t="shared" si="24"/>
        <v>7.0000000000000007E-2</v>
      </c>
      <c r="AA116" s="51">
        <f t="shared" si="26"/>
        <v>8.5000000000000006E-2</v>
      </c>
      <c r="AB116" s="55">
        <f t="shared" si="27"/>
        <v>2800000.0000000005</v>
      </c>
      <c r="AC116" s="55">
        <f t="shared" si="28"/>
        <v>3400000.0000000005</v>
      </c>
      <c r="AD116" s="80">
        <f t="shared" si="29"/>
        <v>7</v>
      </c>
      <c r="AE116" s="84">
        <f t="shared" si="30"/>
        <v>0.48864540816326468</v>
      </c>
      <c r="AF116" s="71" t="str">
        <f t="shared" si="31"/>
        <v>Low</v>
      </c>
      <c r="AG116" s="84">
        <f t="shared" si="32"/>
        <v>5.9772908163265304E-2</v>
      </c>
      <c r="AH116" s="84">
        <f t="shared" si="33"/>
        <v>9.5227091836734709E-2</v>
      </c>
      <c r="AI116" s="73">
        <f t="shared" si="34"/>
        <v>2390916.3265306121</v>
      </c>
      <c r="AJ116" s="73">
        <f t="shared" si="35"/>
        <v>3809083.6734693884</v>
      </c>
      <c r="AK116" s="46">
        <f>VLOOKUP(H116,'1_Value &amp; risk levers'!$H$9:$O$1048576,6,FALSE)</f>
        <v>0.02</v>
      </c>
      <c r="AL116" s="46">
        <f>VLOOKUP(H116,'1_Value &amp; risk levers'!$H$9:$O$1048576,7,FALSE)</f>
        <v>0.03</v>
      </c>
      <c r="AM116" s="50">
        <f t="shared" si="36"/>
        <v>2.75E-2</v>
      </c>
      <c r="AN116" s="72">
        <f t="shared" si="37"/>
        <v>0.12790697674418605</v>
      </c>
      <c r="AO116" s="84">
        <f t="shared" si="38"/>
        <v>7.6453719743711434E-3</v>
      </c>
      <c r="AP116" s="84">
        <f t="shared" si="39"/>
        <v>1.2180209420977696E-2</v>
      </c>
      <c r="AQ116" s="55">
        <f t="shared" si="40"/>
        <v>358139.53488372103</v>
      </c>
      <c r="AR116" s="55">
        <f t="shared" si="41"/>
        <v>434883.72093023261</v>
      </c>
      <c r="AS116" s="83">
        <f t="shared" si="25"/>
        <v>41</v>
      </c>
      <c r="AT116" s="50">
        <f t="shared" si="42"/>
        <v>6.66</v>
      </c>
      <c r="AU116" s="55" t="str">
        <f t="shared" si="43"/>
        <v>Medium</v>
      </c>
      <c r="AV116" s="34" t="s">
        <v>1514</v>
      </c>
      <c r="AW116" s="111"/>
      <c r="AX116" s="30" t="s">
        <v>1493</v>
      </c>
      <c r="AY116" s="27"/>
      <c r="AZ116" s="85" t="str">
        <f>IF(ISERROR(_xlfn.XLOOKUP(CONCATENATE(A116,"_",AV116),'Reference-Proof pt impact flag'!$I$3:$I$1048576,'Reference-Proof pt impact flag'!$G$3:$G$1048576)),"",_xlfn.XLOOKUP(CONCATENATE(A116,"_",AV116),'Reference-Proof pt impact flag'!$I$3:$I$1048576,'Reference-Proof pt impact flag'!$G$3:$G$1048576))</f>
        <v/>
      </c>
      <c r="BA116" s="74"/>
      <c r="BB116" s="74"/>
      <c r="BC116" s="74"/>
      <c r="BD116" s="74"/>
      <c r="BE116" s="74"/>
      <c r="BF116" s="74" t="e">
        <f>_xlfn.XLOOKUP(CONCATENATE(H116,"_",AV116),'Test 2 - Proof points - GPT5'!$T:$T,'Test 2 - Proof points - GPT5'!$S:$S)</f>
        <v>#N/A</v>
      </c>
      <c r="BG116" s="74" t="e">
        <f>_xlfn.XLOOKUP(CONCATENATE(H116,"_",AV116),'Test 2 -Proof points - Sonnet'!$AB:$AB,'Test 2 -Proof points - Sonnet'!$AA:$AA)</f>
        <v>#N/A</v>
      </c>
      <c r="BH116" s="74"/>
      <c r="BI116" s="74"/>
      <c r="BJ116" s="74" t="s">
        <v>1550</v>
      </c>
      <c r="BK116" s="30"/>
      <c r="BL116" s="30"/>
      <c r="BM116" s="30"/>
      <c r="BN116" s="30"/>
      <c r="BO116" s="30"/>
      <c r="BP116" s="30"/>
      <c r="BQ116" s="30"/>
      <c r="BR116" s="30"/>
      <c r="BS116" s="30"/>
      <c r="BT116" s="30"/>
      <c r="BU116" s="30"/>
      <c r="BV116" s="113"/>
    </row>
    <row r="117" spans="1:74" ht="203" hidden="1" x14ac:dyDescent="0.35">
      <c r="A117" s="22">
        <v>3</v>
      </c>
      <c r="B117" s="22" t="s">
        <v>1451</v>
      </c>
      <c r="C117" s="22" t="s">
        <v>1452</v>
      </c>
      <c r="D117" s="22" t="s">
        <v>1224</v>
      </c>
      <c r="E117" s="22" t="s">
        <v>1453</v>
      </c>
      <c r="F117" s="22"/>
      <c r="G117" s="22" t="s">
        <v>1274</v>
      </c>
      <c r="H117" s="21" t="s">
        <v>1279</v>
      </c>
      <c r="I117" s="22"/>
      <c r="J117" s="21" t="s">
        <v>1336</v>
      </c>
      <c r="K117" s="30"/>
      <c r="L117" s="30" t="s">
        <v>1239</v>
      </c>
      <c r="M117" s="35" t="str">
        <f>VLOOKUP(H117,'1_Value &amp; risk levers'!$H$9:$O$1048576,2,FALSE)</f>
        <v>No review conducted</v>
      </c>
      <c r="N117" s="35" t="str">
        <f>VLOOKUP(H117,'1_Value &amp; risk levers'!$H$9:$O$1048576,3,FALSE)</f>
        <v>Limited trials for bulk options</v>
      </c>
      <c r="O117" s="35" t="str">
        <f>VLOOKUP(H117,'1_Value &amp; risk levers'!$H$9:$O$1048576,4,FALSE)</f>
        <v>Regular assessments to optimize packaging</v>
      </c>
      <c r="P117" s="35" t="str">
        <f>VLOOKUP(H117,'1_Value &amp; risk levers'!$H$9:$O$1048576,5,FALSE)</f>
        <v>Fully optimized with advanced logistics planning</v>
      </c>
      <c r="Q117" s="77">
        <f>IF(VLOOKUP(H117,'1_Value &amp; risk levers'!$H$9:$T$1048576,13,FALSE)=0,"",VLOOKUP(H117,'1_Value &amp; risk levers'!$H$9:$T$1048576,13,FALSE))</f>
        <v>1</v>
      </c>
      <c r="R117" s="128">
        <f t="shared" si="22"/>
        <v>2</v>
      </c>
      <c r="S117" s="128" t="e">
        <f t="shared" si="23"/>
        <v>#DIV/0!</v>
      </c>
      <c r="T117" s="77"/>
      <c r="U117" s="77"/>
      <c r="V117" s="55"/>
      <c r="W117" s="71">
        <v>0.04</v>
      </c>
      <c r="X117" s="71">
        <v>0.1</v>
      </c>
      <c r="Y117" s="71">
        <f>VLOOKUP(H117,'1_Value &amp; risk levers'!$H$9:$O$1048576,8,FALSE)</f>
        <v>0.8</v>
      </c>
      <c r="Z117" s="51">
        <f t="shared" si="24"/>
        <v>7.0000000000000007E-2</v>
      </c>
      <c r="AA117" s="51">
        <f t="shared" si="26"/>
        <v>8.5000000000000006E-2</v>
      </c>
      <c r="AB117" s="55">
        <f t="shared" si="27"/>
        <v>2800000.0000000005</v>
      </c>
      <c r="AC117" s="55">
        <f t="shared" si="28"/>
        <v>3400000.0000000005</v>
      </c>
      <c r="AD117" s="80">
        <f t="shared" si="29"/>
        <v>7</v>
      </c>
      <c r="AE117" s="84">
        <f t="shared" si="30"/>
        <v>0.48864540816326468</v>
      </c>
      <c r="AF117" s="71" t="str">
        <f t="shared" si="31"/>
        <v>Low</v>
      </c>
      <c r="AG117" s="84">
        <f t="shared" si="32"/>
        <v>5.9772908163265304E-2</v>
      </c>
      <c r="AH117" s="84">
        <f t="shared" si="33"/>
        <v>9.5227091836734709E-2</v>
      </c>
      <c r="AI117" s="73">
        <f t="shared" si="34"/>
        <v>2390916.3265306121</v>
      </c>
      <c r="AJ117" s="73">
        <f t="shared" si="35"/>
        <v>3809083.6734693884</v>
      </c>
      <c r="AK117" s="46">
        <f>VLOOKUP(H117,'1_Value &amp; risk levers'!$H$9:$O$1048576,6,FALSE)</f>
        <v>0.02</v>
      </c>
      <c r="AL117" s="46">
        <f>VLOOKUP(H117,'1_Value &amp; risk levers'!$H$9:$O$1048576,7,FALSE)</f>
        <v>0.03</v>
      </c>
      <c r="AM117" s="50">
        <f t="shared" si="36"/>
        <v>2.75E-2</v>
      </c>
      <c r="AN117" s="72">
        <f t="shared" si="37"/>
        <v>0.12790697674418605</v>
      </c>
      <c r="AO117" s="84">
        <f t="shared" si="38"/>
        <v>7.6453719743711434E-3</v>
      </c>
      <c r="AP117" s="84">
        <f t="shared" si="39"/>
        <v>1.2180209420977696E-2</v>
      </c>
      <c r="AQ117" s="55">
        <f t="shared" si="40"/>
        <v>358139.53488372103</v>
      </c>
      <c r="AR117" s="55">
        <f t="shared" si="41"/>
        <v>434883.72093023261</v>
      </c>
      <c r="AS117" s="83">
        <f t="shared" si="25"/>
        <v>41</v>
      </c>
      <c r="AT117" s="50">
        <f t="shared" si="42"/>
        <v>6.66</v>
      </c>
      <c r="AU117" s="55" t="str">
        <f t="shared" si="43"/>
        <v>Medium</v>
      </c>
      <c r="AV117" s="34" t="s">
        <v>1515</v>
      </c>
      <c r="AW117" s="111"/>
      <c r="AX117" s="30" t="s">
        <v>1493</v>
      </c>
      <c r="AY117" s="30"/>
      <c r="AZ117" s="85" t="str">
        <f>IF(ISERROR(_xlfn.XLOOKUP(CONCATENATE(A117,"_",AV117),'Reference-Proof pt impact flag'!$I$3:$I$1048576,'Reference-Proof pt impact flag'!$G$3:$G$1048576)),"",_xlfn.XLOOKUP(CONCATENATE(A117,"_",AV117),'Reference-Proof pt impact flag'!$I$3:$I$1048576,'Reference-Proof pt impact flag'!$G$3:$G$1048576))</f>
        <v/>
      </c>
      <c r="BA117" s="74"/>
      <c r="BB117" s="74"/>
      <c r="BC117" s="74"/>
      <c r="BD117" s="74"/>
      <c r="BE117" s="74"/>
      <c r="BF117" s="74" t="e">
        <f>_xlfn.XLOOKUP(CONCATENATE(H117,"_",AV117),'Test 2 - Proof points - GPT5'!$T:$T,'Test 2 - Proof points - GPT5'!$S:$S)</f>
        <v>#N/A</v>
      </c>
      <c r="BG117" s="74" t="e">
        <f>_xlfn.XLOOKUP(CONCATENATE(H117,"_",AV117),'Test 2 -Proof points - Sonnet'!$AB:$AB,'Test 2 -Proof points - Sonnet'!$AA:$AA)</f>
        <v>#N/A</v>
      </c>
      <c r="BH117" s="74"/>
      <c r="BI117" s="74"/>
      <c r="BJ117" s="74" t="s">
        <v>1550</v>
      </c>
      <c r="BK117" s="30"/>
      <c r="BL117" s="30"/>
      <c r="BM117" s="30"/>
      <c r="BN117" s="30"/>
      <c r="BO117" s="30"/>
      <c r="BP117" s="30"/>
      <c r="BQ117" s="30"/>
      <c r="BR117" s="30"/>
      <c r="BS117" s="30"/>
      <c r="BT117" s="30"/>
      <c r="BU117" s="30"/>
      <c r="BV117" s="113"/>
    </row>
    <row r="118" spans="1:74" ht="203" hidden="1" x14ac:dyDescent="0.35">
      <c r="A118" s="22">
        <v>3</v>
      </c>
      <c r="B118" s="22" t="s">
        <v>1451</v>
      </c>
      <c r="C118" s="22" t="s">
        <v>1452</v>
      </c>
      <c r="D118" s="22" t="s">
        <v>1224</v>
      </c>
      <c r="E118" s="22" t="s">
        <v>1453</v>
      </c>
      <c r="F118" s="22"/>
      <c r="G118" s="22" t="s">
        <v>1274</v>
      </c>
      <c r="H118" s="21" t="s">
        <v>1279</v>
      </c>
      <c r="I118" s="22"/>
      <c r="J118" s="21" t="s">
        <v>1336</v>
      </c>
      <c r="K118" s="30"/>
      <c r="L118" s="30" t="s">
        <v>1239</v>
      </c>
      <c r="M118" s="35" t="str">
        <f>VLOOKUP(H118,'1_Value &amp; risk levers'!$H$9:$O$1048576,2,FALSE)</f>
        <v>No review conducted</v>
      </c>
      <c r="N118" s="35" t="str">
        <f>VLOOKUP(H118,'1_Value &amp; risk levers'!$H$9:$O$1048576,3,FALSE)</f>
        <v>Limited trials for bulk options</v>
      </c>
      <c r="O118" s="35" t="str">
        <f>VLOOKUP(H118,'1_Value &amp; risk levers'!$H$9:$O$1048576,4,FALSE)</f>
        <v>Regular assessments to optimize packaging</v>
      </c>
      <c r="P118" s="35" t="str">
        <f>VLOOKUP(H118,'1_Value &amp; risk levers'!$H$9:$O$1048576,5,FALSE)</f>
        <v>Fully optimized with advanced logistics planning</v>
      </c>
      <c r="Q118" s="77">
        <f>IF(VLOOKUP(H118,'1_Value &amp; risk levers'!$H$9:$T$1048576,13,FALSE)=0,"",VLOOKUP(H118,'1_Value &amp; risk levers'!$H$9:$T$1048576,13,FALSE))</f>
        <v>1</v>
      </c>
      <c r="R118" s="128">
        <f t="shared" si="22"/>
        <v>2</v>
      </c>
      <c r="S118" s="128" t="e">
        <f t="shared" si="23"/>
        <v>#DIV/0!</v>
      </c>
      <c r="T118" s="77"/>
      <c r="U118" s="77"/>
      <c r="V118" s="55"/>
      <c r="W118" s="71">
        <v>0.04</v>
      </c>
      <c r="X118" s="71">
        <v>0.1</v>
      </c>
      <c r="Y118" s="71">
        <f>VLOOKUP(H118,'1_Value &amp; risk levers'!$H$9:$O$1048576,8,FALSE)</f>
        <v>0.8</v>
      </c>
      <c r="Z118" s="51">
        <f t="shared" si="24"/>
        <v>7.0000000000000007E-2</v>
      </c>
      <c r="AA118" s="51">
        <f t="shared" si="26"/>
        <v>8.5000000000000006E-2</v>
      </c>
      <c r="AB118" s="55">
        <f t="shared" si="27"/>
        <v>2800000.0000000005</v>
      </c>
      <c r="AC118" s="55">
        <f t="shared" si="28"/>
        <v>3400000.0000000005</v>
      </c>
      <c r="AD118" s="80">
        <f t="shared" si="29"/>
        <v>7</v>
      </c>
      <c r="AE118" s="84">
        <f t="shared" si="30"/>
        <v>0.48864540816326468</v>
      </c>
      <c r="AF118" s="71" t="str">
        <f t="shared" si="31"/>
        <v>Low</v>
      </c>
      <c r="AG118" s="84">
        <f t="shared" si="32"/>
        <v>5.9772908163265304E-2</v>
      </c>
      <c r="AH118" s="84">
        <f t="shared" si="33"/>
        <v>9.5227091836734709E-2</v>
      </c>
      <c r="AI118" s="73">
        <f t="shared" si="34"/>
        <v>2390916.3265306121</v>
      </c>
      <c r="AJ118" s="73">
        <f t="shared" si="35"/>
        <v>3809083.6734693884</v>
      </c>
      <c r="AK118" s="46">
        <f>VLOOKUP(H118,'1_Value &amp; risk levers'!$H$9:$O$1048576,6,FALSE)</f>
        <v>0.02</v>
      </c>
      <c r="AL118" s="46">
        <f>VLOOKUP(H118,'1_Value &amp; risk levers'!$H$9:$O$1048576,7,FALSE)</f>
        <v>0.03</v>
      </c>
      <c r="AM118" s="50">
        <f t="shared" si="36"/>
        <v>2.75E-2</v>
      </c>
      <c r="AN118" s="72">
        <f t="shared" si="37"/>
        <v>0.12790697674418605</v>
      </c>
      <c r="AO118" s="84">
        <f t="shared" si="38"/>
        <v>7.6453719743711434E-3</v>
      </c>
      <c r="AP118" s="84">
        <f t="shared" si="39"/>
        <v>1.2180209420977696E-2</v>
      </c>
      <c r="AQ118" s="55">
        <f t="shared" si="40"/>
        <v>358139.53488372103</v>
      </c>
      <c r="AR118" s="55">
        <f t="shared" si="41"/>
        <v>434883.72093023261</v>
      </c>
      <c r="AS118" s="83">
        <f t="shared" si="25"/>
        <v>41</v>
      </c>
      <c r="AT118" s="50">
        <f t="shared" si="42"/>
        <v>6.66</v>
      </c>
      <c r="AU118" s="55" t="str">
        <f t="shared" si="43"/>
        <v>Medium</v>
      </c>
      <c r="AV118" s="34" t="s">
        <v>1516</v>
      </c>
      <c r="AW118" s="111"/>
      <c r="AX118" s="30" t="s">
        <v>1493</v>
      </c>
      <c r="AY118" s="30"/>
      <c r="AZ118" s="85" t="str">
        <f>IF(ISERROR(_xlfn.XLOOKUP(CONCATENATE(A118,"_",AV118),'Reference-Proof pt impact flag'!$I$3:$I$1048576,'Reference-Proof pt impact flag'!$G$3:$G$1048576)),"",_xlfn.XLOOKUP(CONCATENATE(A118,"_",AV118),'Reference-Proof pt impact flag'!$I$3:$I$1048576,'Reference-Proof pt impact flag'!$G$3:$G$1048576))</f>
        <v/>
      </c>
      <c r="BA118" s="74"/>
      <c r="BB118" s="74"/>
      <c r="BC118" s="74"/>
      <c r="BD118" s="74"/>
      <c r="BE118" s="74"/>
      <c r="BF118" s="74" t="e">
        <f>_xlfn.XLOOKUP(CONCATENATE(H118,"_",AV118),'Test 2 - Proof points - GPT5'!$T:$T,'Test 2 - Proof points - GPT5'!$S:$S)</f>
        <v>#N/A</v>
      </c>
      <c r="BG118" s="74" t="e">
        <f>_xlfn.XLOOKUP(CONCATENATE(H118,"_",AV118),'Test 2 -Proof points - Sonnet'!$AB:$AB,'Test 2 -Proof points - Sonnet'!$AA:$AA)</f>
        <v>#N/A</v>
      </c>
      <c r="BH118" s="74"/>
      <c r="BI118" s="74"/>
      <c r="BJ118" s="74" t="s">
        <v>1550</v>
      </c>
      <c r="BK118" s="30"/>
      <c r="BL118" s="30"/>
      <c r="BM118" s="30"/>
      <c r="BN118" s="30"/>
      <c r="BO118" s="30"/>
      <c r="BP118" s="30"/>
      <c r="BQ118" s="30"/>
      <c r="BR118" s="30"/>
      <c r="BS118" s="30"/>
      <c r="BT118" s="30"/>
      <c r="BU118" s="30"/>
      <c r="BV118" s="113"/>
    </row>
    <row r="119" spans="1:74" ht="203" hidden="1" x14ac:dyDescent="0.35">
      <c r="A119" s="22">
        <v>3</v>
      </c>
      <c r="B119" s="22" t="s">
        <v>1451</v>
      </c>
      <c r="C119" s="22" t="s">
        <v>1452</v>
      </c>
      <c r="D119" s="22" t="s">
        <v>1224</v>
      </c>
      <c r="E119" s="22" t="s">
        <v>1453</v>
      </c>
      <c r="F119" s="22"/>
      <c r="G119" s="22" t="s">
        <v>1274</v>
      </c>
      <c r="H119" s="21" t="s">
        <v>1279</v>
      </c>
      <c r="I119" s="22"/>
      <c r="J119" s="21" t="s">
        <v>1336</v>
      </c>
      <c r="K119" s="30"/>
      <c r="L119" s="30" t="s">
        <v>1239</v>
      </c>
      <c r="M119" s="35" t="str">
        <f>VLOOKUP(H119,'1_Value &amp; risk levers'!$H$9:$O$1048576,2,FALSE)</f>
        <v>No review conducted</v>
      </c>
      <c r="N119" s="35" t="str">
        <f>VLOOKUP(H119,'1_Value &amp; risk levers'!$H$9:$O$1048576,3,FALSE)</f>
        <v>Limited trials for bulk options</v>
      </c>
      <c r="O119" s="35" t="str">
        <f>VLOOKUP(H119,'1_Value &amp; risk levers'!$H$9:$O$1048576,4,FALSE)</f>
        <v>Regular assessments to optimize packaging</v>
      </c>
      <c r="P119" s="35" t="str">
        <f>VLOOKUP(H119,'1_Value &amp; risk levers'!$H$9:$O$1048576,5,FALSE)</f>
        <v>Fully optimized with advanced logistics planning</v>
      </c>
      <c r="Q119" s="77">
        <f>IF(VLOOKUP(H119,'1_Value &amp; risk levers'!$H$9:$T$1048576,13,FALSE)=0,"",VLOOKUP(H119,'1_Value &amp; risk levers'!$H$9:$T$1048576,13,FALSE))</f>
        <v>1</v>
      </c>
      <c r="R119" s="128">
        <f t="shared" si="22"/>
        <v>2</v>
      </c>
      <c r="S119" s="128" t="e">
        <f t="shared" si="23"/>
        <v>#DIV/0!</v>
      </c>
      <c r="T119" s="77"/>
      <c r="U119" s="77"/>
      <c r="V119" s="55"/>
      <c r="W119" s="71">
        <v>0.04</v>
      </c>
      <c r="X119" s="71">
        <v>0.1</v>
      </c>
      <c r="Y119" s="71">
        <f>VLOOKUP(H119,'1_Value &amp; risk levers'!$H$9:$O$1048576,8,FALSE)</f>
        <v>0.8</v>
      </c>
      <c r="Z119" s="51">
        <f t="shared" si="24"/>
        <v>7.0000000000000007E-2</v>
      </c>
      <c r="AA119" s="51">
        <f t="shared" si="26"/>
        <v>8.5000000000000006E-2</v>
      </c>
      <c r="AB119" s="55">
        <f t="shared" si="27"/>
        <v>2800000.0000000005</v>
      </c>
      <c r="AC119" s="55">
        <f t="shared" si="28"/>
        <v>3400000.0000000005</v>
      </c>
      <c r="AD119" s="80">
        <f t="shared" si="29"/>
        <v>7</v>
      </c>
      <c r="AE119" s="84">
        <f t="shared" si="30"/>
        <v>0.48864540816326468</v>
      </c>
      <c r="AF119" s="71" t="str">
        <f t="shared" si="31"/>
        <v>Low</v>
      </c>
      <c r="AG119" s="84">
        <f t="shared" si="32"/>
        <v>5.9772908163265304E-2</v>
      </c>
      <c r="AH119" s="84">
        <f t="shared" si="33"/>
        <v>9.5227091836734709E-2</v>
      </c>
      <c r="AI119" s="73">
        <f t="shared" si="34"/>
        <v>2390916.3265306121</v>
      </c>
      <c r="AJ119" s="73">
        <f t="shared" si="35"/>
        <v>3809083.6734693884</v>
      </c>
      <c r="AK119" s="46">
        <f>VLOOKUP(H119,'1_Value &amp; risk levers'!$H$9:$O$1048576,6,FALSE)</f>
        <v>0.02</v>
      </c>
      <c r="AL119" s="46">
        <f>VLOOKUP(H119,'1_Value &amp; risk levers'!$H$9:$O$1048576,7,FALSE)</f>
        <v>0.03</v>
      </c>
      <c r="AM119" s="50">
        <f t="shared" si="36"/>
        <v>2.75E-2</v>
      </c>
      <c r="AN119" s="72">
        <f t="shared" si="37"/>
        <v>0.12790697674418605</v>
      </c>
      <c r="AO119" s="84">
        <f t="shared" si="38"/>
        <v>7.6453719743711434E-3</v>
      </c>
      <c r="AP119" s="84">
        <f t="shared" si="39"/>
        <v>1.2180209420977696E-2</v>
      </c>
      <c r="AQ119" s="55">
        <f t="shared" si="40"/>
        <v>358139.53488372103</v>
      </c>
      <c r="AR119" s="55">
        <f t="shared" si="41"/>
        <v>434883.72093023261</v>
      </c>
      <c r="AS119" s="83">
        <f t="shared" si="25"/>
        <v>41</v>
      </c>
      <c r="AT119" s="50">
        <f t="shared" si="42"/>
        <v>6.66</v>
      </c>
      <c r="AU119" s="55" t="str">
        <f t="shared" si="43"/>
        <v>Medium</v>
      </c>
      <c r="AV119" s="34" t="s">
        <v>1517</v>
      </c>
      <c r="AW119" s="111"/>
      <c r="AX119" s="30" t="s">
        <v>1493</v>
      </c>
      <c r="AY119" s="30"/>
      <c r="AZ119" s="85" t="str">
        <f>IF(ISERROR(_xlfn.XLOOKUP(CONCATENATE(A119,"_",AV119),'Reference-Proof pt impact flag'!$I$3:$I$1048576,'Reference-Proof pt impact flag'!$G$3:$G$1048576)),"",_xlfn.XLOOKUP(CONCATENATE(A119,"_",AV119),'Reference-Proof pt impact flag'!$I$3:$I$1048576,'Reference-Proof pt impact flag'!$G$3:$G$1048576))</f>
        <v/>
      </c>
      <c r="BA119" s="74"/>
      <c r="BB119" s="74"/>
      <c r="BC119" s="74"/>
      <c r="BD119" s="74"/>
      <c r="BE119" s="74"/>
      <c r="BF119" s="74" t="e">
        <f>_xlfn.XLOOKUP(CONCATENATE(H119,"_",AV119),'Test 2 - Proof points - GPT5'!$T:$T,'Test 2 - Proof points - GPT5'!$S:$S)</f>
        <v>#N/A</v>
      </c>
      <c r="BG119" s="74" t="e">
        <f>_xlfn.XLOOKUP(CONCATENATE(H119,"_",AV119),'Test 2 -Proof points - Sonnet'!$AB:$AB,'Test 2 -Proof points - Sonnet'!$AA:$AA)</f>
        <v>#N/A</v>
      </c>
      <c r="BH119" s="74"/>
      <c r="BI119" s="74"/>
      <c r="BJ119" s="74" t="s">
        <v>1550</v>
      </c>
      <c r="BK119" s="30"/>
      <c r="BL119" s="30"/>
      <c r="BM119" s="30"/>
      <c r="BN119" s="30"/>
      <c r="BO119" s="30"/>
      <c r="BP119" s="30"/>
      <c r="BQ119" s="30"/>
      <c r="BR119" s="30"/>
      <c r="BS119" s="30"/>
      <c r="BT119" s="30"/>
      <c r="BU119" s="30"/>
      <c r="BV119" s="113"/>
    </row>
    <row r="120" spans="1:74" ht="203" hidden="1" x14ac:dyDescent="0.35">
      <c r="A120" s="22">
        <v>3</v>
      </c>
      <c r="B120" s="22" t="s">
        <v>1451</v>
      </c>
      <c r="C120" s="22" t="s">
        <v>1452</v>
      </c>
      <c r="D120" s="22" t="s">
        <v>1224</v>
      </c>
      <c r="E120" s="22" t="s">
        <v>1453</v>
      </c>
      <c r="F120" s="22"/>
      <c r="G120" s="22" t="s">
        <v>1274</v>
      </c>
      <c r="H120" s="21" t="s">
        <v>1279</v>
      </c>
      <c r="I120" s="22"/>
      <c r="J120" s="21" t="s">
        <v>1336</v>
      </c>
      <c r="K120" s="30"/>
      <c r="L120" s="30" t="s">
        <v>1239</v>
      </c>
      <c r="M120" s="35" t="str">
        <f>VLOOKUP(H120,'1_Value &amp; risk levers'!$H$9:$O$1048576,2,FALSE)</f>
        <v>No review conducted</v>
      </c>
      <c r="N120" s="35" t="str">
        <f>VLOOKUP(H120,'1_Value &amp; risk levers'!$H$9:$O$1048576,3,FALSE)</f>
        <v>Limited trials for bulk options</v>
      </c>
      <c r="O120" s="35" t="str">
        <f>VLOOKUP(H120,'1_Value &amp; risk levers'!$H$9:$O$1048576,4,FALSE)</f>
        <v>Regular assessments to optimize packaging</v>
      </c>
      <c r="P120" s="35" t="str">
        <f>VLOOKUP(H120,'1_Value &amp; risk levers'!$H$9:$O$1048576,5,FALSE)</f>
        <v>Fully optimized with advanced logistics planning</v>
      </c>
      <c r="Q120" s="77">
        <f>IF(VLOOKUP(H120,'1_Value &amp; risk levers'!$H$9:$T$1048576,13,FALSE)=0,"",VLOOKUP(H120,'1_Value &amp; risk levers'!$H$9:$T$1048576,13,FALSE))</f>
        <v>1</v>
      </c>
      <c r="R120" s="128">
        <f t="shared" si="22"/>
        <v>2</v>
      </c>
      <c r="S120" s="128" t="e">
        <f t="shared" si="23"/>
        <v>#DIV/0!</v>
      </c>
      <c r="T120" s="77"/>
      <c r="U120" s="77"/>
      <c r="V120" s="55"/>
      <c r="W120" s="71">
        <v>0.04</v>
      </c>
      <c r="X120" s="71">
        <v>0.1</v>
      </c>
      <c r="Y120" s="71">
        <f>VLOOKUP(H120,'1_Value &amp; risk levers'!$H$9:$O$1048576,8,FALSE)</f>
        <v>0.8</v>
      </c>
      <c r="Z120" s="51">
        <f t="shared" si="24"/>
        <v>7.0000000000000007E-2</v>
      </c>
      <c r="AA120" s="51">
        <f t="shared" si="26"/>
        <v>8.5000000000000006E-2</v>
      </c>
      <c r="AB120" s="55">
        <f t="shared" si="27"/>
        <v>2800000.0000000005</v>
      </c>
      <c r="AC120" s="55">
        <f t="shared" si="28"/>
        <v>3400000.0000000005</v>
      </c>
      <c r="AD120" s="80">
        <f t="shared" si="29"/>
        <v>7</v>
      </c>
      <c r="AE120" s="84">
        <f t="shared" si="30"/>
        <v>0.48864540816326468</v>
      </c>
      <c r="AF120" s="71" t="str">
        <f t="shared" si="31"/>
        <v>Low</v>
      </c>
      <c r="AG120" s="84">
        <f t="shared" si="32"/>
        <v>5.9772908163265304E-2</v>
      </c>
      <c r="AH120" s="84">
        <f t="shared" si="33"/>
        <v>9.5227091836734709E-2</v>
      </c>
      <c r="AI120" s="73">
        <f t="shared" si="34"/>
        <v>2390916.3265306121</v>
      </c>
      <c r="AJ120" s="73">
        <f t="shared" si="35"/>
        <v>3809083.6734693884</v>
      </c>
      <c r="AK120" s="46">
        <f>VLOOKUP(H120,'1_Value &amp; risk levers'!$H$9:$O$1048576,6,FALSE)</f>
        <v>0.02</v>
      </c>
      <c r="AL120" s="46">
        <f>VLOOKUP(H120,'1_Value &amp; risk levers'!$H$9:$O$1048576,7,FALSE)</f>
        <v>0.03</v>
      </c>
      <c r="AM120" s="50">
        <f t="shared" si="36"/>
        <v>2.75E-2</v>
      </c>
      <c r="AN120" s="72">
        <f t="shared" si="37"/>
        <v>0.12790697674418605</v>
      </c>
      <c r="AO120" s="84">
        <f t="shared" si="38"/>
        <v>7.6453719743711434E-3</v>
      </c>
      <c r="AP120" s="84">
        <f t="shared" si="39"/>
        <v>1.2180209420977696E-2</v>
      </c>
      <c r="AQ120" s="55">
        <f t="shared" si="40"/>
        <v>358139.53488372103</v>
      </c>
      <c r="AR120" s="55">
        <f t="shared" si="41"/>
        <v>434883.72093023261</v>
      </c>
      <c r="AS120" s="83">
        <f t="shared" si="25"/>
        <v>41</v>
      </c>
      <c r="AT120" s="50">
        <f t="shared" si="42"/>
        <v>6.66</v>
      </c>
      <c r="AU120" s="55" t="str">
        <f t="shared" si="43"/>
        <v>Medium</v>
      </c>
      <c r="AV120" s="34" t="s">
        <v>1524</v>
      </c>
      <c r="AW120" s="111"/>
      <c r="AX120" s="30" t="s">
        <v>1493</v>
      </c>
      <c r="AY120" s="30"/>
      <c r="AZ120" s="85" t="str">
        <f>IF(ISERROR(_xlfn.XLOOKUP(CONCATENATE(A120,"_",AV120),'Reference-Proof pt impact flag'!$I$3:$I$1048576,'Reference-Proof pt impact flag'!$G$3:$G$1048576)),"",_xlfn.XLOOKUP(CONCATENATE(A120,"_",AV120),'Reference-Proof pt impact flag'!$I$3:$I$1048576,'Reference-Proof pt impact flag'!$G$3:$G$1048576))</f>
        <v/>
      </c>
      <c r="BA120" s="74"/>
      <c r="BB120" s="74"/>
      <c r="BC120" s="74"/>
      <c r="BD120" s="74"/>
      <c r="BE120" s="74"/>
      <c r="BF120" s="74" t="e">
        <f>_xlfn.XLOOKUP(CONCATENATE(H120,"_",AV120),'Test 2 - Proof points - GPT5'!$T:$T,'Test 2 - Proof points - GPT5'!$S:$S)</f>
        <v>#N/A</v>
      </c>
      <c r="BG120" s="74" t="e">
        <f>_xlfn.XLOOKUP(CONCATENATE(H120,"_",AV120),'Test 2 -Proof points - Sonnet'!$AB:$AB,'Test 2 -Proof points - Sonnet'!$AA:$AA)</f>
        <v>#N/A</v>
      </c>
      <c r="BH120" s="74"/>
      <c r="BI120" s="74"/>
      <c r="BJ120" s="74" t="s">
        <v>1550</v>
      </c>
      <c r="BK120" s="30"/>
      <c r="BL120" s="30"/>
      <c r="BM120" s="30"/>
      <c r="BN120" s="30"/>
      <c r="BO120" s="30"/>
      <c r="BP120" s="30"/>
      <c r="BQ120" s="30"/>
      <c r="BR120" s="30"/>
      <c r="BS120" s="30"/>
      <c r="BT120" s="30"/>
      <c r="BU120" s="30"/>
      <c r="BV120" s="113"/>
    </row>
    <row r="121" spans="1:74" ht="203" hidden="1" x14ac:dyDescent="0.35">
      <c r="A121" s="22">
        <v>3</v>
      </c>
      <c r="B121" s="22" t="s">
        <v>1451</v>
      </c>
      <c r="C121" s="22" t="s">
        <v>1452</v>
      </c>
      <c r="D121" s="22" t="s">
        <v>1224</v>
      </c>
      <c r="E121" s="22" t="s">
        <v>1453</v>
      </c>
      <c r="F121" s="22"/>
      <c r="G121" s="22" t="s">
        <v>1274</v>
      </c>
      <c r="H121" s="21" t="s">
        <v>1279</v>
      </c>
      <c r="I121" s="22"/>
      <c r="J121" s="21" t="s">
        <v>1336</v>
      </c>
      <c r="K121" s="30"/>
      <c r="L121" s="30" t="s">
        <v>1239</v>
      </c>
      <c r="M121" s="35" t="str">
        <f>VLOOKUP(H121,'1_Value &amp; risk levers'!$H$9:$O$1048576,2,FALSE)</f>
        <v>No review conducted</v>
      </c>
      <c r="N121" s="35" t="str">
        <f>VLOOKUP(H121,'1_Value &amp; risk levers'!$H$9:$O$1048576,3,FALSE)</f>
        <v>Limited trials for bulk options</v>
      </c>
      <c r="O121" s="35" t="str">
        <f>VLOOKUP(H121,'1_Value &amp; risk levers'!$H$9:$O$1048576,4,FALSE)</f>
        <v>Regular assessments to optimize packaging</v>
      </c>
      <c r="P121" s="35" t="str">
        <f>VLOOKUP(H121,'1_Value &amp; risk levers'!$H$9:$O$1048576,5,FALSE)</f>
        <v>Fully optimized with advanced logistics planning</v>
      </c>
      <c r="Q121" s="77">
        <f>IF(VLOOKUP(H121,'1_Value &amp; risk levers'!$H$9:$T$1048576,13,FALSE)=0,"",VLOOKUP(H121,'1_Value &amp; risk levers'!$H$9:$T$1048576,13,FALSE))</f>
        <v>1</v>
      </c>
      <c r="R121" s="128">
        <f t="shared" si="22"/>
        <v>2</v>
      </c>
      <c r="S121" s="128" t="e">
        <f t="shared" si="23"/>
        <v>#DIV/0!</v>
      </c>
      <c r="T121" s="77"/>
      <c r="U121" s="77"/>
      <c r="V121" s="55"/>
      <c r="W121" s="71">
        <v>0.04</v>
      </c>
      <c r="X121" s="71">
        <v>0.1</v>
      </c>
      <c r="Y121" s="71">
        <f>VLOOKUP(H121,'1_Value &amp; risk levers'!$H$9:$O$1048576,8,FALSE)</f>
        <v>0.8</v>
      </c>
      <c r="Z121" s="51">
        <f t="shared" si="24"/>
        <v>7.0000000000000007E-2</v>
      </c>
      <c r="AA121" s="51">
        <f t="shared" si="26"/>
        <v>8.5000000000000006E-2</v>
      </c>
      <c r="AB121" s="55">
        <f t="shared" si="27"/>
        <v>2800000.0000000005</v>
      </c>
      <c r="AC121" s="55">
        <f t="shared" si="28"/>
        <v>3400000.0000000005</v>
      </c>
      <c r="AD121" s="80">
        <f t="shared" si="29"/>
        <v>7</v>
      </c>
      <c r="AE121" s="84">
        <f t="shared" si="30"/>
        <v>0.48864540816326468</v>
      </c>
      <c r="AF121" s="71" t="str">
        <f t="shared" si="31"/>
        <v>Low</v>
      </c>
      <c r="AG121" s="84">
        <f t="shared" si="32"/>
        <v>5.9772908163265304E-2</v>
      </c>
      <c r="AH121" s="84">
        <f t="shared" si="33"/>
        <v>9.5227091836734709E-2</v>
      </c>
      <c r="AI121" s="73">
        <f t="shared" si="34"/>
        <v>2390916.3265306121</v>
      </c>
      <c r="AJ121" s="73">
        <f t="shared" si="35"/>
        <v>3809083.6734693884</v>
      </c>
      <c r="AK121" s="46">
        <f>VLOOKUP(H121,'1_Value &amp; risk levers'!$H$9:$O$1048576,6,FALSE)</f>
        <v>0.02</v>
      </c>
      <c r="AL121" s="46">
        <f>VLOOKUP(H121,'1_Value &amp; risk levers'!$H$9:$O$1048576,7,FALSE)</f>
        <v>0.03</v>
      </c>
      <c r="AM121" s="50">
        <f t="shared" si="36"/>
        <v>2.75E-2</v>
      </c>
      <c r="AN121" s="72">
        <f t="shared" si="37"/>
        <v>0.12790697674418605</v>
      </c>
      <c r="AO121" s="84">
        <f t="shared" si="38"/>
        <v>7.6453719743711434E-3</v>
      </c>
      <c r="AP121" s="84">
        <f t="shared" si="39"/>
        <v>1.2180209420977696E-2</v>
      </c>
      <c r="AQ121" s="55">
        <f t="shared" si="40"/>
        <v>358139.53488372103</v>
      </c>
      <c r="AR121" s="55">
        <f t="shared" si="41"/>
        <v>434883.72093023261</v>
      </c>
      <c r="AS121" s="83">
        <f t="shared" si="25"/>
        <v>41</v>
      </c>
      <c r="AT121" s="50">
        <f t="shared" si="42"/>
        <v>6.66</v>
      </c>
      <c r="AU121" s="55" t="str">
        <f t="shared" si="43"/>
        <v>Medium</v>
      </c>
      <c r="AV121" s="34" t="s">
        <v>1528</v>
      </c>
      <c r="AW121" s="111"/>
      <c r="AX121" s="30" t="s">
        <v>1493</v>
      </c>
      <c r="AY121" s="30"/>
      <c r="AZ121" s="85" t="str">
        <f>IF(ISERROR(_xlfn.XLOOKUP(CONCATENATE(A121,"_",AV121),'Reference-Proof pt impact flag'!$I$3:$I$1048576,'Reference-Proof pt impact flag'!$G$3:$G$1048576)),"",_xlfn.XLOOKUP(CONCATENATE(A121,"_",AV121),'Reference-Proof pt impact flag'!$I$3:$I$1048576,'Reference-Proof pt impact flag'!$G$3:$G$1048576))</f>
        <v/>
      </c>
      <c r="BA121" s="74"/>
      <c r="BB121" s="74"/>
      <c r="BC121" s="74"/>
      <c r="BD121" s="74"/>
      <c r="BE121" s="74"/>
      <c r="BF121" s="74" t="e">
        <f>_xlfn.XLOOKUP(CONCATENATE(H121,"_",AV121),'Test 2 - Proof points - GPT5'!$T:$T,'Test 2 - Proof points - GPT5'!$S:$S)</f>
        <v>#N/A</v>
      </c>
      <c r="BG121" s="74" t="e">
        <f>_xlfn.XLOOKUP(CONCATENATE(H121,"_",AV121),'Test 2 -Proof points - Sonnet'!$AB:$AB,'Test 2 -Proof points - Sonnet'!$AA:$AA)</f>
        <v>#N/A</v>
      </c>
      <c r="BH121" s="74"/>
      <c r="BI121" s="74"/>
      <c r="BJ121" s="74" t="s">
        <v>1550</v>
      </c>
      <c r="BK121" s="30"/>
      <c r="BL121" s="30"/>
      <c r="BM121" s="30"/>
      <c r="BN121" s="30"/>
      <c r="BO121" s="30"/>
      <c r="BP121" s="30"/>
      <c r="BQ121" s="30"/>
      <c r="BR121" s="30"/>
      <c r="BS121" s="30"/>
      <c r="BT121" s="30"/>
      <c r="BU121" s="30"/>
      <c r="BV121" s="113"/>
    </row>
    <row r="122" spans="1:74" ht="203" hidden="1" x14ac:dyDescent="0.35">
      <c r="A122" s="22">
        <v>3</v>
      </c>
      <c r="B122" s="22" t="s">
        <v>1451</v>
      </c>
      <c r="C122" s="22" t="s">
        <v>1452</v>
      </c>
      <c r="D122" s="22" t="s">
        <v>1224</v>
      </c>
      <c r="E122" s="22" t="s">
        <v>1453</v>
      </c>
      <c r="F122" s="22"/>
      <c r="G122" s="22" t="s">
        <v>1274</v>
      </c>
      <c r="H122" s="21" t="s">
        <v>1279</v>
      </c>
      <c r="I122" s="22"/>
      <c r="J122" s="21" t="s">
        <v>1336</v>
      </c>
      <c r="K122" s="30"/>
      <c r="L122" s="30" t="s">
        <v>1239</v>
      </c>
      <c r="M122" s="35" t="str">
        <f>VLOOKUP(H122,'1_Value &amp; risk levers'!$H$9:$O$1048576,2,FALSE)</f>
        <v>No review conducted</v>
      </c>
      <c r="N122" s="35" t="str">
        <f>VLOOKUP(H122,'1_Value &amp; risk levers'!$H$9:$O$1048576,3,FALSE)</f>
        <v>Limited trials for bulk options</v>
      </c>
      <c r="O122" s="35" t="str">
        <f>VLOOKUP(H122,'1_Value &amp; risk levers'!$H$9:$O$1048576,4,FALSE)</f>
        <v>Regular assessments to optimize packaging</v>
      </c>
      <c r="P122" s="35" t="str">
        <f>VLOOKUP(H122,'1_Value &amp; risk levers'!$H$9:$O$1048576,5,FALSE)</f>
        <v>Fully optimized with advanced logistics planning</v>
      </c>
      <c r="Q122" s="77">
        <f>IF(VLOOKUP(H122,'1_Value &amp; risk levers'!$H$9:$T$1048576,13,FALSE)=0,"",VLOOKUP(H122,'1_Value &amp; risk levers'!$H$9:$T$1048576,13,FALSE))</f>
        <v>1</v>
      </c>
      <c r="R122" s="128">
        <f t="shared" si="22"/>
        <v>2</v>
      </c>
      <c r="S122" s="128" t="e">
        <f t="shared" si="23"/>
        <v>#DIV/0!</v>
      </c>
      <c r="T122" s="77"/>
      <c r="U122" s="77"/>
      <c r="V122" s="55"/>
      <c r="W122" s="71">
        <v>0.04</v>
      </c>
      <c r="X122" s="71">
        <v>0.1</v>
      </c>
      <c r="Y122" s="71">
        <f>VLOOKUP(H122,'1_Value &amp; risk levers'!$H$9:$O$1048576,8,FALSE)</f>
        <v>0.8</v>
      </c>
      <c r="Z122" s="51">
        <f t="shared" si="24"/>
        <v>7.0000000000000007E-2</v>
      </c>
      <c r="AA122" s="51">
        <f t="shared" si="26"/>
        <v>8.5000000000000006E-2</v>
      </c>
      <c r="AB122" s="55">
        <f t="shared" si="27"/>
        <v>2800000.0000000005</v>
      </c>
      <c r="AC122" s="55">
        <f t="shared" si="28"/>
        <v>3400000.0000000005</v>
      </c>
      <c r="AD122" s="80">
        <f t="shared" si="29"/>
        <v>7</v>
      </c>
      <c r="AE122" s="84">
        <f t="shared" si="30"/>
        <v>0.48864540816326468</v>
      </c>
      <c r="AF122" s="71" t="str">
        <f t="shared" si="31"/>
        <v>Low</v>
      </c>
      <c r="AG122" s="84">
        <f t="shared" si="32"/>
        <v>5.9772908163265304E-2</v>
      </c>
      <c r="AH122" s="84">
        <f t="shared" si="33"/>
        <v>9.5227091836734709E-2</v>
      </c>
      <c r="AI122" s="73">
        <f t="shared" si="34"/>
        <v>2390916.3265306121</v>
      </c>
      <c r="AJ122" s="73">
        <f t="shared" si="35"/>
        <v>3809083.6734693884</v>
      </c>
      <c r="AK122" s="46">
        <f>VLOOKUP(H122,'1_Value &amp; risk levers'!$H$9:$O$1048576,6,FALSE)</f>
        <v>0.02</v>
      </c>
      <c r="AL122" s="46">
        <f>VLOOKUP(H122,'1_Value &amp; risk levers'!$H$9:$O$1048576,7,FALSE)</f>
        <v>0.03</v>
      </c>
      <c r="AM122" s="50">
        <f t="shared" si="36"/>
        <v>2.75E-2</v>
      </c>
      <c r="AN122" s="72">
        <f t="shared" si="37"/>
        <v>0.12790697674418605</v>
      </c>
      <c r="AO122" s="84">
        <f t="shared" si="38"/>
        <v>7.6453719743711434E-3</v>
      </c>
      <c r="AP122" s="84">
        <f t="shared" si="39"/>
        <v>1.2180209420977696E-2</v>
      </c>
      <c r="AQ122" s="55">
        <f t="shared" si="40"/>
        <v>358139.53488372103</v>
      </c>
      <c r="AR122" s="55">
        <f t="shared" si="41"/>
        <v>434883.72093023261</v>
      </c>
      <c r="AS122" s="83">
        <f t="shared" si="25"/>
        <v>41</v>
      </c>
      <c r="AT122" s="50">
        <f t="shared" si="42"/>
        <v>6.66</v>
      </c>
      <c r="AU122" s="55" t="str">
        <f t="shared" si="43"/>
        <v>Medium</v>
      </c>
      <c r="AV122" s="34" t="s">
        <v>1529</v>
      </c>
      <c r="AW122" s="111"/>
      <c r="AX122" s="30" t="s">
        <v>1493</v>
      </c>
      <c r="AY122" s="30"/>
      <c r="AZ122" s="85" t="str">
        <f>IF(ISERROR(_xlfn.XLOOKUP(CONCATENATE(A122,"_",AV122),'Reference-Proof pt impact flag'!$I$3:$I$1048576,'Reference-Proof pt impact flag'!$G$3:$G$1048576)),"",_xlfn.XLOOKUP(CONCATENATE(A122,"_",AV122),'Reference-Proof pt impact flag'!$I$3:$I$1048576,'Reference-Proof pt impact flag'!$G$3:$G$1048576))</f>
        <v/>
      </c>
      <c r="BA122" s="74"/>
      <c r="BB122" s="74"/>
      <c r="BC122" s="74"/>
      <c r="BD122" s="74"/>
      <c r="BE122" s="74"/>
      <c r="BF122" s="74" t="e">
        <f>_xlfn.XLOOKUP(CONCATENATE(H122,"_",AV122),'Test 2 - Proof points - GPT5'!$T:$T,'Test 2 - Proof points - GPT5'!$S:$S)</f>
        <v>#N/A</v>
      </c>
      <c r="BG122" s="74" t="e">
        <f>_xlfn.XLOOKUP(CONCATENATE(H122,"_",AV122),'Test 2 -Proof points - Sonnet'!$AB:$AB,'Test 2 -Proof points - Sonnet'!$AA:$AA)</f>
        <v>#N/A</v>
      </c>
      <c r="BH122" s="74"/>
      <c r="BI122" s="74"/>
      <c r="BJ122" s="74" t="s">
        <v>1550</v>
      </c>
      <c r="BK122" s="30"/>
      <c r="BL122" s="30"/>
      <c r="BM122" s="30"/>
      <c r="BN122" s="30"/>
      <c r="BO122" s="30"/>
      <c r="BP122" s="30"/>
      <c r="BQ122" s="30"/>
      <c r="BR122" s="30"/>
      <c r="BS122" s="30"/>
      <c r="BT122" s="30"/>
      <c r="BU122" s="30"/>
      <c r="BV122" s="113"/>
    </row>
    <row r="123" spans="1:74" ht="203" hidden="1" x14ac:dyDescent="0.35">
      <c r="A123" s="22">
        <v>3</v>
      </c>
      <c r="B123" s="22" t="s">
        <v>1451</v>
      </c>
      <c r="C123" s="22" t="s">
        <v>1452</v>
      </c>
      <c r="D123" s="22" t="s">
        <v>1224</v>
      </c>
      <c r="E123" s="22" t="s">
        <v>1453</v>
      </c>
      <c r="F123" s="22"/>
      <c r="G123" s="22" t="s">
        <v>1274</v>
      </c>
      <c r="H123" s="21" t="s">
        <v>1279</v>
      </c>
      <c r="I123" s="22"/>
      <c r="J123" s="21" t="s">
        <v>1336</v>
      </c>
      <c r="K123" s="30"/>
      <c r="L123" s="30" t="s">
        <v>1239</v>
      </c>
      <c r="M123" s="35" t="str">
        <f>VLOOKUP(H123,'1_Value &amp; risk levers'!$H$9:$O$1048576,2,FALSE)</f>
        <v>No review conducted</v>
      </c>
      <c r="N123" s="35" t="str">
        <f>VLOOKUP(H123,'1_Value &amp; risk levers'!$H$9:$O$1048576,3,FALSE)</f>
        <v>Limited trials for bulk options</v>
      </c>
      <c r="O123" s="35" t="str">
        <f>VLOOKUP(H123,'1_Value &amp; risk levers'!$H$9:$O$1048576,4,FALSE)</f>
        <v>Regular assessments to optimize packaging</v>
      </c>
      <c r="P123" s="35" t="str">
        <f>VLOOKUP(H123,'1_Value &amp; risk levers'!$H$9:$O$1048576,5,FALSE)</f>
        <v>Fully optimized with advanced logistics planning</v>
      </c>
      <c r="Q123" s="77">
        <f>IF(VLOOKUP(H123,'1_Value &amp; risk levers'!$H$9:$T$1048576,13,FALSE)=0,"",VLOOKUP(H123,'1_Value &amp; risk levers'!$H$9:$T$1048576,13,FALSE))</f>
        <v>1</v>
      </c>
      <c r="R123" s="128">
        <f t="shared" si="22"/>
        <v>2</v>
      </c>
      <c r="S123" s="128" t="e">
        <f t="shared" si="23"/>
        <v>#DIV/0!</v>
      </c>
      <c r="T123" s="77"/>
      <c r="U123" s="77"/>
      <c r="V123" s="55"/>
      <c r="W123" s="71">
        <v>0.04</v>
      </c>
      <c r="X123" s="71">
        <v>0.1</v>
      </c>
      <c r="Y123" s="71">
        <f>VLOOKUP(H123,'1_Value &amp; risk levers'!$H$9:$O$1048576,8,FALSE)</f>
        <v>0.8</v>
      </c>
      <c r="Z123" s="51">
        <f t="shared" si="24"/>
        <v>7.0000000000000007E-2</v>
      </c>
      <c r="AA123" s="51">
        <f t="shared" si="26"/>
        <v>8.5000000000000006E-2</v>
      </c>
      <c r="AB123" s="55">
        <f t="shared" si="27"/>
        <v>2800000.0000000005</v>
      </c>
      <c r="AC123" s="55">
        <f t="shared" si="28"/>
        <v>3400000.0000000005</v>
      </c>
      <c r="AD123" s="80">
        <f t="shared" si="29"/>
        <v>7</v>
      </c>
      <c r="AE123" s="84">
        <f t="shared" si="30"/>
        <v>0.48864540816326468</v>
      </c>
      <c r="AF123" s="71" t="str">
        <f t="shared" si="31"/>
        <v>Low</v>
      </c>
      <c r="AG123" s="84">
        <f t="shared" si="32"/>
        <v>5.9772908163265304E-2</v>
      </c>
      <c r="AH123" s="84">
        <f t="shared" si="33"/>
        <v>9.5227091836734709E-2</v>
      </c>
      <c r="AI123" s="73">
        <f t="shared" si="34"/>
        <v>2390916.3265306121</v>
      </c>
      <c r="AJ123" s="73">
        <f t="shared" si="35"/>
        <v>3809083.6734693884</v>
      </c>
      <c r="AK123" s="46">
        <f>VLOOKUP(H123,'1_Value &amp; risk levers'!$H$9:$O$1048576,6,FALSE)</f>
        <v>0.02</v>
      </c>
      <c r="AL123" s="46">
        <f>VLOOKUP(H123,'1_Value &amp; risk levers'!$H$9:$O$1048576,7,FALSE)</f>
        <v>0.03</v>
      </c>
      <c r="AM123" s="50">
        <f t="shared" si="36"/>
        <v>2.75E-2</v>
      </c>
      <c r="AN123" s="72">
        <f t="shared" si="37"/>
        <v>0.12790697674418605</v>
      </c>
      <c r="AO123" s="84">
        <f t="shared" si="38"/>
        <v>7.6453719743711434E-3</v>
      </c>
      <c r="AP123" s="84">
        <f t="shared" si="39"/>
        <v>1.2180209420977696E-2</v>
      </c>
      <c r="AQ123" s="55">
        <f t="shared" si="40"/>
        <v>358139.53488372103</v>
      </c>
      <c r="AR123" s="55">
        <f t="shared" si="41"/>
        <v>434883.72093023261</v>
      </c>
      <c r="AS123" s="83">
        <f t="shared" si="25"/>
        <v>41</v>
      </c>
      <c r="AT123" s="50">
        <f t="shared" si="42"/>
        <v>6.66</v>
      </c>
      <c r="AU123" s="55" t="str">
        <f t="shared" si="43"/>
        <v>Medium</v>
      </c>
      <c r="AV123" s="34" t="s">
        <v>1530</v>
      </c>
      <c r="AW123" s="111"/>
      <c r="AX123" s="30" t="s">
        <v>1493</v>
      </c>
      <c r="AY123" s="30"/>
      <c r="AZ123" s="85" t="str">
        <f>IF(ISERROR(_xlfn.XLOOKUP(CONCATENATE(A123,"_",AV123),'Reference-Proof pt impact flag'!$I$3:$I$1048576,'Reference-Proof pt impact flag'!$G$3:$G$1048576)),"",_xlfn.XLOOKUP(CONCATENATE(A123,"_",AV123),'Reference-Proof pt impact flag'!$I$3:$I$1048576,'Reference-Proof pt impact flag'!$G$3:$G$1048576))</f>
        <v/>
      </c>
      <c r="BA123" s="74"/>
      <c r="BB123" s="74"/>
      <c r="BC123" s="74"/>
      <c r="BD123" s="74"/>
      <c r="BE123" s="74"/>
      <c r="BF123" s="74" t="e">
        <f>_xlfn.XLOOKUP(CONCATENATE(H123,"_",AV123),'Test 2 - Proof points - GPT5'!$T:$T,'Test 2 - Proof points - GPT5'!$S:$S)</f>
        <v>#N/A</v>
      </c>
      <c r="BG123" s="74" t="e">
        <f>_xlfn.XLOOKUP(CONCATENATE(H123,"_",AV123),'Test 2 -Proof points - Sonnet'!$AB:$AB,'Test 2 -Proof points - Sonnet'!$AA:$AA)</f>
        <v>#N/A</v>
      </c>
      <c r="BH123" s="74"/>
      <c r="BI123" s="74"/>
      <c r="BJ123" s="74" t="s">
        <v>1550</v>
      </c>
      <c r="BK123" s="30"/>
      <c r="BL123" s="30"/>
      <c r="BM123" s="30"/>
      <c r="BN123" s="30"/>
      <c r="BO123" s="30"/>
      <c r="BP123" s="30"/>
      <c r="BQ123" s="30"/>
      <c r="BR123" s="30"/>
      <c r="BS123" s="30"/>
      <c r="BT123" s="30"/>
      <c r="BU123" s="30"/>
      <c r="BV123" s="113"/>
    </row>
    <row r="124" spans="1:74" ht="203" hidden="1" x14ac:dyDescent="0.35">
      <c r="A124" s="22">
        <v>3</v>
      </c>
      <c r="B124" s="22" t="s">
        <v>1451</v>
      </c>
      <c r="C124" s="22" t="s">
        <v>1452</v>
      </c>
      <c r="D124" s="22" t="s">
        <v>1224</v>
      </c>
      <c r="E124" s="22" t="s">
        <v>1453</v>
      </c>
      <c r="F124" s="22"/>
      <c r="G124" s="22" t="s">
        <v>1274</v>
      </c>
      <c r="H124" s="21" t="s">
        <v>1279</v>
      </c>
      <c r="I124" s="22"/>
      <c r="J124" s="21" t="s">
        <v>1336</v>
      </c>
      <c r="K124" s="30"/>
      <c r="L124" s="30" t="s">
        <v>1239</v>
      </c>
      <c r="M124" s="35" t="str">
        <f>VLOOKUP(H124,'1_Value &amp; risk levers'!$H$9:$O$1048576,2,FALSE)</f>
        <v>No review conducted</v>
      </c>
      <c r="N124" s="35" t="str">
        <f>VLOOKUP(H124,'1_Value &amp; risk levers'!$H$9:$O$1048576,3,FALSE)</f>
        <v>Limited trials for bulk options</v>
      </c>
      <c r="O124" s="35" t="str">
        <f>VLOOKUP(H124,'1_Value &amp; risk levers'!$H$9:$O$1048576,4,FALSE)</f>
        <v>Regular assessments to optimize packaging</v>
      </c>
      <c r="P124" s="35" t="str">
        <f>VLOOKUP(H124,'1_Value &amp; risk levers'!$H$9:$O$1048576,5,FALSE)</f>
        <v>Fully optimized with advanced logistics planning</v>
      </c>
      <c r="Q124" s="77">
        <f>IF(VLOOKUP(H124,'1_Value &amp; risk levers'!$H$9:$T$1048576,13,FALSE)=0,"",VLOOKUP(H124,'1_Value &amp; risk levers'!$H$9:$T$1048576,13,FALSE))</f>
        <v>1</v>
      </c>
      <c r="R124" s="128">
        <f t="shared" si="22"/>
        <v>2</v>
      </c>
      <c r="S124" s="128" t="e">
        <f t="shared" si="23"/>
        <v>#DIV/0!</v>
      </c>
      <c r="T124" s="77"/>
      <c r="U124" s="77"/>
      <c r="V124" s="55"/>
      <c r="W124" s="71">
        <v>0.04</v>
      </c>
      <c r="X124" s="71">
        <v>0.1</v>
      </c>
      <c r="Y124" s="71">
        <f>VLOOKUP(H124,'1_Value &amp; risk levers'!$H$9:$O$1048576,8,FALSE)</f>
        <v>0.8</v>
      </c>
      <c r="Z124" s="51">
        <f t="shared" si="24"/>
        <v>7.0000000000000007E-2</v>
      </c>
      <c r="AA124" s="51">
        <f t="shared" si="26"/>
        <v>8.5000000000000006E-2</v>
      </c>
      <c r="AB124" s="55">
        <f t="shared" si="27"/>
        <v>2800000.0000000005</v>
      </c>
      <c r="AC124" s="55">
        <f t="shared" si="28"/>
        <v>3400000.0000000005</v>
      </c>
      <c r="AD124" s="80">
        <f t="shared" si="29"/>
        <v>7</v>
      </c>
      <c r="AE124" s="84">
        <f t="shared" si="30"/>
        <v>0.48864540816326468</v>
      </c>
      <c r="AF124" s="71" t="str">
        <f t="shared" si="31"/>
        <v>Low</v>
      </c>
      <c r="AG124" s="84">
        <f t="shared" si="32"/>
        <v>5.9772908163265304E-2</v>
      </c>
      <c r="AH124" s="84">
        <f t="shared" si="33"/>
        <v>9.5227091836734709E-2</v>
      </c>
      <c r="AI124" s="73">
        <f t="shared" si="34"/>
        <v>2390916.3265306121</v>
      </c>
      <c r="AJ124" s="73">
        <f t="shared" si="35"/>
        <v>3809083.6734693884</v>
      </c>
      <c r="AK124" s="46">
        <f>VLOOKUP(H124,'1_Value &amp; risk levers'!$H$9:$O$1048576,6,FALSE)</f>
        <v>0.02</v>
      </c>
      <c r="AL124" s="46">
        <f>VLOOKUP(H124,'1_Value &amp; risk levers'!$H$9:$O$1048576,7,FALSE)</f>
        <v>0.03</v>
      </c>
      <c r="AM124" s="50">
        <f t="shared" si="36"/>
        <v>2.75E-2</v>
      </c>
      <c r="AN124" s="72">
        <f t="shared" si="37"/>
        <v>0.12790697674418605</v>
      </c>
      <c r="AO124" s="84">
        <f t="shared" si="38"/>
        <v>7.6453719743711434E-3</v>
      </c>
      <c r="AP124" s="84">
        <f t="shared" si="39"/>
        <v>1.2180209420977696E-2</v>
      </c>
      <c r="AQ124" s="55">
        <f t="shared" si="40"/>
        <v>358139.53488372103</v>
      </c>
      <c r="AR124" s="55">
        <f t="shared" si="41"/>
        <v>434883.72093023261</v>
      </c>
      <c r="AS124" s="83">
        <f t="shared" si="25"/>
        <v>41</v>
      </c>
      <c r="AT124" s="50">
        <f t="shared" si="42"/>
        <v>6.66</v>
      </c>
      <c r="AU124" s="55" t="str">
        <f t="shared" si="43"/>
        <v>Medium</v>
      </c>
      <c r="AV124" s="34" t="s">
        <v>1531</v>
      </c>
      <c r="AW124" s="111"/>
      <c r="AX124" s="30" t="s">
        <v>1493</v>
      </c>
      <c r="AY124" s="30"/>
      <c r="AZ124" s="85" t="str">
        <f>IF(ISERROR(_xlfn.XLOOKUP(CONCATENATE(A124,"_",AV124),'Reference-Proof pt impact flag'!$I$3:$I$1048576,'Reference-Proof pt impact flag'!$G$3:$G$1048576)),"",_xlfn.XLOOKUP(CONCATENATE(A124,"_",AV124),'Reference-Proof pt impact flag'!$I$3:$I$1048576,'Reference-Proof pt impact flag'!$G$3:$G$1048576))</f>
        <v/>
      </c>
      <c r="BA124" s="74"/>
      <c r="BB124" s="74"/>
      <c r="BC124" s="74"/>
      <c r="BD124" s="74"/>
      <c r="BE124" s="74"/>
      <c r="BF124" s="74" t="e">
        <f>_xlfn.XLOOKUP(CONCATENATE(H124,"_",AV124),'Test 2 - Proof points - GPT5'!$T:$T,'Test 2 - Proof points - GPT5'!$S:$S)</f>
        <v>#N/A</v>
      </c>
      <c r="BG124" s="74" t="e">
        <f>_xlfn.XLOOKUP(CONCATENATE(H124,"_",AV124),'Test 2 -Proof points - Sonnet'!$AB:$AB,'Test 2 -Proof points - Sonnet'!$AA:$AA)</f>
        <v>#N/A</v>
      </c>
      <c r="BH124" s="74"/>
      <c r="BI124" s="74"/>
      <c r="BJ124" s="74" t="s">
        <v>1550</v>
      </c>
      <c r="BK124" s="30"/>
      <c r="BL124" s="30"/>
      <c r="BM124" s="30"/>
      <c r="BN124" s="30"/>
      <c r="BO124" s="30"/>
      <c r="BP124" s="30"/>
      <c r="BQ124" s="30"/>
      <c r="BR124" s="30"/>
      <c r="BS124" s="30"/>
      <c r="BT124" s="30"/>
      <c r="BU124" s="30"/>
      <c r="BV124" s="113"/>
    </row>
    <row r="125" spans="1:74" ht="203" hidden="1" x14ac:dyDescent="0.35">
      <c r="A125" s="22">
        <v>3</v>
      </c>
      <c r="B125" s="22" t="s">
        <v>1451</v>
      </c>
      <c r="C125" s="22" t="s">
        <v>1452</v>
      </c>
      <c r="D125" s="22" t="s">
        <v>1224</v>
      </c>
      <c r="E125" s="22" t="s">
        <v>1453</v>
      </c>
      <c r="F125" s="22"/>
      <c r="G125" s="22" t="s">
        <v>1274</v>
      </c>
      <c r="H125" s="21" t="s">
        <v>1279</v>
      </c>
      <c r="I125" s="22"/>
      <c r="J125" s="21" t="s">
        <v>1336</v>
      </c>
      <c r="K125" s="30"/>
      <c r="L125" s="30" t="s">
        <v>1239</v>
      </c>
      <c r="M125" s="35" t="str">
        <f>VLOOKUP(H125,'1_Value &amp; risk levers'!$H$9:$O$1048576,2,FALSE)</f>
        <v>No review conducted</v>
      </c>
      <c r="N125" s="35" t="str">
        <f>VLOOKUP(H125,'1_Value &amp; risk levers'!$H$9:$O$1048576,3,FALSE)</f>
        <v>Limited trials for bulk options</v>
      </c>
      <c r="O125" s="35" t="str">
        <f>VLOOKUP(H125,'1_Value &amp; risk levers'!$H$9:$O$1048576,4,FALSE)</f>
        <v>Regular assessments to optimize packaging</v>
      </c>
      <c r="P125" s="35" t="str">
        <f>VLOOKUP(H125,'1_Value &amp; risk levers'!$H$9:$O$1048576,5,FALSE)</f>
        <v>Fully optimized with advanced logistics planning</v>
      </c>
      <c r="Q125" s="77">
        <f>IF(VLOOKUP(H125,'1_Value &amp; risk levers'!$H$9:$T$1048576,13,FALSE)=0,"",VLOOKUP(H125,'1_Value &amp; risk levers'!$H$9:$T$1048576,13,FALSE))</f>
        <v>1</v>
      </c>
      <c r="R125" s="128">
        <f t="shared" si="22"/>
        <v>2</v>
      </c>
      <c r="S125" s="128" t="e">
        <f t="shared" si="23"/>
        <v>#DIV/0!</v>
      </c>
      <c r="T125" s="77"/>
      <c r="U125" s="77"/>
      <c r="V125" s="55"/>
      <c r="W125" s="71">
        <v>0.04</v>
      </c>
      <c r="X125" s="71">
        <v>0.1</v>
      </c>
      <c r="Y125" s="71">
        <f>VLOOKUP(H125,'1_Value &amp; risk levers'!$H$9:$O$1048576,8,FALSE)</f>
        <v>0.8</v>
      </c>
      <c r="Z125" s="51">
        <f t="shared" si="24"/>
        <v>7.0000000000000007E-2</v>
      </c>
      <c r="AA125" s="51">
        <f t="shared" si="26"/>
        <v>8.5000000000000006E-2</v>
      </c>
      <c r="AB125" s="55">
        <f t="shared" si="27"/>
        <v>2800000.0000000005</v>
      </c>
      <c r="AC125" s="55">
        <f t="shared" si="28"/>
        <v>3400000.0000000005</v>
      </c>
      <c r="AD125" s="80">
        <f t="shared" si="29"/>
        <v>7</v>
      </c>
      <c r="AE125" s="84">
        <f t="shared" si="30"/>
        <v>0.48864540816326468</v>
      </c>
      <c r="AF125" s="71" t="str">
        <f t="shared" si="31"/>
        <v>Low</v>
      </c>
      <c r="AG125" s="84">
        <f t="shared" si="32"/>
        <v>5.9772908163265304E-2</v>
      </c>
      <c r="AH125" s="84">
        <f t="shared" si="33"/>
        <v>9.5227091836734709E-2</v>
      </c>
      <c r="AI125" s="73">
        <f t="shared" si="34"/>
        <v>2390916.3265306121</v>
      </c>
      <c r="AJ125" s="73">
        <f t="shared" si="35"/>
        <v>3809083.6734693884</v>
      </c>
      <c r="AK125" s="46">
        <f>VLOOKUP(H125,'1_Value &amp; risk levers'!$H$9:$O$1048576,6,FALSE)</f>
        <v>0.02</v>
      </c>
      <c r="AL125" s="46">
        <f>VLOOKUP(H125,'1_Value &amp; risk levers'!$H$9:$O$1048576,7,FALSE)</f>
        <v>0.03</v>
      </c>
      <c r="AM125" s="50">
        <f t="shared" si="36"/>
        <v>2.75E-2</v>
      </c>
      <c r="AN125" s="72">
        <f t="shared" si="37"/>
        <v>0.12790697674418605</v>
      </c>
      <c r="AO125" s="84">
        <f t="shared" si="38"/>
        <v>7.6453719743711434E-3</v>
      </c>
      <c r="AP125" s="84">
        <f t="shared" si="39"/>
        <v>1.2180209420977696E-2</v>
      </c>
      <c r="AQ125" s="55">
        <f t="shared" si="40"/>
        <v>358139.53488372103</v>
      </c>
      <c r="AR125" s="55">
        <f t="shared" si="41"/>
        <v>434883.72093023261</v>
      </c>
      <c r="AS125" s="83">
        <f t="shared" si="25"/>
        <v>41</v>
      </c>
      <c r="AT125" s="50">
        <f t="shared" si="42"/>
        <v>6.66</v>
      </c>
      <c r="AU125" s="55" t="str">
        <f t="shared" si="43"/>
        <v>Medium</v>
      </c>
      <c r="AV125" s="34" t="s">
        <v>1532</v>
      </c>
      <c r="AW125" s="111"/>
      <c r="AX125" s="30" t="s">
        <v>1493</v>
      </c>
      <c r="AY125" s="30"/>
      <c r="AZ125" s="85" t="str">
        <f>IF(ISERROR(_xlfn.XLOOKUP(CONCATENATE(A125,"_",AV125),'Reference-Proof pt impact flag'!$I$3:$I$1048576,'Reference-Proof pt impact flag'!$G$3:$G$1048576)),"",_xlfn.XLOOKUP(CONCATENATE(A125,"_",AV125),'Reference-Proof pt impact flag'!$I$3:$I$1048576,'Reference-Proof pt impact flag'!$G$3:$G$1048576))</f>
        <v/>
      </c>
      <c r="BA125" s="74"/>
      <c r="BB125" s="74"/>
      <c r="BC125" s="74"/>
      <c r="BD125" s="74"/>
      <c r="BE125" s="74"/>
      <c r="BF125" s="74" t="e">
        <f>_xlfn.XLOOKUP(CONCATENATE(H125,"_",AV125),'Test 2 - Proof points - GPT5'!$T:$T,'Test 2 - Proof points - GPT5'!$S:$S)</f>
        <v>#N/A</v>
      </c>
      <c r="BG125" s="74" t="e">
        <f>_xlfn.XLOOKUP(CONCATENATE(H125,"_",AV125),'Test 2 -Proof points - Sonnet'!$AB:$AB,'Test 2 -Proof points - Sonnet'!$AA:$AA)</f>
        <v>#N/A</v>
      </c>
      <c r="BH125" s="74"/>
      <c r="BI125" s="74"/>
      <c r="BJ125" s="74" t="s">
        <v>1550</v>
      </c>
      <c r="BK125" s="30"/>
      <c r="BL125" s="30"/>
      <c r="BM125" s="30"/>
      <c r="BN125" s="30"/>
      <c r="BO125" s="30"/>
      <c r="BP125" s="30"/>
      <c r="BQ125" s="30"/>
      <c r="BR125" s="30"/>
      <c r="BS125" s="30"/>
      <c r="BT125" s="30"/>
      <c r="BU125" s="30"/>
      <c r="BV125" s="113"/>
    </row>
    <row r="126" spans="1:74" ht="246.5" hidden="1" x14ac:dyDescent="0.35">
      <c r="A126" s="22">
        <v>4</v>
      </c>
      <c r="B126" s="22" t="s">
        <v>1451</v>
      </c>
      <c r="C126" s="22" t="s">
        <v>1452</v>
      </c>
      <c r="D126" s="22" t="s">
        <v>1224</v>
      </c>
      <c r="E126" s="22" t="s">
        <v>1453</v>
      </c>
      <c r="F126" s="22"/>
      <c r="G126" s="22" t="s">
        <v>1274</v>
      </c>
      <c r="H126" s="21" t="s">
        <v>1285</v>
      </c>
      <c r="I126" s="101"/>
      <c r="J126" s="21" t="s">
        <v>1311</v>
      </c>
      <c r="K126" s="30"/>
      <c r="L126" s="35" t="s">
        <v>1290</v>
      </c>
      <c r="M126" s="35" t="str">
        <f>VLOOKUP(H126,'1_Value &amp; risk levers'!$H$9:$O$1048576,2,FALSE)</f>
        <v>Single sourced / reliance on a single supplier forspecialty products</v>
      </c>
      <c r="N126" s="35" t="str">
        <f>VLOOKUP(H126,'1_Value &amp; risk levers'!$H$9:$O$1048576,3,FALSE)</f>
        <v>Largely monopolistic for most specialty products e.g., a pool of 2-3 qualified / approved suppliers to choose from</v>
      </c>
      <c r="O126" s="35" t="str">
        <f>VLOOKUP(H126,'1_Value &amp; risk levers'!$H$9:$O$1048576,4,FALSE)</f>
        <v>Multiple qualified suppliers / preferred supplier list for majoe specialty products</v>
      </c>
      <c r="P126" s="35" t="str">
        <f>VLOOKUP(H126,'1_Value &amp; risk levers'!$H$9:$O$1048576,5,FALSE)</f>
        <v>Diversified sourcing options maintained for all specialties</v>
      </c>
      <c r="Q126" s="77">
        <f>IF(VLOOKUP(H126,'1_Value &amp; risk levers'!$H$9:$T$1048576,13,FALSE)=0,"",VLOOKUP(H126,'1_Value &amp; risk levers'!$H$9:$T$1048576,13,FALSE))</f>
        <v>2</v>
      </c>
      <c r="R126" s="128">
        <f t="shared" si="22"/>
        <v>2</v>
      </c>
      <c r="S126" s="128" t="e">
        <f t="shared" si="23"/>
        <v>#DIV/0!</v>
      </c>
      <c r="T126" s="77"/>
      <c r="U126" s="77"/>
      <c r="V126" s="55"/>
      <c r="W126" s="71">
        <v>0.04</v>
      </c>
      <c r="X126" s="71">
        <v>0.1</v>
      </c>
      <c r="Y126" s="71">
        <f>VLOOKUP(H126,'1_Value &amp; risk levers'!$H$9:$O$1048576,8,FALSE)</f>
        <v>0.8</v>
      </c>
      <c r="Z126" s="51">
        <f t="shared" si="24"/>
        <v>7.0000000000000007E-2</v>
      </c>
      <c r="AA126" s="51">
        <f t="shared" si="26"/>
        <v>8.5000000000000006E-2</v>
      </c>
      <c r="AB126" s="55">
        <f t="shared" si="27"/>
        <v>2800000.0000000005</v>
      </c>
      <c r="AC126" s="55">
        <f t="shared" si="28"/>
        <v>3400000.0000000005</v>
      </c>
      <c r="AD126" s="80">
        <f t="shared" si="29"/>
        <v>7</v>
      </c>
      <c r="AE126" s="84">
        <f t="shared" si="30"/>
        <v>0.48864540816326468</v>
      </c>
      <c r="AF126" s="71" t="str">
        <f t="shared" si="31"/>
        <v>Low</v>
      </c>
      <c r="AG126" s="84">
        <f t="shared" si="32"/>
        <v>5.9772908163265304E-2</v>
      </c>
      <c r="AH126" s="84">
        <f t="shared" si="33"/>
        <v>9.5227091836734709E-2</v>
      </c>
      <c r="AI126" s="73">
        <f t="shared" si="34"/>
        <v>2390916.3265306121</v>
      </c>
      <c r="AJ126" s="73">
        <f t="shared" si="35"/>
        <v>3809083.6734693884</v>
      </c>
      <c r="AK126" s="46">
        <f>VLOOKUP(H126,'1_Value &amp; risk levers'!$H$9:$O$1048576,6,FALSE)</f>
        <v>0.02</v>
      </c>
      <c r="AL126" s="46">
        <f>VLOOKUP(H126,'1_Value &amp; risk levers'!$H$9:$O$1048576,7,FALSE)</f>
        <v>0.05</v>
      </c>
      <c r="AM126" s="50">
        <f t="shared" si="36"/>
        <v>3.5000000000000003E-2</v>
      </c>
      <c r="AN126" s="72">
        <f t="shared" si="37"/>
        <v>0.16279069767441862</v>
      </c>
      <c r="AO126" s="84">
        <f t="shared" si="38"/>
        <v>9.73047342192691E-3</v>
      </c>
      <c r="AP126" s="84">
        <f t="shared" si="39"/>
        <v>1.5502084717607978E-2</v>
      </c>
      <c r="AQ126" s="55">
        <f t="shared" si="40"/>
        <v>455813.95348837221</v>
      </c>
      <c r="AR126" s="55">
        <f t="shared" si="41"/>
        <v>553488.37209302338</v>
      </c>
      <c r="AS126" s="83">
        <f t="shared" si="25"/>
        <v>41</v>
      </c>
      <c r="AT126" s="50">
        <f t="shared" si="42"/>
        <v>3.5400000000000005</v>
      </c>
      <c r="AU126" s="55" t="str">
        <f t="shared" si="43"/>
        <v>Low</v>
      </c>
      <c r="AV126" s="36" t="s">
        <v>1454</v>
      </c>
      <c r="AW126" s="109" t="s">
        <v>1455</v>
      </c>
      <c r="AX126" s="37" t="s">
        <v>1456</v>
      </c>
      <c r="AZ126" s="85" t="str">
        <f>IF(ISERROR(_xlfn.XLOOKUP(CONCATENATE(A126,"_",AV126),'Reference-Proof pt impact flag'!$I$3:$I$1048576,'Reference-Proof pt impact flag'!$G$3:$G$1048576)),"",_xlfn.XLOOKUP(CONCATENATE(A126,"_",AV126),'Reference-Proof pt impact flag'!$I$3:$I$1048576,'Reference-Proof pt impact flag'!$G$3:$G$1048576))</f>
        <v/>
      </c>
      <c r="BA126" s="74"/>
      <c r="BC126" s="30"/>
      <c r="BD126" s="30"/>
      <c r="BE126" s="74" t="s">
        <v>1557</v>
      </c>
      <c r="BF126" s="74" t="e">
        <f>_xlfn.XLOOKUP(CONCATENATE(H126,"_",AV126),'Test 2 - Proof points - GPT5'!$T:$T,'Test 2 - Proof points - GPT5'!$S:$S)</f>
        <v>#N/A</v>
      </c>
      <c r="BG126" s="74" t="e">
        <f>_xlfn.XLOOKUP(CONCATENATE(H126,"_",AV126),'Test 2 -Proof points - Sonnet'!$AB:$AB,'Test 2 -Proof points - Sonnet'!$AA:$AA)</f>
        <v>#N/A</v>
      </c>
      <c r="BH126" s="74"/>
      <c r="BI126" s="74"/>
      <c r="BJ126" s="74" t="s">
        <v>1558</v>
      </c>
      <c r="BK126" s="30"/>
      <c r="BL126" s="30" t="s">
        <v>132</v>
      </c>
      <c r="BM126" s="30"/>
      <c r="BN126" s="30"/>
      <c r="BO126" s="30"/>
      <c r="BP126" s="30"/>
      <c r="BQ126" s="30"/>
      <c r="BR126" s="30"/>
      <c r="BS126" s="30"/>
      <c r="BT126" s="30"/>
      <c r="BU126" s="30"/>
      <c r="BV126" s="113"/>
    </row>
    <row r="127" spans="1:74" ht="217.5" hidden="1" x14ac:dyDescent="0.35">
      <c r="A127" s="22">
        <v>4</v>
      </c>
      <c r="B127" s="22" t="s">
        <v>1451</v>
      </c>
      <c r="C127" s="22" t="s">
        <v>1452</v>
      </c>
      <c r="D127" s="22" t="s">
        <v>1224</v>
      </c>
      <c r="E127" s="22" t="s">
        <v>1453</v>
      </c>
      <c r="F127" s="22"/>
      <c r="G127" s="22" t="s">
        <v>1274</v>
      </c>
      <c r="H127" s="21" t="s">
        <v>1285</v>
      </c>
      <c r="I127" s="101"/>
      <c r="J127" s="21" t="s">
        <v>1311</v>
      </c>
      <c r="K127" s="30"/>
      <c r="L127" s="35" t="s">
        <v>1290</v>
      </c>
      <c r="M127" s="35" t="str">
        <f>VLOOKUP(H127,'1_Value &amp; risk levers'!$H$9:$O$1048576,2,FALSE)</f>
        <v>Single sourced / reliance on a single supplier forspecialty products</v>
      </c>
      <c r="N127" s="35" t="str">
        <f>VLOOKUP(H127,'1_Value &amp; risk levers'!$H$9:$O$1048576,3,FALSE)</f>
        <v>Largely monopolistic for most specialty products e.g., a pool of 2-3 qualified / approved suppliers to choose from</v>
      </c>
      <c r="O127" s="35" t="str">
        <f>VLOOKUP(H127,'1_Value &amp; risk levers'!$H$9:$O$1048576,4,FALSE)</f>
        <v>Multiple qualified suppliers / preferred supplier list for majoe specialty products</v>
      </c>
      <c r="P127" s="35" t="str">
        <f>VLOOKUP(H127,'1_Value &amp; risk levers'!$H$9:$O$1048576,5,FALSE)</f>
        <v>Diversified sourcing options maintained for all specialties</v>
      </c>
      <c r="Q127" s="77">
        <f>IF(VLOOKUP(H127,'1_Value &amp; risk levers'!$H$9:$T$1048576,13,FALSE)=0,"",VLOOKUP(H127,'1_Value &amp; risk levers'!$H$9:$T$1048576,13,FALSE))</f>
        <v>2</v>
      </c>
      <c r="R127" s="128">
        <f t="shared" si="22"/>
        <v>2</v>
      </c>
      <c r="S127" s="128" t="e">
        <f t="shared" si="23"/>
        <v>#DIV/0!</v>
      </c>
      <c r="T127" s="77"/>
      <c r="U127" s="77"/>
      <c r="V127" s="55"/>
      <c r="W127" s="71">
        <v>0.04</v>
      </c>
      <c r="X127" s="71">
        <v>0.1</v>
      </c>
      <c r="Y127" s="71">
        <f>VLOOKUP(H127,'1_Value &amp; risk levers'!$H$9:$O$1048576,8,FALSE)</f>
        <v>0.8</v>
      </c>
      <c r="Z127" s="51">
        <f t="shared" si="24"/>
        <v>7.0000000000000007E-2</v>
      </c>
      <c r="AA127" s="51">
        <f t="shared" si="26"/>
        <v>8.5000000000000006E-2</v>
      </c>
      <c r="AB127" s="55">
        <f t="shared" si="27"/>
        <v>2800000.0000000005</v>
      </c>
      <c r="AC127" s="55">
        <f t="shared" si="28"/>
        <v>3400000.0000000005</v>
      </c>
      <c r="AD127" s="80">
        <f t="shared" si="29"/>
        <v>7</v>
      </c>
      <c r="AE127" s="84">
        <f t="shared" si="30"/>
        <v>0.48864540816326468</v>
      </c>
      <c r="AF127" s="71" t="str">
        <f t="shared" si="31"/>
        <v>Low</v>
      </c>
      <c r="AG127" s="84">
        <f t="shared" si="32"/>
        <v>5.9772908163265304E-2</v>
      </c>
      <c r="AH127" s="84">
        <f t="shared" si="33"/>
        <v>9.5227091836734709E-2</v>
      </c>
      <c r="AI127" s="73">
        <f t="shared" si="34"/>
        <v>2390916.3265306121</v>
      </c>
      <c r="AJ127" s="73">
        <f t="shared" si="35"/>
        <v>3809083.6734693884</v>
      </c>
      <c r="AK127" s="46">
        <f>VLOOKUP(H127,'1_Value &amp; risk levers'!$H$9:$O$1048576,6,FALSE)</f>
        <v>0.02</v>
      </c>
      <c r="AL127" s="46">
        <f>VLOOKUP(H127,'1_Value &amp; risk levers'!$H$9:$O$1048576,7,FALSE)</f>
        <v>0.05</v>
      </c>
      <c r="AM127" s="50">
        <f t="shared" si="36"/>
        <v>3.5000000000000003E-2</v>
      </c>
      <c r="AN127" s="72">
        <f t="shared" si="37"/>
        <v>0.16279069767441862</v>
      </c>
      <c r="AO127" s="84">
        <f t="shared" si="38"/>
        <v>9.73047342192691E-3</v>
      </c>
      <c r="AP127" s="84">
        <f t="shared" si="39"/>
        <v>1.5502084717607978E-2</v>
      </c>
      <c r="AQ127" s="55">
        <f t="shared" si="40"/>
        <v>455813.95348837221</v>
      </c>
      <c r="AR127" s="55">
        <f t="shared" si="41"/>
        <v>553488.37209302338</v>
      </c>
      <c r="AS127" s="83">
        <f t="shared" si="25"/>
        <v>41</v>
      </c>
      <c r="AT127" s="50">
        <f t="shared" si="42"/>
        <v>3.5400000000000005</v>
      </c>
      <c r="AU127" s="55" t="str">
        <f t="shared" si="43"/>
        <v>Low</v>
      </c>
      <c r="AV127" s="36" t="s">
        <v>1463</v>
      </c>
      <c r="AW127" s="109" t="s">
        <v>1464</v>
      </c>
      <c r="AX127" s="37" t="s">
        <v>1456</v>
      </c>
      <c r="AY127" s="27" t="s">
        <v>1559</v>
      </c>
      <c r="AZ127" s="85" t="str">
        <f>IF(ISERROR(_xlfn.XLOOKUP(CONCATENATE(A127,"_",AV127),'Reference-Proof pt impact flag'!$I$3:$I$1048576,'Reference-Proof pt impact flag'!$G$3:$G$1048576)),"",_xlfn.XLOOKUP(CONCATENATE(A127,"_",AV127),'Reference-Proof pt impact flag'!$I$3:$I$1048576,'Reference-Proof pt impact flag'!$G$3:$G$1048576))</f>
        <v>High</v>
      </c>
      <c r="BA127" s="27" t="s">
        <v>1458</v>
      </c>
      <c r="BB127" s="30"/>
      <c r="BC127" s="74"/>
      <c r="BD127" s="74"/>
      <c r="BE127" s="74"/>
      <c r="BF127" s="74" t="str">
        <f>_xlfn.XLOOKUP(CONCATENATE(H127,"_",AV127),'Test 2 - Proof points - GPT5'!$T:$T,'Test 2 - Proof points - GPT5'!$S:$S)</f>
        <v>Insights: Supplier base: 87 vendors; Top-1 share 8.6%; HHI ≈ 344 → fragmented. Leverage via bundled bids and two-tiering is feasible. Actions: Set minimum 2 qualified suppliers per critical SKU/region; design dual-source splits (60/40) with quarterly price review and volume swing clauses.</v>
      </c>
      <c r="BG127" s="74" t="str">
        <f>_xlfn.XLOOKUP(CONCATENATE(H127,"_",AV127),'Test 2 -Proof points - Sonnet'!$AB:$AB,'Test 2 -Proof points - Sonnet'!$AA:$AA)</f>
        <v>â€¢ **Address critical supplier concentration**: Top 2 suppliers (SHIVAGANGA and SIDDAGANGA) represent &gt;60% of ricebran oil spend, creating significant supply chain vulnerability - develop qualified alternatives from existing supplier base like SAKLECHA SOLVENTEX and SULOCHANA AGRO.
â€¢ **Leverage similar capability suppliers**: Multiple suppliers offer identical ricebran oil specifications (Material 102038) but with varying volumes - formally qualify and approve at least 3-4 suppliers per oil type to ensure supply continuity.
â€¢ **Future supply chain resilience**: Increasing focus on supply chain risk management and business continuity planning will require diversified supplier portfolios, making current multi-supplier qualification essential for operational resilience and competitive advantage in volatile commodity markets.</v>
      </c>
      <c r="BH127" s="74" t="s">
        <v>1560</v>
      </c>
      <c r="BI127" s="74"/>
      <c r="BJ127" s="74" t="s">
        <v>1558</v>
      </c>
      <c r="BK127" s="30"/>
      <c r="BL127" s="30"/>
      <c r="BM127" s="30"/>
      <c r="BN127" s="30"/>
      <c r="BO127" s="30"/>
      <c r="BP127" s="30"/>
      <c r="BQ127" s="30"/>
      <c r="BR127" s="30"/>
      <c r="BS127" s="30"/>
      <c r="BT127" s="30"/>
      <c r="BU127" s="30"/>
      <c r="BV127" s="113" t="s">
        <v>132</v>
      </c>
    </row>
    <row r="128" spans="1:74" ht="217.5" hidden="1" x14ac:dyDescent="0.35">
      <c r="A128" s="22">
        <v>4</v>
      </c>
      <c r="B128" s="22" t="s">
        <v>1451</v>
      </c>
      <c r="C128" s="22" t="s">
        <v>1452</v>
      </c>
      <c r="D128" s="22" t="s">
        <v>1224</v>
      </c>
      <c r="E128" s="22" t="s">
        <v>1453</v>
      </c>
      <c r="F128" s="22"/>
      <c r="G128" s="22" t="s">
        <v>1274</v>
      </c>
      <c r="H128" s="21" t="s">
        <v>1285</v>
      </c>
      <c r="I128" s="101"/>
      <c r="J128" s="21" t="s">
        <v>1311</v>
      </c>
      <c r="K128" s="30"/>
      <c r="L128" s="35" t="s">
        <v>1290</v>
      </c>
      <c r="M128" s="35" t="str">
        <f>VLOOKUP(H128,'1_Value &amp; risk levers'!$H$9:$O$1048576,2,FALSE)</f>
        <v>Single sourced / reliance on a single supplier forspecialty products</v>
      </c>
      <c r="N128" s="35" t="str">
        <f>VLOOKUP(H128,'1_Value &amp; risk levers'!$H$9:$O$1048576,3,FALSE)</f>
        <v>Largely monopolistic for most specialty products e.g., a pool of 2-3 qualified / approved suppliers to choose from</v>
      </c>
      <c r="O128" s="35" t="str">
        <f>VLOOKUP(H128,'1_Value &amp; risk levers'!$H$9:$O$1048576,4,FALSE)</f>
        <v>Multiple qualified suppliers / preferred supplier list for majoe specialty products</v>
      </c>
      <c r="P128" s="35" t="str">
        <f>VLOOKUP(H128,'1_Value &amp; risk levers'!$H$9:$O$1048576,5,FALSE)</f>
        <v>Diversified sourcing options maintained for all specialties</v>
      </c>
      <c r="Q128" s="77">
        <f>IF(VLOOKUP(H128,'1_Value &amp; risk levers'!$H$9:$T$1048576,13,FALSE)=0,"",VLOOKUP(H128,'1_Value &amp; risk levers'!$H$9:$T$1048576,13,FALSE))</f>
        <v>2</v>
      </c>
      <c r="R128" s="128">
        <f t="shared" si="22"/>
        <v>2</v>
      </c>
      <c r="S128" s="128" t="e">
        <f t="shared" si="23"/>
        <v>#DIV/0!</v>
      </c>
      <c r="T128" s="77"/>
      <c r="U128" s="77"/>
      <c r="V128" s="55"/>
      <c r="W128" s="71">
        <v>0.04</v>
      </c>
      <c r="X128" s="71">
        <v>0.1</v>
      </c>
      <c r="Y128" s="71">
        <f>VLOOKUP(H128,'1_Value &amp; risk levers'!$H$9:$O$1048576,8,FALSE)</f>
        <v>0.8</v>
      </c>
      <c r="Z128" s="51">
        <f t="shared" si="24"/>
        <v>7.0000000000000007E-2</v>
      </c>
      <c r="AA128" s="51">
        <f t="shared" si="26"/>
        <v>8.5000000000000006E-2</v>
      </c>
      <c r="AB128" s="55">
        <f t="shared" si="27"/>
        <v>2800000.0000000005</v>
      </c>
      <c r="AC128" s="55">
        <f t="shared" si="28"/>
        <v>3400000.0000000005</v>
      </c>
      <c r="AD128" s="80">
        <f t="shared" si="29"/>
        <v>7</v>
      </c>
      <c r="AE128" s="84">
        <f t="shared" si="30"/>
        <v>0.48864540816326468</v>
      </c>
      <c r="AF128" s="71" t="str">
        <f t="shared" si="31"/>
        <v>Low</v>
      </c>
      <c r="AG128" s="84">
        <f t="shared" si="32"/>
        <v>5.9772908163265304E-2</v>
      </c>
      <c r="AH128" s="84">
        <f t="shared" si="33"/>
        <v>9.5227091836734709E-2</v>
      </c>
      <c r="AI128" s="73">
        <f t="shared" si="34"/>
        <v>2390916.3265306121</v>
      </c>
      <c r="AJ128" s="73">
        <f t="shared" si="35"/>
        <v>3809083.6734693884</v>
      </c>
      <c r="AK128" s="46">
        <f>VLOOKUP(H128,'1_Value &amp; risk levers'!$H$9:$O$1048576,6,FALSE)</f>
        <v>0.02</v>
      </c>
      <c r="AL128" s="46">
        <f>VLOOKUP(H128,'1_Value &amp; risk levers'!$H$9:$O$1048576,7,FALSE)</f>
        <v>0.05</v>
      </c>
      <c r="AM128" s="50">
        <f t="shared" si="36"/>
        <v>3.5000000000000003E-2</v>
      </c>
      <c r="AN128" s="72">
        <f t="shared" si="37"/>
        <v>0.16279069767441862</v>
      </c>
      <c r="AO128" s="84">
        <f t="shared" si="38"/>
        <v>9.73047342192691E-3</v>
      </c>
      <c r="AP128" s="84">
        <f t="shared" si="39"/>
        <v>1.5502084717607978E-2</v>
      </c>
      <c r="AQ128" s="55">
        <f t="shared" si="40"/>
        <v>455813.95348837221</v>
      </c>
      <c r="AR128" s="55">
        <f t="shared" si="41"/>
        <v>553488.37209302338</v>
      </c>
      <c r="AS128" s="83">
        <f t="shared" si="25"/>
        <v>41</v>
      </c>
      <c r="AT128" s="50">
        <f t="shared" si="42"/>
        <v>3.5400000000000005</v>
      </c>
      <c r="AU128" s="55" t="str">
        <f t="shared" si="43"/>
        <v>Low</v>
      </c>
      <c r="AV128" s="36" t="s">
        <v>1465</v>
      </c>
      <c r="AW128" s="109" t="s">
        <v>1466</v>
      </c>
      <c r="AX128" s="37" t="s">
        <v>1456</v>
      </c>
      <c r="AY128" s="27" t="s">
        <v>1561</v>
      </c>
      <c r="AZ128" s="85" t="str">
        <f>IF(ISERROR(_xlfn.XLOOKUP(CONCATENATE(A128,"_",AV128),'Reference-Proof pt impact flag'!$I$3:$I$1048576,'Reference-Proof pt impact flag'!$G$3:$G$1048576)),"",_xlfn.XLOOKUP(CONCATENATE(A128,"_",AV128),'Reference-Proof pt impact flag'!$I$3:$I$1048576,'Reference-Proof pt impact flag'!$G$3:$G$1048576))</f>
        <v>Low</v>
      </c>
      <c r="BA128" s="27" t="s">
        <v>1458</v>
      </c>
      <c r="BB128" s="30"/>
      <c r="BC128" s="74"/>
      <c r="BD128" s="74"/>
      <c r="BE128" s="74"/>
      <c r="BF128" s="74" t="str">
        <f>_xlfn.XLOOKUP(CONCATENATE(H128,"_",AV128),'Test 2 - Proof points - GPT5'!$T:$T,'Test 2 - Proof points - GPT5'!$S:$S)</f>
        <v>Insights: Supplier base: 87 vendors; Top-1 share 8.6%; HHI ≈ 344 → fragmented. Leverage via bundled bids and two-tiering is feasible. Actions: Set minimum 2 qualified suppliers per critical SKU/region; design dual-source splits (60/40) with quarterly price review and volume swing clauses.</v>
      </c>
      <c r="BG128" s="74" t="e">
        <f>_xlfn.XLOOKUP(CONCATENATE(H128,"_",AV128),'Test 2 -Proof points - Sonnet'!$AB:$AB,'Test 2 -Proof points - Sonnet'!$AA:$AA)</f>
        <v>#N/A</v>
      </c>
      <c r="BH128" s="74" t="s">
        <v>1560</v>
      </c>
      <c r="BI128" s="74"/>
      <c r="BJ128" s="74" t="s">
        <v>1558</v>
      </c>
      <c r="BK128" s="30"/>
      <c r="BL128" s="30"/>
      <c r="BM128" s="30"/>
      <c r="BN128" s="30"/>
      <c r="BO128" s="30"/>
      <c r="BP128" s="30"/>
      <c r="BQ128" s="30"/>
      <c r="BR128" s="30"/>
      <c r="BS128" s="30"/>
      <c r="BT128" s="30"/>
      <c r="BU128" s="30"/>
      <c r="BV128" s="113" t="s">
        <v>132</v>
      </c>
    </row>
    <row r="129" spans="1:74" ht="217.5" hidden="1" x14ac:dyDescent="0.35">
      <c r="A129" s="22">
        <v>4</v>
      </c>
      <c r="B129" s="22" t="s">
        <v>1451</v>
      </c>
      <c r="C129" s="22" t="s">
        <v>1452</v>
      </c>
      <c r="D129" s="22" t="s">
        <v>1224</v>
      </c>
      <c r="E129" s="22" t="s">
        <v>1453</v>
      </c>
      <c r="F129" s="22"/>
      <c r="G129" s="22" t="s">
        <v>1274</v>
      </c>
      <c r="H129" s="21" t="s">
        <v>1285</v>
      </c>
      <c r="I129" s="101"/>
      <c r="J129" s="21" t="s">
        <v>1311</v>
      </c>
      <c r="K129" s="30"/>
      <c r="L129" s="35" t="s">
        <v>1290</v>
      </c>
      <c r="M129" s="35" t="str">
        <f>VLOOKUP(H129,'1_Value &amp; risk levers'!$H$9:$O$1048576,2,FALSE)</f>
        <v>Single sourced / reliance on a single supplier forspecialty products</v>
      </c>
      <c r="N129" s="35" t="str">
        <f>VLOOKUP(H129,'1_Value &amp; risk levers'!$H$9:$O$1048576,3,FALSE)</f>
        <v>Largely monopolistic for most specialty products e.g., a pool of 2-3 qualified / approved suppliers to choose from</v>
      </c>
      <c r="O129" s="35" t="str">
        <f>VLOOKUP(H129,'1_Value &amp; risk levers'!$H$9:$O$1048576,4,FALSE)</f>
        <v>Multiple qualified suppliers / preferred supplier list for majoe specialty products</v>
      </c>
      <c r="P129" s="35" t="str">
        <f>VLOOKUP(H129,'1_Value &amp; risk levers'!$H$9:$O$1048576,5,FALSE)</f>
        <v>Diversified sourcing options maintained for all specialties</v>
      </c>
      <c r="Q129" s="77">
        <f>IF(VLOOKUP(H129,'1_Value &amp; risk levers'!$H$9:$T$1048576,13,FALSE)=0,"",VLOOKUP(H129,'1_Value &amp; risk levers'!$H$9:$T$1048576,13,FALSE))</f>
        <v>2</v>
      </c>
      <c r="R129" s="128">
        <f t="shared" si="22"/>
        <v>2</v>
      </c>
      <c r="S129" s="128" t="e">
        <f t="shared" si="23"/>
        <v>#DIV/0!</v>
      </c>
      <c r="T129" s="77"/>
      <c r="U129" s="77"/>
      <c r="V129" s="55"/>
      <c r="W129" s="71">
        <v>0.04</v>
      </c>
      <c r="X129" s="71">
        <v>0.1</v>
      </c>
      <c r="Y129" s="71">
        <f>VLOOKUP(H129,'1_Value &amp; risk levers'!$H$9:$O$1048576,8,FALSE)</f>
        <v>0.8</v>
      </c>
      <c r="Z129" s="51">
        <f t="shared" si="24"/>
        <v>7.0000000000000007E-2</v>
      </c>
      <c r="AA129" s="51">
        <f t="shared" si="26"/>
        <v>8.5000000000000006E-2</v>
      </c>
      <c r="AB129" s="55">
        <f t="shared" si="27"/>
        <v>2800000.0000000005</v>
      </c>
      <c r="AC129" s="55">
        <f t="shared" si="28"/>
        <v>3400000.0000000005</v>
      </c>
      <c r="AD129" s="80">
        <f t="shared" si="29"/>
        <v>7</v>
      </c>
      <c r="AE129" s="84">
        <f t="shared" si="30"/>
        <v>0.48864540816326468</v>
      </c>
      <c r="AF129" s="71" t="str">
        <f t="shared" si="31"/>
        <v>Low</v>
      </c>
      <c r="AG129" s="84">
        <f t="shared" si="32"/>
        <v>5.9772908163265304E-2</v>
      </c>
      <c r="AH129" s="84">
        <f t="shared" si="33"/>
        <v>9.5227091836734709E-2</v>
      </c>
      <c r="AI129" s="73">
        <f t="shared" si="34"/>
        <v>2390916.3265306121</v>
      </c>
      <c r="AJ129" s="73">
        <f t="shared" si="35"/>
        <v>3809083.6734693884</v>
      </c>
      <c r="AK129" s="46">
        <f>VLOOKUP(H129,'1_Value &amp; risk levers'!$H$9:$O$1048576,6,FALSE)</f>
        <v>0.02</v>
      </c>
      <c r="AL129" s="46">
        <f>VLOOKUP(H129,'1_Value &amp; risk levers'!$H$9:$O$1048576,7,FALSE)</f>
        <v>0.05</v>
      </c>
      <c r="AM129" s="50">
        <f t="shared" si="36"/>
        <v>3.5000000000000003E-2</v>
      </c>
      <c r="AN129" s="72">
        <f t="shared" si="37"/>
        <v>0.16279069767441862</v>
      </c>
      <c r="AO129" s="84">
        <f t="shared" si="38"/>
        <v>9.73047342192691E-3</v>
      </c>
      <c r="AP129" s="84">
        <f t="shared" si="39"/>
        <v>1.5502084717607978E-2</v>
      </c>
      <c r="AQ129" s="55">
        <f t="shared" si="40"/>
        <v>455813.95348837221</v>
      </c>
      <c r="AR129" s="55">
        <f t="shared" si="41"/>
        <v>553488.37209302338</v>
      </c>
      <c r="AS129" s="83">
        <f t="shared" si="25"/>
        <v>41</v>
      </c>
      <c r="AT129" s="50">
        <f t="shared" si="42"/>
        <v>3.5400000000000005</v>
      </c>
      <c r="AU129" s="55" t="str">
        <f t="shared" si="43"/>
        <v>Low</v>
      </c>
      <c r="AV129" s="36" t="s">
        <v>1467</v>
      </c>
      <c r="AW129" s="109" t="s">
        <v>1468</v>
      </c>
      <c r="AX129" s="37" t="s">
        <v>1456</v>
      </c>
      <c r="AY129" s="30"/>
      <c r="AZ129" s="85" t="str">
        <f>IF(ISERROR(_xlfn.XLOOKUP(CONCATENATE(A129,"_",AV129),'Reference-Proof pt impact flag'!$I$3:$I$1048576,'Reference-Proof pt impact flag'!$G$3:$G$1048576)),"",_xlfn.XLOOKUP(CONCATENATE(A129,"_",AV129),'Reference-Proof pt impact flag'!$I$3:$I$1048576,'Reference-Proof pt impact flag'!$G$3:$G$1048576))</f>
        <v/>
      </c>
      <c r="BA129" s="74"/>
      <c r="BB129" s="74"/>
      <c r="BC129" s="74"/>
      <c r="BD129" s="74"/>
      <c r="BE129" s="74"/>
      <c r="BF129" s="74" t="e">
        <f>_xlfn.XLOOKUP(CONCATENATE(H129,"_",AV129),'Test 2 - Proof points - GPT5'!$T:$T,'Test 2 - Proof points - GPT5'!$S:$S)</f>
        <v>#N/A</v>
      </c>
      <c r="BG129" s="74" t="e">
        <f>_xlfn.XLOOKUP(CONCATENATE(H129,"_",AV129),'Test 2 -Proof points - Sonnet'!$AB:$AB,'Test 2 -Proof points - Sonnet'!$AA:$AA)</f>
        <v>#N/A</v>
      </c>
      <c r="BH129" s="74"/>
      <c r="BI129" s="74"/>
      <c r="BJ129" s="74" t="s">
        <v>1558</v>
      </c>
      <c r="BK129" s="30"/>
      <c r="BL129" s="30"/>
      <c r="BM129" s="30"/>
      <c r="BN129" s="30"/>
      <c r="BO129" s="30"/>
      <c r="BP129" s="30"/>
      <c r="BQ129" s="30"/>
      <c r="BR129" s="30"/>
      <c r="BS129" s="30"/>
      <c r="BT129" s="30"/>
      <c r="BU129" s="30"/>
      <c r="BV129" s="113"/>
    </row>
    <row r="130" spans="1:74" ht="246.5" hidden="1" x14ac:dyDescent="0.35">
      <c r="A130" s="22">
        <v>4</v>
      </c>
      <c r="B130" s="22" t="s">
        <v>1451</v>
      </c>
      <c r="C130" s="22" t="s">
        <v>1452</v>
      </c>
      <c r="D130" s="22" t="s">
        <v>1224</v>
      </c>
      <c r="E130" s="22" t="s">
        <v>1453</v>
      </c>
      <c r="F130" s="22"/>
      <c r="G130" s="22" t="s">
        <v>1274</v>
      </c>
      <c r="H130" s="21" t="s">
        <v>1285</v>
      </c>
      <c r="I130" s="101"/>
      <c r="J130" s="21" t="s">
        <v>1311</v>
      </c>
      <c r="K130" s="30"/>
      <c r="L130" s="35" t="s">
        <v>1290</v>
      </c>
      <c r="M130" s="35" t="str">
        <f>VLOOKUP(H130,'1_Value &amp; risk levers'!$H$9:$O$1048576,2,FALSE)</f>
        <v>Single sourced / reliance on a single supplier forspecialty products</v>
      </c>
      <c r="N130" s="35" t="str">
        <f>VLOOKUP(H130,'1_Value &amp; risk levers'!$H$9:$O$1048576,3,FALSE)</f>
        <v>Largely monopolistic for most specialty products e.g., a pool of 2-3 qualified / approved suppliers to choose from</v>
      </c>
      <c r="O130" s="35" t="str">
        <f>VLOOKUP(H130,'1_Value &amp; risk levers'!$H$9:$O$1048576,4,FALSE)</f>
        <v>Multiple qualified suppliers / preferred supplier list for majoe specialty products</v>
      </c>
      <c r="P130" s="35" t="str">
        <f>VLOOKUP(H130,'1_Value &amp; risk levers'!$H$9:$O$1048576,5,FALSE)</f>
        <v>Diversified sourcing options maintained for all specialties</v>
      </c>
      <c r="Q130" s="77">
        <f>IF(VLOOKUP(H130,'1_Value &amp; risk levers'!$H$9:$T$1048576,13,FALSE)=0,"",VLOOKUP(H130,'1_Value &amp; risk levers'!$H$9:$T$1048576,13,FALSE))</f>
        <v>2</v>
      </c>
      <c r="R130" s="128">
        <f t="shared" si="22"/>
        <v>2</v>
      </c>
      <c r="S130" s="128" t="e">
        <f t="shared" si="23"/>
        <v>#DIV/0!</v>
      </c>
      <c r="T130" s="77"/>
      <c r="U130" s="77"/>
      <c r="V130" s="55"/>
      <c r="W130" s="71">
        <v>0.04</v>
      </c>
      <c r="X130" s="71">
        <v>0.1</v>
      </c>
      <c r="Y130" s="71">
        <f>VLOOKUP(H130,'1_Value &amp; risk levers'!$H$9:$O$1048576,8,FALSE)</f>
        <v>0.8</v>
      </c>
      <c r="Z130" s="51">
        <f t="shared" si="24"/>
        <v>7.0000000000000007E-2</v>
      </c>
      <c r="AA130" s="51">
        <f t="shared" si="26"/>
        <v>8.5000000000000006E-2</v>
      </c>
      <c r="AB130" s="55">
        <f t="shared" si="27"/>
        <v>2800000.0000000005</v>
      </c>
      <c r="AC130" s="55">
        <f t="shared" si="28"/>
        <v>3400000.0000000005</v>
      </c>
      <c r="AD130" s="80">
        <f t="shared" si="29"/>
        <v>7</v>
      </c>
      <c r="AE130" s="84">
        <f t="shared" si="30"/>
        <v>0.48864540816326468</v>
      </c>
      <c r="AF130" s="71" t="str">
        <f t="shared" si="31"/>
        <v>Low</v>
      </c>
      <c r="AG130" s="84">
        <f t="shared" si="32"/>
        <v>5.9772908163265304E-2</v>
      </c>
      <c r="AH130" s="84">
        <f t="shared" si="33"/>
        <v>9.5227091836734709E-2</v>
      </c>
      <c r="AI130" s="73">
        <f t="shared" si="34"/>
        <v>2390916.3265306121</v>
      </c>
      <c r="AJ130" s="73">
        <f t="shared" si="35"/>
        <v>3809083.6734693884</v>
      </c>
      <c r="AK130" s="46">
        <f>VLOOKUP(H130,'1_Value &amp; risk levers'!$H$9:$O$1048576,6,FALSE)</f>
        <v>0.02</v>
      </c>
      <c r="AL130" s="46">
        <f>VLOOKUP(H130,'1_Value &amp; risk levers'!$H$9:$O$1048576,7,FALSE)</f>
        <v>0.05</v>
      </c>
      <c r="AM130" s="50">
        <f t="shared" si="36"/>
        <v>3.5000000000000003E-2</v>
      </c>
      <c r="AN130" s="72">
        <f t="shared" si="37"/>
        <v>0.16279069767441862</v>
      </c>
      <c r="AO130" s="84">
        <f t="shared" si="38"/>
        <v>9.73047342192691E-3</v>
      </c>
      <c r="AP130" s="84">
        <f t="shared" si="39"/>
        <v>1.5502084717607978E-2</v>
      </c>
      <c r="AQ130" s="55">
        <f t="shared" si="40"/>
        <v>455813.95348837221</v>
      </c>
      <c r="AR130" s="55">
        <f t="shared" si="41"/>
        <v>553488.37209302338</v>
      </c>
      <c r="AS130" s="83">
        <f t="shared" si="25"/>
        <v>41</v>
      </c>
      <c r="AT130" s="50">
        <f t="shared" si="42"/>
        <v>3.5400000000000005</v>
      </c>
      <c r="AU130" s="55" t="str">
        <f t="shared" si="43"/>
        <v>Low</v>
      </c>
      <c r="AV130" s="36" t="s">
        <v>1471</v>
      </c>
      <c r="AW130" s="109" t="s">
        <v>1472</v>
      </c>
      <c r="AX130" s="37" t="s">
        <v>1456</v>
      </c>
      <c r="AY130" s="27"/>
      <c r="AZ130" s="85" t="str">
        <f>IF(ISERROR(_xlfn.XLOOKUP(CONCATENATE(A130,"_",AV130),'Reference-Proof pt impact flag'!$I$3:$I$1048576,'Reference-Proof pt impact flag'!$G$3:$G$1048576)),"",_xlfn.XLOOKUP(CONCATENATE(A130,"_",AV130),'Reference-Proof pt impact flag'!$I$3:$I$1048576,'Reference-Proof pt impact flag'!$G$3:$G$1048576))</f>
        <v/>
      </c>
      <c r="BA130" s="74"/>
      <c r="BB130" s="30"/>
      <c r="BC130" s="30"/>
      <c r="BD130" s="30"/>
      <c r="BE130" s="74" t="s">
        <v>1562</v>
      </c>
      <c r="BF130" s="74" t="e">
        <f>_xlfn.XLOOKUP(CONCATENATE(H130,"_",AV130),'Test 2 - Proof points - GPT5'!$T:$T,'Test 2 - Proof points - GPT5'!$S:$S)</f>
        <v>#N/A</v>
      </c>
      <c r="BG130" s="74" t="e">
        <f>_xlfn.XLOOKUP(CONCATENATE(H130,"_",AV130),'Test 2 -Proof points - Sonnet'!$AB:$AB,'Test 2 -Proof points - Sonnet'!$AA:$AA)</f>
        <v>#N/A</v>
      </c>
      <c r="BH130" s="74"/>
      <c r="BI130" s="74"/>
      <c r="BJ130" s="74" t="s">
        <v>1558</v>
      </c>
      <c r="BK130" s="30"/>
      <c r="BL130" s="30"/>
      <c r="BM130" s="30" t="s">
        <v>132</v>
      </c>
      <c r="BN130" s="30"/>
      <c r="BO130" s="30"/>
      <c r="BP130" s="30"/>
      <c r="BQ130" s="30"/>
      <c r="BR130" s="30"/>
      <c r="BS130" s="30"/>
      <c r="BT130" s="30"/>
      <c r="BU130" s="30"/>
      <c r="BV130" s="113"/>
    </row>
    <row r="131" spans="1:74" ht="217.5" hidden="1" x14ac:dyDescent="0.35">
      <c r="A131" s="22">
        <v>4</v>
      </c>
      <c r="B131" s="22" t="s">
        <v>1451</v>
      </c>
      <c r="C131" s="22" t="s">
        <v>1452</v>
      </c>
      <c r="D131" s="22" t="s">
        <v>1224</v>
      </c>
      <c r="E131" s="22" t="s">
        <v>1453</v>
      </c>
      <c r="F131" s="22"/>
      <c r="G131" s="22" t="s">
        <v>1274</v>
      </c>
      <c r="H131" s="21" t="s">
        <v>1285</v>
      </c>
      <c r="I131" s="101"/>
      <c r="J131" s="21" t="s">
        <v>1311</v>
      </c>
      <c r="K131" s="30"/>
      <c r="L131" s="35" t="s">
        <v>1290</v>
      </c>
      <c r="M131" s="35" t="str">
        <f>VLOOKUP(H131,'1_Value &amp; risk levers'!$H$9:$O$1048576,2,FALSE)</f>
        <v>Single sourced / reliance on a single supplier forspecialty products</v>
      </c>
      <c r="N131" s="35" t="str">
        <f>VLOOKUP(H131,'1_Value &amp; risk levers'!$H$9:$O$1048576,3,FALSE)</f>
        <v>Largely monopolistic for most specialty products e.g., a pool of 2-3 qualified / approved suppliers to choose from</v>
      </c>
      <c r="O131" s="35" t="str">
        <f>VLOOKUP(H131,'1_Value &amp; risk levers'!$H$9:$O$1048576,4,FALSE)</f>
        <v>Multiple qualified suppliers / preferred supplier list for majoe specialty products</v>
      </c>
      <c r="P131" s="35" t="str">
        <f>VLOOKUP(H131,'1_Value &amp; risk levers'!$H$9:$O$1048576,5,FALSE)</f>
        <v>Diversified sourcing options maintained for all specialties</v>
      </c>
      <c r="Q131" s="77">
        <f>IF(VLOOKUP(H131,'1_Value &amp; risk levers'!$H$9:$T$1048576,13,FALSE)=0,"",VLOOKUP(H131,'1_Value &amp; risk levers'!$H$9:$T$1048576,13,FALSE))</f>
        <v>2</v>
      </c>
      <c r="R131" s="128">
        <f t="shared" ref="R131:R194" si="44">AVERAGEIFS($Q$3:$Q$1048576,$G$3:$G$1048576,"Value")</f>
        <v>2</v>
      </c>
      <c r="S131" s="128" t="e">
        <f t="shared" ref="S131:S194" si="45">AVERAGEIFS($Q$3:$Q$1048576,$G$3:$G$1048576,"Risk")</f>
        <v>#DIV/0!</v>
      </c>
      <c r="T131" s="77"/>
      <c r="U131" s="77"/>
      <c r="V131" s="55"/>
      <c r="W131" s="71">
        <v>0.04</v>
      </c>
      <c r="X131" s="71">
        <v>0.1</v>
      </c>
      <c r="Y131" s="71">
        <f>VLOOKUP(H131,'1_Value &amp; risk levers'!$H$9:$O$1048576,8,FALSE)</f>
        <v>0.8</v>
      </c>
      <c r="Z131" s="51">
        <f t="shared" ref="Z131:Z194" si="46">(4-AVERAGEIFS($Q$3:$Q$1048576,$AV$3:$AV$1048576,"Inflation"))*(X131-W131)/4+W131</f>
        <v>7.0000000000000007E-2</v>
      </c>
      <c r="AA131" s="51">
        <f t="shared" si="26"/>
        <v>8.5000000000000006E-2</v>
      </c>
      <c r="AB131" s="55">
        <f t="shared" si="27"/>
        <v>2800000.0000000005</v>
      </c>
      <c r="AC131" s="55">
        <f t="shared" si="28"/>
        <v>3400000.0000000005</v>
      </c>
      <c r="AD131" s="80">
        <f t="shared" si="29"/>
        <v>7</v>
      </c>
      <c r="AE131" s="84">
        <f t="shared" si="30"/>
        <v>0.48864540816326468</v>
      </c>
      <c r="AF131" s="71" t="str">
        <f t="shared" si="31"/>
        <v>Low</v>
      </c>
      <c r="AG131" s="84">
        <f t="shared" si="32"/>
        <v>5.9772908163265304E-2</v>
      </c>
      <c r="AH131" s="84">
        <f t="shared" si="33"/>
        <v>9.5227091836734709E-2</v>
      </c>
      <c r="AI131" s="73">
        <f t="shared" si="34"/>
        <v>2390916.3265306121</v>
      </c>
      <c r="AJ131" s="73">
        <f t="shared" si="35"/>
        <v>3809083.6734693884</v>
      </c>
      <c r="AK131" s="46">
        <f>VLOOKUP(H131,'1_Value &amp; risk levers'!$H$9:$O$1048576,6,FALSE)</f>
        <v>0.02</v>
      </c>
      <c r="AL131" s="46">
        <f>VLOOKUP(H131,'1_Value &amp; risk levers'!$H$9:$O$1048576,7,FALSE)</f>
        <v>0.05</v>
      </c>
      <c r="AM131" s="50">
        <f t="shared" si="36"/>
        <v>3.5000000000000003E-2</v>
      </c>
      <c r="AN131" s="72">
        <f t="shared" si="37"/>
        <v>0.16279069767441862</v>
      </c>
      <c r="AO131" s="84">
        <f t="shared" si="38"/>
        <v>9.73047342192691E-3</v>
      </c>
      <c r="AP131" s="84">
        <f t="shared" si="39"/>
        <v>1.5502084717607978E-2</v>
      </c>
      <c r="AQ131" s="55">
        <f t="shared" si="40"/>
        <v>455813.95348837221</v>
      </c>
      <c r="AR131" s="55">
        <f t="shared" si="41"/>
        <v>553488.37209302338</v>
      </c>
      <c r="AS131" s="83">
        <f t="shared" ref="AS131:AS194" si="47">COUNTIFS($A$3:$A$1048576,A131,$BG$3:$BG$1048576,"&lt;&gt;")</f>
        <v>41</v>
      </c>
      <c r="AT131" s="50">
        <f t="shared" si="42"/>
        <v>3.5400000000000005</v>
      </c>
      <c r="AU131" s="55" t="str">
        <f t="shared" si="43"/>
        <v>Low</v>
      </c>
      <c r="AV131" s="36" t="s">
        <v>1475</v>
      </c>
      <c r="AW131" s="109" t="s">
        <v>1476</v>
      </c>
      <c r="AX131" s="37" t="s">
        <v>1456</v>
      </c>
      <c r="AY131" s="30"/>
      <c r="AZ131" s="85" t="str">
        <f>IF(ISERROR(_xlfn.XLOOKUP(CONCATENATE(A131,"_",AV131),'Reference-Proof pt impact flag'!$I$3:$I$1048576,'Reference-Proof pt impact flag'!$G$3:$G$1048576)),"",_xlfn.XLOOKUP(CONCATENATE(A131,"_",AV131),'Reference-Proof pt impact flag'!$I$3:$I$1048576,'Reference-Proof pt impact flag'!$G$3:$G$1048576))</f>
        <v/>
      </c>
      <c r="BA131" s="74"/>
      <c r="BB131" s="74"/>
      <c r="BC131" s="74"/>
      <c r="BD131" s="74"/>
      <c r="BE131" s="74"/>
      <c r="BF131" s="74" t="e">
        <f>_xlfn.XLOOKUP(CONCATENATE(H131,"_",AV131),'Test 2 - Proof points - GPT5'!$T:$T,'Test 2 - Proof points - GPT5'!$S:$S)</f>
        <v>#N/A</v>
      </c>
      <c r="BG131" s="74" t="e">
        <f>_xlfn.XLOOKUP(CONCATENATE(H131,"_",AV131),'Test 2 -Proof points - Sonnet'!$AB:$AB,'Test 2 -Proof points - Sonnet'!$AA:$AA)</f>
        <v>#N/A</v>
      </c>
      <c r="BH131" s="74"/>
      <c r="BI131" s="74"/>
      <c r="BJ131" s="74" t="s">
        <v>1558</v>
      </c>
      <c r="BK131" s="30"/>
      <c r="BL131" s="30"/>
      <c r="BM131" s="30"/>
      <c r="BN131" s="30"/>
      <c r="BO131" s="30"/>
      <c r="BP131" s="30"/>
      <c r="BQ131" s="30"/>
      <c r="BR131" s="30"/>
      <c r="BS131" s="30"/>
      <c r="BT131" s="30"/>
      <c r="BU131" s="30"/>
      <c r="BV131" s="113"/>
    </row>
    <row r="132" spans="1:74" ht="246.5" hidden="1" x14ac:dyDescent="0.35">
      <c r="A132" s="22">
        <v>4</v>
      </c>
      <c r="B132" s="22" t="s">
        <v>1451</v>
      </c>
      <c r="C132" s="22" t="s">
        <v>1452</v>
      </c>
      <c r="D132" s="22" t="s">
        <v>1224</v>
      </c>
      <c r="E132" s="22" t="s">
        <v>1453</v>
      </c>
      <c r="F132" s="22"/>
      <c r="G132" s="22" t="s">
        <v>1274</v>
      </c>
      <c r="H132" s="21" t="s">
        <v>1285</v>
      </c>
      <c r="I132" s="101"/>
      <c r="J132" s="21" t="s">
        <v>1311</v>
      </c>
      <c r="K132" s="30"/>
      <c r="L132" s="35" t="s">
        <v>1290</v>
      </c>
      <c r="M132" s="35" t="str">
        <f>VLOOKUP(H132,'1_Value &amp; risk levers'!$H$9:$O$1048576,2,FALSE)</f>
        <v>Single sourced / reliance on a single supplier forspecialty products</v>
      </c>
      <c r="N132" s="35" t="str">
        <f>VLOOKUP(H132,'1_Value &amp; risk levers'!$H$9:$O$1048576,3,FALSE)</f>
        <v>Largely monopolistic for most specialty products e.g., a pool of 2-3 qualified / approved suppliers to choose from</v>
      </c>
      <c r="O132" s="35" t="str">
        <f>VLOOKUP(H132,'1_Value &amp; risk levers'!$H$9:$O$1048576,4,FALSE)</f>
        <v>Multiple qualified suppliers / preferred supplier list for majoe specialty products</v>
      </c>
      <c r="P132" s="35" t="str">
        <f>VLOOKUP(H132,'1_Value &amp; risk levers'!$H$9:$O$1048576,5,FALSE)</f>
        <v>Diversified sourcing options maintained for all specialties</v>
      </c>
      <c r="Q132" s="77">
        <f>IF(VLOOKUP(H132,'1_Value &amp; risk levers'!$H$9:$T$1048576,13,FALSE)=0,"",VLOOKUP(H132,'1_Value &amp; risk levers'!$H$9:$T$1048576,13,FALSE))</f>
        <v>2</v>
      </c>
      <c r="R132" s="128">
        <f t="shared" si="44"/>
        <v>2</v>
      </c>
      <c r="S132" s="128" t="e">
        <f t="shared" si="45"/>
        <v>#DIV/0!</v>
      </c>
      <c r="T132" s="77"/>
      <c r="U132" s="77"/>
      <c r="V132" s="55"/>
      <c r="W132" s="71">
        <v>0.04</v>
      </c>
      <c r="X132" s="71">
        <v>0.1</v>
      </c>
      <c r="Y132" s="71">
        <f>VLOOKUP(H132,'1_Value &amp; risk levers'!$H$9:$O$1048576,8,FALSE)</f>
        <v>0.8</v>
      </c>
      <c r="Z132" s="51">
        <f t="shared" si="46"/>
        <v>7.0000000000000007E-2</v>
      </c>
      <c r="AA132" s="51">
        <f t="shared" ref="AA132:AA195" si="48">Z132+(X132-W132)/4</f>
        <v>8.5000000000000006E-2</v>
      </c>
      <c r="AB132" s="55">
        <f t="shared" ref="AB132:AB195" si="49">Y132*Z132*50000000</f>
        <v>2800000.0000000005</v>
      </c>
      <c r="AC132" s="55">
        <f t="shared" ref="AC132:AC195" si="50">Y132*AA132*50000000</f>
        <v>3400000.0000000005</v>
      </c>
      <c r="AD132" s="80">
        <f t="shared" ref="AD132:AD195" si="51">(COUNTA($Q$3:$Q$1048576)-COUNTIFS($Q$3:$Q$1048576,"",$A$3:$A$1048576,"&lt;&gt;"))/41</f>
        <v>7</v>
      </c>
      <c r="AE132" s="84">
        <f t="shared" ref="AE132:AE195" si="52">AVERAGE($AT$3:$AT$1048576)/10</f>
        <v>0.48864540816326468</v>
      </c>
      <c r="AF132" s="71" t="str">
        <f t="shared" ref="AF132:AF195" si="53">IF(AE132&lt;0.5,"Low",IF(AE132&lt;0.75,"Medium","High"))</f>
        <v>Low</v>
      </c>
      <c r="AG132" s="84">
        <f t="shared" ref="AG132:AG195" si="54">Z132-(1-AE132)*2/100</f>
        <v>5.9772908163265304E-2</v>
      </c>
      <c r="AH132" s="84">
        <f t="shared" ref="AH132:AH195" si="55">AA132+(1-AE132)*2/100</f>
        <v>9.5227091836734709E-2</v>
      </c>
      <c r="AI132" s="73">
        <f t="shared" ref="AI132:AI195" si="56">Y132*AG132*50000000</f>
        <v>2390916.3265306121</v>
      </c>
      <c r="AJ132" s="73">
        <f t="shared" ref="AJ132:AJ195" si="57">Y132*AH132*50000000</f>
        <v>3809083.6734693884</v>
      </c>
      <c r="AK132" s="46">
        <f>VLOOKUP(H132,'1_Value &amp; risk levers'!$H$9:$O$1048576,6,FALSE)</f>
        <v>0.02</v>
      </c>
      <c r="AL132" s="46">
        <f>VLOOKUP(H132,'1_Value &amp; risk levers'!$H$9:$O$1048576,7,FALSE)</f>
        <v>0.05</v>
      </c>
      <c r="AM132" s="50">
        <f t="shared" ref="AM132:AM195" si="58">IF(ISERROR((AK132+((AL132-AK132)*(4-Q132))/4)),"",(AK132+((AL132-AK132)*(4-Q132))/4))</f>
        <v>3.5000000000000003E-2</v>
      </c>
      <c r="AN132" s="72">
        <f t="shared" ref="AN132:AN195" si="59">IF(AM132="","",AM132/SUMIFS($AM$3:$AM$1048576,$AV$3:$AV$1048576,"Regional Spend Addressability"))</f>
        <v>0.16279069767441862</v>
      </c>
      <c r="AO132" s="84">
        <f t="shared" ref="AO132:AO195" si="60">IF(AN132="","",AN132*AG132)</f>
        <v>9.73047342192691E-3</v>
      </c>
      <c r="AP132" s="84">
        <f t="shared" ref="AP132:AP195" si="61">IF(AN132="","",AN132*AH132)</f>
        <v>1.5502084717607978E-2</v>
      </c>
      <c r="AQ132" s="55">
        <f t="shared" ref="AQ132:AQ195" si="62">IF(AN132="","",AN132*AB132)</f>
        <v>455813.95348837221</v>
      </c>
      <c r="AR132" s="55">
        <f t="shared" ref="AR132:AR195" si="63">IF(AN132="","",AN132*AC132)</f>
        <v>553488.37209302338</v>
      </c>
      <c r="AS132" s="83">
        <f t="shared" si="47"/>
        <v>41</v>
      </c>
      <c r="AT132" s="50">
        <f t="shared" ref="AT132:AT195" si="64">10*(COUNTIFS($A$3:$A$1048576,A132,$AZ$3:$AZ$1048576,"Medium",$BG$3:$BG$1048576,"&lt;&gt;")*0.625+COUNTIFS($A$3:$A$1048576,A132,$AZ$3:$AZ$1048576,"Low",$BG$3:$BG$1048576,"&lt;&gt;")*0.25+COUNTIFS($A$3:$A$1048576,A132,$AZ$3:$AZ$1048576,"High",$BG$3:$BG$1048576,"&lt;&gt;")*0.874)/COUNTIFS($A$3:$A$1048576,A132,$AY$3:$AY$1048576,"&lt;&gt;")</f>
        <v>3.5400000000000005</v>
      </c>
      <c r="AU132" s="55" t="str">
        <f t="shared" ref="AU132:AU195" si="65">IF(AT132&lt;5,"Low",IF(AT132&lt;7.5,"Medium","High"))</f>
        <v>Low</v>
      </c>
      <c r="AV132" s="36" t="s">
        <v>1477</v>
      </c>
      <c r="AW132" s="110" t="s">
        <v>1478</v>
      </c>
      <c r="AX132" s="37" t="s">
        <v>1456</v>
      </c>
      <c r="AY132" s="27"/>
      <c r="AZ132" s="85" t="str">
        <f>IF(ISERROR(_xlfn.XLOOKUP(CONCATENATE(A132,"_",AV132),'Reference-Proof pt impact flag'!$I$3:$I$1048576,'Reference-Proof pt impact flag'!$G$3:$G$1048576)),"",_xlfn.XLOOKUP(CONCATENATE(A132,"_",AV132),'Reference-Proof pt impact flag'!$I$3:$I$1048576,'Reference-Proof pt impact flag'!$G$3:$G$1048576))</f>
        <v/>
      </c>
      <c r="BA132" s="74"/>
      <c r="BB132" s="30"/>
      <c r="BC132" s="30"/>
      <c r="BD132" s="30"/>
      <c r="BE132" s="74" t="s">
        <v>1563</v>
      </c>
      <c r="BF132" s="74" t="e">
        <f>_xlfn.XLOOKUP(CONCATENATE(H132,"_",AV132),'Test 2 - Proof points - GPT5'!$T:$T,'Test 2 - Proof points - GPT5'!$S:$S)</f>
        <v>#N/A</v>
      </c>
      <c r="BG132" s="74" t="e">
        <f>_xlfn.XLOOKUP(CONCATENATE(H132,"_",AV132),'Test 2 -Proof points - Sonnet'!$AB:$AB,'Test 2 -Proof points - Sonnet'!$AA:$AA)</f>
        <v>#N/A</v>
      </c>
      <c r="BH132" s="74"/>
      <c r="BI132" s="74"/>
      <c r="BJ132" s="74" t="s">
        <v>1558</v>
      </c>
      <c r="BK132" s="30"/>
      <c r="BL132" s="30"/>
      <c r="BM132" s="30"/>
      <c r="BN132" s="30"/>
      <c r="BO132" s="30" t="s">
        <v>132</v>
      </c>
      <c r="BP132" s="30"/>
      <c r="BQ132" s="30"/>
      <c r="BR132" s="30"/>
      <c r="BS132" s="30"/>
      <c r="BT132" s="30"/>
      <c r="BU132" s="30"/>
      <c r="BV132" s="113"/>
    </row>
    <row r="133" spans="1:74" ht="217.5" hidden="1" x14ac:dyDescent="0.35">
      <c r="A133" s="22">
        <v>4</v>
      </c>
      <c r="B133" s="22" t="s">
        <v>1451</v>
      </c>
      <c r="C133" s="22" t="s">
        <v>1452</v>
      </c>
      <c r="D133" s="22" t="s">
        <v>1224</v>
      </c>
      <c r="E133" s="22" t="s">
        <v>1453</v>
      </c>
      <c r="F133" s="22"/>
      <c r="G133" s="22" t="s">
        <v>1274</v>
      </c>
      <c r="H133" s="21" t="s">
        <v>1285</v>
      </c>
      <c r="I133" s="101"/>
      <c r="J133" s="21" t="s">
        <v>1311</v>
      </c>
      <c r="K133" s="30"/>
      <c r="L133" s="35" t="s">
        <v>1290</v>
      </c>
      <c r="M133" s="35" t="str">
        <f>VLOOKUP(H133,'1_Value &amp; risk levers'!$H$9:$O$1048576,2,FALSE)</f>
        <v>Single sourced / reliance on a single supplier forspecialty products</v>
      </c>
      <c r="N133" s="35" t="str">
        <f>VLOOKUP(H133,'1_Value &amp; risk levers'!$H$9:$O$1048576,3,FALSE)</f>
        <v>Largely monopolistic for most specialty products e.g., a pool of 2-3 qualified / approved suppliers to choose from</v>
      </c>
      <c r="O133" s="35" t="str">
        <f>VLOOKUP(H133,'1_Value &amp; risk levers'!$H$9:$O$1048576,4,FALSE)</f>
        <v>Multiple qualified suppliers / preferred supplier list for majoe specialty products</v>
      </c>
      <c r="P133" s="35" t="str">
        <f>VLOOKUP(H133,'1_Value &amp; risk levers'!$H$9:$O$1048576,5,FALSE)</f>
        <v>Diversified sourcing options maintained for all specialties</v>
      </c>
      <c r="Q133" s="77">
        <f>IF(VLOOKUP(H133,'1_Value &amp; risk levers'!$H$9:$T$1048576,13,FALSE)=0,"",VLOOKUP(H133,'1_Value &amp; risk levers'!$H$9:$T$1048576,13,FALSE))</f>
        <v>2</v>
      </c>
      <c r="R133" s="128">
        <f t="shared" si="44"/>
        <v>2</v>
      </c>
      <c r="S133" s="128" t="e">
        <f t="shared" si="45"/>
        <v>#DIV/0!</v>
      </c>
      <c r="T133" s="77"/>
      <c r="U133" s="77"/>
      <c r="V133" s="55"/>
      <c r="W133" s="71">
        <v>0.04</v>
      </c>
      <c r="X133" s="71">
        <v>0.1</v>
      </c>
      <c r="Y133" s="71">
        <f>VLOOKUP(H133,'1_Value &amp; risk levers'!$H$9:$O$1048576,8,FALSE)</f>
        <v>0.8</v>
      </c>
      <c r="Z133" s="51">
        <f t="shared" si="46"/>
        <v>7.0000000000000007E-2</v>
      </c>
      <c r="AA133" s="51">
        <f t="shared" si="48"/>
        <v>8.5000000000000006E-2</v>
      </c>
      <c r="AB133" s="55">
        <f t="shared" si="49"/>
        <v>2800000.0000000005</v>
      </c>
      <c r="AC133" s="55">
        <f t="shared" si="50"/>
        <v>3400000.0000000005</v>
      </c>
      <c r="AD133" s="80">
        <f t="shared" si="51"/>
        <v>7</v>
      </c>
      <c r="AE133" s="84">
        <f t="shared" si="52"/>
        <v>0.48864540816326468</v>
      </c>
      <c r="AF133" s="71" t="str">
        <f t="shared" si="53"/>
        <v>Low</v>
      </c>
      <c r="AG133" s="84">
        <f t="shared" si="54"/>
        <v>5.9772908163265304E-2</v>
      </c>
      <c r="AH133" s="84">
        <f t="shared" si="55"/>
        <v>9.5227091836734709E-2</v>
      </c>
      <c r="AI133" s="73">
        <f t="shared" si="56"/>
        <v>2390916.3265306121</v>
      </c>
      <c r="AJ133" s="73">
        <f t="shared" si="57"/>
        <v>3809083.6734693884</v>
      </c>
      <c r="AK133" s="46">
        <f>VLOOKUP(H133,'1_Value &amp; risk levers'!$H$9:$O$1048576,6,FALSE)</f>
        <v>0.02</v>
      </c>
      <c r="AL133" s="46">
        <f>VLOOKUP(H133,'1_Value &amp; risk levers'!$H$9:$O$1048576,7,FALSE)</f>
        <v>0.05</v>
      </c>
      <c r="AM133" s="50">
        <f t="shared" si="58"/>
        <v>3.5000000000000003E-2</v>
      </c>
      <c r="AN133" s="72">
        <f t="shared" si="59"/>
        <v>0.16279069767441862</v>
      </c>
      <c r="AO133" s="84">
        <f t="shared" si="60"/>
        <v>9.73047342192691E-3</v>
      </c>
      <c r="AP133" s="84">
        <f t="shared" si="61"/>
        <v>1.5502084717607978E-2</v>
      </c>
      <c r="AQ133" s="55">
        <f t="shared" si="62"/>
        <v>455813.95348837221</v>
      </c>
      <c r="AR133" s="55">
        <f t="shared" si="63"/>
        <v>553488.37209302338</v>
      </c>
      <c r="AS133" s="83">
        <f t="shared" si="47"/>
        <v>41</v>
      </c>
      <c r="AT133" s="50">
        <f t="shared" si="64"/>
        <v>3.5400000000000005</v>
      </c>
      <c r="AU133" s="55" t="str">
        <f t="shared" si="65"/>
        <v>Low</v>
      </c>
      <c r="AV133" s="36" t="s">
        <v>1481</v>
      </c>
      <c r="AW133" s="110" t="s">
        <v>1482</v>
      </c>
      <c r="AX133" s="37" t="s">
        <v>1456</v>
      </c>
      <c r="AY133" s="30"/>
      <c r="AZ133" s="85" t="str">
        <f>IF(ISERROR(_xlfn.XLOOKUP(CONCATENATE(A133,"_",AV133),'Reference-Proof pt impact flag'!$I$3:$I$1048576,'Reference-Proof pt impact flag'!$G$3:$G$1048576)),"",_xlfn.XLOOKUP(CONCATENATE(A133,"_",AV133),'Reference-Proof pt impact flag'!$I$3:$I$1048576,'Reference-Proof pt impact flag'!$G$3:$G$1048576))</f>
        <v/>
      </c>
      <c r="BA133" s="74"/>
      <c r="BB133" s="74"/>
      <c r="BC133" s="74"/>
      <c r="BD133" s="74"/>
      <c r="BE133" s="74"/>
      <c r="BF133" s="74" t="e">
        <f>_xlfn.XLOOKUP(CONCATENATE(H133,"_",AV133),'Test 2 - Proof points - GPT5'!$T:$T,'Test 2 - Proof points - GPT5'!$S:$S)</f>
        <v>#N/A</v>
      </c>
      <c r="BG133" s="74" t="e">
        <f>_xlfn.XLOOKUP(CONCATENATE(H133,"_",AV133),'Test 2 -Proof points - Sonnet'!$AB:$AB,'Test 2 -Proof points - Sonnet'!$AA:$AA)</f>
        <v>#N/A</v>
      </c>
      <c r="BH133" s="74"/>
      <c r="BI133" s="74"/>
      <c r="BJ133" s="74" t="s">
        <v>1558</v>
      </c>
      <c r="BK133" s="30"/>
      <c r="BL133" s="30"/>
      <c r="BM133" s="30"/>
      <c r="BN133" s="30"/>
      <c r="BO133" s="30"/>
      <c r="BP133" s="30"/>
      <c r="BQ133" s="30"/>
      <c r="BR133" s="30"/>
      <c r="BS133" s="30"/>
      <c r="BT133" s="30"/>
      <c r="BU133" s="30"/>
      <c r="BV133" s="113"/>
    </row>
    <row r="134" spans="1:74" ht="217.5" hidden="1" x14ac:dyDescent="0.35">
      <c r="A134" s="22">
        <v>4</v>
      </c>
      <c r="B134" s="22" t="s">
        <v>1451</v>
      </c>
      <c r="C134" s="22" t="s">
        <v>1452</v>
      </c>
      <c r="D134" s="22" t="s">
        <v>1224</v>
      </c>
      <c r="E134" s="22" t="s">
        <v>1453</v>
      </c>
      <c r="F134" s="22"/>
      <c r="G134" s="22" t="s">
        <v>1274</v>
      </c>
      <c r="H134" s="21" t="s">
        <v>1285</v>
      </c>
      <c r="I134" s="101"/>
      <c r="J134" s="21" t="s">
        <v>1311</v>
      </c>
      <c r="K134" s="30"/>
      <c r="L134" s="35" t="s">
        <v>1290</v>
      </c>
      <c r="M134" s="35" t="str">
        <f>VLOOKUP(H134,'1_Value &amp; risk levers'!$H$9:$O$1048576,2,FALSE)</f>
        <v>Single sourced / reliance on a single supplier forspecialty products</v>
      </c>
      <c r="N134" s="35" t="str">
        <f>VLOOKUP(H134,'1_Value &amp; risk levers'!$H$9:$O$1048576,3,FALSE)</f>
        <v>Largely monopolistic for most specialty products e.g., a pool of 2-3 qualified / approved suppliers to choose from</v>
      </c>
      <c r="O134" s="35" t="str">
        <f>VLOOKUP(H134,'1_Value &amp; risk levers'!$H$9:$O$1048576,4,FALSE)</f>
        <v>Multiple qualified suppliers / preferred supplier list for majoe specialty products</v>
      </c>
      <c r="P134" s="35" t="str">
        <f>VLOOKUP(H134,'1_Value &amp; risk levers'!$H$9:$O$1048576,5,FALSE)</f>
        <v>Diversified sourcing options maintained for all specialties</v>
      </c>
      <c r="Q134" s="77">
        <f>IF(VLOOKUP(H134,'1_Value &amp; risk levers'!$H$9:$T$1048576,13,FALSE)=0,"",VLOOKUP(H134,'1_Value &amp; risk levers'!$H$9:$T$1048576,13,FALSE))</f>
        <v>2</v>
      </c>
      <c r="R134" s="128">
        <f t="shared" si="44"/>
        <v>2</v>
      </c>
      <c r="S134" s="128" t="e">
        <f t="shared" si="45"/>
        <v>#DIV/0!</v>
      </c>
      <c r="T134" s="77"/>
      <c r="U134" s="77"/>
      <c r="V134" s="55"/>
      <c r="W134" s="71">
        <v>0.04</v>
      </c>
      <c r="X134" s="71">
        <v>0.1</v>
      </c>
      <c r="Y134" s="71">
        <f>VLOOKUP(H134,'1_Value &amp; risk levers'!$H$9:$O$1048576,8,FALSE)</f>
        <v>0.8</v>
      </c>
      <c r="Z134" s="51">
        <f t="shared" si="46"/>
        <v>7.0000000000000007E-2</v>
      </c>
      <c r="AA134" s="51">
        <f t="shared" si="48"/>
        <v>8.5000000000000006E-2</v>
      </c>
      <c r="AB134" s="55">
        <f t="shared" si="49"/>
        <v>2800000.0000000005</v>
      </c>
      <c r="AC134" s="55">
        <f t="shared" si="50"/>
        <v>3400000.0000000005</v>
      </c>
      <c r="AD134" s="80">
        <f t="shared" si="51"/>
        <v>7</v>
      </c>
      <c r="AE134" s="84">
        <f t="shared" si="52"/>
        <v>0.48864540816326468</v>
      </c>
      <c r="AF134" s="71" t="str">
        <f t="shared" si="53"/>
        <v>Low</v>
      </c>
      <c r="AG134" s="84">
        <f t="shared" si="54"/>
        <v>5.9772908163265304E-2</v>
      </c>
      <c r="AH134" s="84">
        <f t="shared" si="55"/>
        <v>9.5227091836734709E-2</v>
      </c>
      <c r="AI134" s="73">
        <f t="shared" si="56"/>
        <v>2390916.3265306121</v>
      </c>
      <c r="AJ134" s="73">
        <f t="shared" si="57"/>
        <v>3809083.6734693884</v>
      </c>
      <c r="AK134" s="46">
        <f>VLOOKUP(H134,'1_Value &amp; risk levers'!$H$9:$O$1048576,6,FALSE)</f>
        <v>0.02</v>
      </c>
      <c r="AL134" s="46">
        <f>VLOOKUP(H134,'1_Value &amp; risk levers'!$H$9:$O$1048576,7,FALSE)</f>
        <v>0.05</v>
      </c>
      <c r="AM134" s="50">
        <f t="shared" si="58"/>
        <v>3.5000000000000003E-2</v>
      </c>
      <c r="AN134" s="72">
        <f t="shared" si="59"/>
        <v>0.16279069767441862</v>
      </c>
      <c r="AO134" s="84">
        <f t="shared" si="60"/>
        <v>9.73047342192691E-3</v>
      </c>
      <c r="AP134" s="84">
        <f t="shared" si="61"/>
        <v>1.5502084717607978E-2</v>
      </c>
      <c r="AQ134" s="55">
        <f t="shared" si="62"/>
        <v>455813.95348837221</v>
      </c>
      <c r="AR134" s="55">
        <f t="shared" si="63"/>
        <v>553488.37209302338</v>
      </c>
      <c r="AS134" s="83">
        <f t="shared" si="47"/>
        <v>41</v>
      </c>
      <c r="AT134" s="50">
        <f t="shared" si="64"/>
        <v>3.5400000000000005</v>
      </c>
      <c r="AU134" s="55" t="str">
        <f t="shared" si="65"/>
        <v>Low</v>
      </c>
      <c r="AV134" s="36" t="s">
        <v>1483</v>
      </c>
      <c r="AW134" s="110" t="s">
        <v>1484</v>
      </c>
      <c r="AX134" s="37" t="s">
        <v>1456</v>
      </c>
      <c r="AY134" s="27" t="s">
        <v>1564</v>
      </c>
      <c r="AZ134" s="85" t="str">
        <f>IF(ISERROR(_xlfn.XLOOKUP(CONCATENATE(A134,"_",AV134),'Reference-Proof pt impact flag'!$I$3:$I$1048576,'Reference-Proof pt impact flag'!$G$3:$G$1048576)),"",_xlfn.XLOOKUP(CONCATENATE(A134,"_",AV134),'Reference-Proof pt impact flag'!$I$3:$I$1048576,'Reference-Proof pt impact flag'!$G$3:$G$1048576))</f>
        <v>Low</v>
      </c>
      <c r="BA134" s="27" t="s">
        <v>1458</v>
      </c>
      <c r="BB134" s="27"/>
      <c r="BC134" s="74"/>
      <c r="BD134" s="74"/>
      <c r="BE134" s="74"/>
      <c r="BF134" s="74" t="str">
        <f>_xlfn.XLOOKUP(CONCATENATE(H134,"_",AV134),'Test 2 - Proof points - GPT5'!$T:$T,'Test 2 - Proof points - GPT5'!$S:$S)</f>
        <v>Insights: Avg spend/supplier benchmarks (client distribution): Q1 $255,687, Median $723,229, Q3 $1,830,514. 22 suppliers sit above Q3, owning 74.6% of spend; tail (&lt;1%) is 20.6% across 61 suppliers. Supplier base: 87 vendors; Top-1 share 8.6%; HHI ≈ 344 → fragmented. Leverage via bundled bids and two-tiering is feasible. Actions: Set target portfolio — strategic (top decile), preferred (Q2–Q3), and transactional (tail). Rebalance volumes to cap any single-supplier share at ≤35% and collapse long tail via cataloging/frameworks.</v>
      </c>
      <c r="BG134" s="74" t="str">
        <f>_xlfn.XLOOKUP(CONCATENATE(H134,"_",AV134),'Test 2 -Proof points - Sonnet'!$AB:$AB,'Test 2 -Proof points - Sonnet'!$AA:$AA)</f>
        <v>â€¢ **Optimize supplier portfolio balance**: Current average spend per supplier appears concentrated among top performers, suggesting opportunity to develop mid-tier suppliers like UNIVERSAL AGRO FOOD INDUSTRIES and PARVATI INDUSTRIES for strategic backup capabilities.
â€¢ **Benchmark against industry standards**: Top supplier concentration levels align with industry Quartile 3 performance, indicating room for selective diversification without compromising procurement efficiency or negotiation leverage.
â€¢ **Future supplier ecosystem evolution**: Industry trend toward collaborative supplier networks and shared risk management will favor organizations with balanced, qualified supplier portfolios, making current diversification efforts essential for competitive supply chain operations and risk resilience.</v>
      </c>
      <c r="BH134" s="74" t="s">
        <v>1560</v>
      </c>
      <c r="BI134" s="74"/>
      <c r="BJ134" s="74" t="s">
        <v>1558</v>
      </c>
      <c r="BK134" s="30"/>
      <c r="BL134" s="30"/>
      <c r="BM134" s="30"/>
      <c r="BN134" s="30"/>
      <c r="BO134" s="30"/>
      <c r="BP134" s="30"/>
      <c r="BQ134" s="30"/>
      <c r="BR134" s="30"/>
      <c r="BS134" s="30"/>
      <c r="BT134" s="30"/>
      <c r="BU134" s="30"/>
      <c r="BV134" s="113" t="s">
        <v>132</v>
      </c>
    </row>
    <row r="135" spans="1:74" ht="217.5" hidden="1" x14ac:dyDescent="0.35">
      <c r="A135" s="22">
        <v>4</v>
      </c>
      <c r="B135" s="22" t="s">
        <v>1451</v>
      </c>
      <c r="C135" s="22" t="s">
        <v>1452</v>
      </c>
      <c r="D135" s="22" t="s">
        <v>1224</v>
      </c>
      <c r="E135" s="22" t="s">
        <v>1453</v>
      </c>
      <c r="F135" s="22"/>
      <c r="G135" s="22" t="s">
        <v>1274</v>
      </c>
      <c r="H135" s="21" t="s">
        <v>1285</v>
      </c>
      <c r="I135" s="101"/>
      <c r="J135" s="21" t="s">
        <v>1311</v>
      </c>
      <c r="K135" s="30"/>
      <c r="L135" s="35" t="s">
        <v>1290</v>
      </c>
      <c r="M135" s="35" t="str">
        <f>VLOOKUP(H135,'1_Value &amp; risk levers'!$H$9:$O$1048576,2,FALSE)</f>
        <v>Single sourced / reliance on a single supplier forspecialty products</v>
      </c>
      <c r="N135" s="35" t="str">
        <f>VLOOKUP(H135,'1_Value &amp; risk levers'!$H$9:$O$1048576,3,FALSE)</f>
        <v>Largely monopolistic for most specialty products e.g., a pool of 2-3 qualified / approved suppliers to choose from</v>
      </c>
      <c r="O135" s="35" t="str">
        <f>VLOOKUP(H135,'1_Value &amp; risk levers'!$H$9:$O$1048576,4,FALSE)</f>
        <v>Multiple qualified suppliers / preferred supplier list for majoe specialty products</v>
      </c>
      <c r="P135" s="35" t="str">
        <f>VLOOKUP(H135,'1_Value &amp; risk levers'!$H$9:$O$1048576,5,FALSE)</f>
        <v>Diversified sourcing options maintained for all specialties</v>
      </c>
      <c r="Q135" s="77">
        <f>IF(VLOOKUP(H135,'1_Value &amp; risk levers'!$H$9:$T$1048576,13,FALSE)=0,"",VLOOKUP(H135,'1_Value &amp; risk levers'!$H$9:$T$1048576,13,FALSE))</f>
        <v>2</v>
      </c>
      <c r="R135" s="128">
        <f t="shared" si="44"/>
        <v>2</v>
      </c>
      <c r="S135" s="128" t="e">
        <f t="shared" si="45"/>
        <v>#DIV/0!</v>
      </c>
      <c r="T135" s="77"/>
      <c r="U135" s="77"/>
      <c r="V135" s="55"/>
      <c r="W135" s="71">
        <v>0.04</v>
      </c>
      <c r="X135" s="71">
        <v>0.1</v>
      </c>
      <c r="Y135" s="71">
        <f>VLOOKUP(H135,'1_Value &amp; risk levers'!$H$9:$O$1048576,8,FALSE)</f>
        <v>0.8</v>
      </c>
      <c r="Z135" s="51">
        <f t="shared" si="46"/>
        <v>7.0000000000000007E-2</v>
      </c>
      <c r="AA135" s="51">
        <f t="shared" si="48"/>
        <v>8.5000000000000006E-2</v>
      </c>
      <c r="AB135" s="55">
        <f t="shared" si="49"/>
        <v>2800000.0000000005</v>
      </c>
      <c r="AC135" s="55">
        <f t="shared" si="50"/>
        <v>3400000.0000000005</v>
      </c>
      <c r="AD135" s="80">
        <f t="shared" si="51"/>
        <v>7</v>
      </c>
      <c r="AE135" s="84">
        <f t="shared" si="52"/>
        <v>0.48864540816326468</v>
      </c>
      <c r="AF135" s="71" t="str">
        <f t="shared" si="53"/>
        <v>Low</v>
      </c>
      <c r="AG135" s="84">
        <f t="shared" si="54"/>
        <v>5.9772908163265304E-2</v>
      </c>
      <c r="AH135" s="84">
        <f t="shared" si="55"/>
        <v>9.5227091836734709E-2</v>
      </c>
      <c r="AI135" s="73">
        <f t="shared" si="56"/>
        <v>2390916.3265306121</v>
      </c>
      <c r="AJ135" s="73">
        <f t="shared" si="57"/>
        <v>3809083.6734693884</v>
      </c>
      <c r="AK135" s="46">
        <f>VLOOKUP(H135,'1_Value &amp; risk levers'!$H$9:$O$1048576,6,FALSE)</f>
        <v>0.02</v>
      </c>
      <c r="AL135" s="46">
        <f>VLOOKUP(H135,'1_Value &amp; risk levers'!$H$9:$O$1048576,7,FALSE)</f>
        <v>0.05</v>
      </c>
      <c r="AM135" s="50">
        <f t="shared" si="58"/>
        <v>3.5000000000000003E-2</v>
      </c>
      <c r="AN135" s="72">
        <f t="shared" si="59"/>
        <v>0.16279069767441862</v>
      </c>
      <c r="AO135" s="84">
        <f t="shared" si="60"/>
        <v>9.73047342192691E-3</v>
      </c>
      <c r="AP135" s="84">
        <f t="shared" si="61"/>
        <v>1.5502084717607978E-2</v>
      </c>
      <c r="AQ135" s="55">
        <f t="shared" si="62"/>
        <v>455813.95348837221</v>
      </c>
      <c r="AR135" s="55">
        <f t="shared" si="63"/>
        <v>553488.37209302338</v>
      </c>
      <c r="AS135" s="83">
        <f t="shared" si="47"/>
        <v>41</v>
      </c>
      <c r="AT135" s="50">
        <f t="shared" si="64"/>
        <v>3.5400000000000005</v>
      </c>
      <c r="AU135" s="55" t="str">
        <f t="shared" si="65"/>
        <v>Low</v>
      </c>
      <c r="AV135" s="36" t="s">
        <v>1486</v>
      </c>
      <c r="AW135" s="110" t="s">
        <v>1487</v>
      </c>
      <c r="AX135" s="37" t="s">
        <v>1456</v>
      </c>
      <c r="AY135" s="30"/>
      <c r="AZ135" s="85" t="str">
        <f>IF(ISERROR(_xlfn.XLOOKUP(CONCATENATE(A135,"_",AV135),'Reference-Proof pt impact flag'!$I$3:$I$1048576,'Reference-Proof pt impact flag'!$G$3:$G$1048576)),"",_xlfn.XLOOKUP(CONCATENATE(A135,"_",AV135),'Reference-Proof pt impact flag'!$I$3:$I$1048576,'Reference-Proof pt impact flag'!$G$3:$G$1048576))</f>
        <v/>
      </c>
      <c r="BA135" s="74"/>
      <c r="BB135" s="74"/>
      <c r="BC135" s="74"/>
      <c r="BD135" s="74"/>
      <c r="BE135" s="74"/>
      <c r="BF135" s="74" t="e">
        <f>_xlfn.XLOOKUP(CONCATENATE(H135,"_",AV135),'Test 2 - Proof points - GPT5'!$T:$T,'Test 2 - Proof points - GPT5'!$S:$S)</f>
        <v>#N/A</v>
      </c>
      <c r="BG135" s="74" t="e">
        <f>_xlfn.XLOOKUP(CONCATENATE(H135,"_",AV135),'Test 2 -Proof points - Sonnet'!$AB:$AB,'Test 2 -Proof points - Sonnet'!$AA:$AA)</f>
        <v>#N/A</v>
      </c>
      <c r="BH135" s="74"/>
      <c r="BI135" s="74"/>
      <c r="BJ135" s="74" t="s">
        <v>1558</v>
      </c>
      <c r="BK135" s="30"/>
      <c r="BL135" s="30"/>
      <c r="BM135" s="30"/>
      <c r="BN135" s="30"/>
      <c r="BO135" s="30"/>
      <c r="BP135" s="30"/>
      <c r="BQ135" s="30"/>
      <c r="BR135" s="30"/>
      <c r="BS135" s="30"/>
      <c r="BT135" s="30"/>
      <c r="BU135" s="30"/>
      <c r="BV135" s="113"/>
    </row>
    <row r="136" spans="1:74" ht="217.5" hidden="1" x14ac:dyDescent="0.35">
      <c r="A136" s="22">
        <v>4</v>
      </c>
      <c r="B136" s="22" t="s">
        <v>1451</v>
      </c>
      <c r="C136" s="22" t="s">
        <v>1452</v>
      </c>
      <c r="D136" s="22" t="s">
        <v>1224</v>
      </c>
      <c r="E136" s="22" t="s">
        <v>1453</v>
      </c>
      <c r="F136" s="22"/>
      <c r="G136" s="22" t="s">
        <v>1274</v>
      </c>
      <c r="H136" s="21" t="s">
        <v>1285</v>
      </c>
      <c r="I136" s="101"/>
      <c r="J136" s="21" t="s">
        <v>1311</v>
      </c>
      <c r="K136" s="30"/>
      <c r="L136" s="35" t="s">
        <v>1290</v>
      </c>
      <c r="M136" s="35" t="str">
        <f>VLOOKUP(H136,'1_Value &amp; risk levers'!$H$9:$O$1048576,2,FALSE)</f>
        <v>Single sourced / reliance on a single supplier forspecialty products</v>
      </c>
      <c r="N136" s="35" t="str">
        <f>VLOOKUP(H136,'1_Value &amp; risk levers'!$H$9:$O$1048576,3,FALSE)</f>
        <v>Largely monopolistic for most specialty products e.g., a pool of 2-3 qualified / approved suppliers to choose from</v>
      </c>
      <c r="O136" s="35" t="str">
        <f>VLOOKUP(H136,'1_Value &amp; risk levers'!$H$9:$O$1048576,4,FALSE)</f>
        <v>Multiple qualified suppliers / preferred supplier list for majoe specialty products</v>
      </c>
      <c r="P136" s="35" t="str">
        <f>VLOOKUP(H136,'1_Value &amp; risk levers'!$H$9:$O$1048576,5,FALSE)</f>
        <v>Diversified sourcing options maintained for all specialties</v>
      </c>
      <c r="Q136" s="77">
        <f>IF(VLOOKUP(H136,'1_Value &amp; risk levers'!$H$9:$T$1048576,13,FALSE)=0,"",VLOOKUP(H136,'1_Value &amp; risk levers'!$H$9:$T$1048576,13,FALSE))</f>
        <v>2</v>
      </c>
      <c r="R136" s="128">
        <f t="shared" si="44"/>
        <v>2</v>
      </c>
      <c r="S136" s="128" t="e">
        <f t="shared" si="45"/>
        <v>#DIV/0!</v>
      </c>
      <c r="T136" s="77"/>
      <c r="U136" s="77"/>
      <c r="V136" s="55"/>
      <c r="W136" s="71">
        <v>0.04</v>
      </c>
      <c r="X136" s="71">
        <v>0.1</v>
      </c>
      <c r="Y136" s="71">
        <f>VLOOKUP(H136,'1_Value &amp; risk levers'!$H$9:$O$1048576,8,FALSE)</f>
        <v>0.8</v>
      </c>
      <c r="Z136" s="51">
        <f t="shared" si="46"/>
        <v>7.0000000000000007E-2</v>
      </c>
      <c r="AA136" s="51">
        <f t="shared" si="48"/>
        <v>8.5000000000000006E-2</v>
      </c>
      <c r="AB136" s="55">
        <f t="shared" si="49"/>
        <v>2800000.0000000005</v>
      </c>
      <c r="AC136" s="55">
        <f t="shared" si="50"/>
        <v>3400000.0000000005</v>
      </c>
      <c r="AD136" s="80">
        <f t="shared" si="51"/>
        <v>7</v>
      </c>
      <c r="AE136" s="84">
        <f t="shared" si="52"/>
        <v>0.48864540816326468</v>
      </c>
      <c r="AF136" s="71" t="str">
        <f t="shared" si="53"/>
        <v>Low</v>
      </c>
      <c r="AG136" s="84">
        <f t="shared" si="54"/>
        <v>5.9772908163265304E-2</v>
      </c>
      <c r="AH136" s="84">
        <f t="shared" si="55"/>
        <v>9.5227091836734709E-2</v>
      </c>
      <c r="AI136" s="73">
        <f t="shared" si="56"/>
        <v>2390916.3265306121</v>
      </c>
      <c r="AJ136" s="73">
        <f t="shared" si="57"/>
        <v>3809083.6734693884</v>
      </c>
      <c r="AK136" s="46">
        <f>VLOOKUP(H136,'1_Value &amp; risk levers'!$H$9:$O$1048576,6,FALSE)</f>
        <v>0.02</v>
      </c>
      <c r="AL136" s="46">
        <f>VLOOKUP(H136,'1_Value &amp; risk levers'!$H$9:$O$1048576,7,FALSE)</f>
        <v>0.05</v>
      </c>
      <c r="AM136" s="50">
        <f t="shared" si="58"/>
        <v>3.5000000000000003E-2</v>
      </c>
      <c r="AN136" s="72">
        <f t="shared" si="59"/>
        <v>0.16279069767441862</v>
      </c>
      <c r="AO136" s="84">
        <f t="shared" si="60"/>
        <v>9.73047342192691E-3</v>
      </c>
      <c r="AP136" s="84">
        <f t="shared" si="61"/>
        <v>1.5502084717607978E-2</v>
      </c>
      <c r="AQ136" s="55">
        <f t="shared" si="62"/>
        <v>455813.95348837221</v>
      </c>
      <c r="AR136" s="55">
        <f t="shared" si="63"/>
        <v>553488.37209302338</v>
      </c>
      <c r="AS136" s="83">
        <f t="shared" si="47"/>
        <v>41</v>
      </c>
      <c r="AT136" s="50">
        <f t="shared" si="64"/>
        <v>3.5400000000000005</v>
      </c>
      <c r="AU136" s="55" t="str">
        <f t="shared" si="65"/>
        <v>Low</v>
      </c>
      <c r="AV136" s="36" t="s">
        <v>1488</v>
      </c>
      <c r="AW136" s="110" t="s">
        <v>1489</v>
      </c>
      <c r="AX136" s="37" t="s">
        <v>1456</v>
      </c>
      <c r="AY136" s="30"/>
      <c r="AZ136" s="85" t="str">
        <f>IF(ISERROR(_xlfn.XLOOKUP(CONCATENATE(A136,"_",AV136),'Reference-Proof pt impact flag'!$I$3:$I$1048576,'Reference-Proof pt impact flag'!$G$3:$G$1048576)),"",_xlfn.XLOOKUP(CONCATENATE(A136,"_",AV136),'Reference-Proof pt impact flag'!$I$3:$I$1048576,'Reference-Proof pt impact flag'!$G$3:$G$1048576))</f>
        <v/>
      </c>
      <c r="BA136" s="74"/>
      <c r="BB136" s="74"/>
      <c r="BC136" s="74"/>
      <c r="BD136" s="74"/>
      <c r="BE136" s="74"/>
      <c r="BF136" s="74" t="e">
        <f>_xlfn.XLOOKUP(CONCATENATE(H136,"_",AV136),'Test 2 - Proof points - GPT5'!$T:$T,'Test 2 - Proof points - GPT5'!$S:$S)</f>
        <v>#N/A</v>
      </c>
      <c r="BG136" s="74" t="e">
        <f>_xlfn.XLOOKUP(CONCATENATE(H136,"_",AV136),'Test 2 -Proof points - Sonnet'!$AB:$AB,'Test 2 -Proof points - Sonnet'!$AA:$AA)</f>
        <v>#N/A</v>
      </c>
      <c r="BH136" s="74"/>
      <c r="BI136" s="74"/>
      <c r="BJ136" s="74" t="s">
        <v>1558</v>
      </c>
      <c r="BK136" s="30"/>
      <c r="BL136" s="30"/>
      <c r="BM136" s="30"/>
      <c r="BN136" s="30"/>
      <c r="BO136" s="30"/>
      <c r="BP136" s="30"/>
      <c r="BQ136" s="30"/>
      <c r="BR136" s="30"/>
      <c r="BS136" s="30"/>
      <c r="BT136" s="30"/>
      <c r="BU136" s="30"/>
      <c r="BV136" s="113"/>
    </row>
    <row r="137" spans="1:74" ht="217.5" hidden="1" x14ac:dyDescent="0.35">
      <c r="A137" s="22">
        <v>4</v>
      </c>
      <c r="B137" s="22" t="s">
        <v>1451</v>
      </c>
      <c r="C137" s="22" t="s">
        <v>1452</v>
      </c>
      <c r="D137" s="22" t="s">
        <v>1224</v>
      </c>
      <c r="E137" s="22" t="s">
        <v>1453</v>
      </c>
      <c r="F137" s="22"/>
      <c r="G137" s="22" t="s">
        <v>1274</v>
      </c>
      <c r="H137" s="21" t="s">
        <v>1285</v>
      </c>
      <c r="I137" s="101"/>
      <c r="J137" s="21" t="s">
        <v>1311</v>
      </c>
      <c r="K137" s="30"/>
      <c r="L137" s="35" t="s">
        <v>1290</v>
      </c>
      <c r="M137" s="35" t="str">
        <f>VLOOKUP(H137,'1_Value &amp; risk levers'!$H$9:$O$1048576,2,FALSE)</f>
        <v>Single sourced / reliance on a single supplier forspecialty products</v>
      </c>
      <c r="N137" s="35" t="str">
        <f>VLOOKUP(H137,'1_Value &amp; risk levers'!$H$9:$O$1048576,3,FALSE)</f>
        <v>Largely monopolistic for most specialty products e.g., a pool of 2-3 qualified / approved suppliers to choose from</v>
      </c>
      <c r="O137" s="35" t="str">
        <f>VLOOKUP(H137,'1_Value &amp; risk levers'!$H$9:$O$1048576,4,FALSE)</f>
        <v>Multiple qualified suppliers / preferred supplier list for majoe specialty products</v>
      </c>
      <c r="P137" s="35" t="str">
        <f>VLOOKUP(H137,'1_Value &amp; risk levers'!$H$9:$O$1048576,5,FALSE)</f>
        <v>Diversified sourcing options maintained for all specialties</v>
      </c>
      <c r="Q137" s="77">
        <f>IF(VLOOKUP(H137,'1_Value &amp; risk levers'!$H$9:$T$1048576,13,FALSE)=0,"",VLOOKUP(H137,'1_Value &amp; risk levers'!$H$9:$T$1048576,13,FALSE))</f>
        <v>2</v>
      </c>
      <c r="R137" s="128">
        <f t="shared" si="44"/>
        <v>2</v>
      </c>
      <c r="S137" s="128" t="e">
        <f t="shared" si="45"/>
        <v>#DIV/0!</v>
      </c>
      <c r="T137" s="77"/>
      <c r="U137" s="77"/>
      <c r="V137" s="55"/>
      <c r="W137" s="71">
        <v>0.04</v>
      </c>
      <c r="X137" s="71">
        <v>0.1</v>
      </c>
      <c r="Y137" s="71">
        <f>VLOOKUP(H137,'1_Value &amp; risk levers'!$H$9:$O$1048576,8,FALSE)</f>
        <v>0.8</v>
      </c>
      <c r="Z137" s="51">
        <f t="shared" si="46"/>
        <v>7.0000000000000007E-2</v>
      </c>
      <c r="AA137" s="51">
        <f t="shared" si="48"/>
        <v>8.5000000000000006E-2</v>
      </c>
      <c r="AB137" s="55">
        <f t="shared" si="49"/>
        <v>2800000.0000000005</v>
      </c>
      <c r="AC137" s="55">
        <f t="shared" si="50"/>
        <v>3400000.0000000005</v>
      </c>
      <c r="AD137" s="80">
        <f t="shared" si="51"/>
        <v>7</v>
      </c>
      <c r="AE137" s="84">
        <f t="shared" si="52"/>
        <v>0.48864540816326468</v>
      </c>
      <c r="AF137" s="71" t="str">
        <f t="shared" si="53"/>
        <v>Low</v>
      </c>
      <c r="AG137" s="84">
        <f t="shared" si="54"/>
        <v>5.9772908163265304E-2</v>
      </c>
      <c r="AH137" s="84">
        <f t="shared" si="55"/>
        <v>9.5227091836734709E-2</v>
      </c>
      <c r="AI137" s="73">
        <f t="shared" si="56"/>
        <v>2390916.3265306121</v>
      </c>
      <c r="AJ137" s="73">
        <f t="shared" si="57"/>
        <v>3809083.6734693884</v>
      </c>
      <c r="AK137" s="46">
        <f>VLOOKUP(H137,'1_Value &amp; risk levers'!$H$9:$O$1048576,6,FALSE)</f>
        <v>0.02</v>
      </c>
      <c r="AL137" s="46">
        <f>VLOOKUP(H137,'1_Value &amp; risk levers'!$H$9:$O$1048576,7,FALSE)</f>
        <v>0.05</v>
      </c>
      <c r="AM137" s="50">
        <f t="shared" si="58"/>
        <v>3.5000000000000003E-2</v>
      </c>
      <c r="AN137" s="72">
        <f t="shared" si="59"/>
        <v>0.16279069767441862</v>
      </c>
      <c r="AO137" s="84">
        <f t="shared" si="60"/>
        <v>9.73047342192691E-3</v>
      </c>
      <c r="AP137" s="84">
        <f t="shared" si="61"/>
        <v>1.5502084717607978E-2</v>
      </c>
      <c r="AQ137" s="55">
        <f t="shared" si="62"/>
        <v>455813.95348837221</v>
      </c>
      <c r="AR137" s="55">
        <f t="shared" si="63"/>
        <v>553488.37209302338</v>
      </c>
      <c r="AS137" s="83">
        <f t="shared" si="47"/>
        <v>41</v>
      </c>
      <c r="AT137" s="50">
        <f t="shared" si="64"/>
        <v>3.5400000000000005</v>
      </c>
      <c r="AU137" s="55" t="str">
        <f t="shared" si="65"/>
        <v>Low</v>
      </c>
      <c r="AV137" s="36" t="s">
        <v>1490</v>
      </c>
      <c r="AW137" s="110" t="s">
        <v>1491</v>
      </c>
      <c r="AX137" s="37" t="s">
        <v>1456</v>
      </c>
      <c r="AY137" s="30"/>
      <c r="AZ137" s="85" t="str">
        <f>IF(ISERROR(_xlfn.XLOOKUP(CONCATENATE(A137,"_",AV137),'Reference-Proof pt impact flag'!$I$3:$I$1048576,'Reference-Proof pt impact flag'!$G$3:$G$1048576)),"",_xlfn.XLOOKUP(CONCATENATE(A137,"_",AV137),'Reference-Proof pt impact flag'!$I$3:$I$1048576,'Reference-Proof pt impact flag'!$G$3:$G$1048576))</f>
        <v/>
      </c>
      <c r="BA137" s="74"/>
      <c r="BB137" s="74"/>
      <c r="BC137" s="74"/>
      <c r="BD137" s="74"/>
      <c r="BE137" s="74"/>
      <c r="BF137" s="74" t="e">
        <f>_xlfn.XLOOKUP(CONCATENATE(H137,"_",AV137),'Test 2 - Proof points - GPT5'!$T:$T,'Test 2 - Proof points - GPT5'!$S:$S)</f>
        <v>#N/A</v>
      </c>
      <c r="BG137" s="74" t="e">
        <f>_xlfn.XLOOKUP(CONCATENATE(H137,"_",AV137),'Test 2 -Proof points - Sonnet'!$AB:$AB,'Test 2 -Proof points - Sonnet'!$AA:$AA)</f>
        <v>#N/A</v>
      </c>
      <c r="BH137" s="74"/>
      <c r="BI137" s="74"/>
      <c r="BJ137" s="74" t="s">
        <v>1558</v>
      </c>
      <c r="BK137" s="30"/>
      <c r="BL137" s="30"/>
      <c r="BM137" s="30"/>
      <c r="BN137" s="30"/>
      <c r="BO137" s="30"/>
      <c r="BP137" s="30"/>
      <c r="BQ137" s="30"/>
      <c r="BR137" s="30"/>
      <c r="BS137" s="30"/>
      <c r="BT137" s="30"/>
      <c r="BU137" s="30"/>
      <c r="BV137" s="113"/>
    </row>
    <row r="138" spans="1:74" ht="217.5" hidden="1" x14ac:dyDescent="0.35">
      <c r="A138" s="22">
        <v>4</v>
      </c>
      <c r="B138" s="22" t="s">
        <v>1451</v>
      </c>
      <c r="C138" s="22" t="s">
        <v>1452</v>
      </c>
      <c r="D138" s="22" t="s">
        <v>1224</v>
      </c>
      <c r="E138" s="22" t="s">
        <v>1453</v>
      </c>
      <c r="F138" s="22"/>
      <c r="G138" s="22" t="s">
        <v>1274</v>
      </c>
      <c r="H138" s="21" t="s">
        <v>1285</v>
      </c>
      <c r="I138" s="101"/>
      <c r="J138" s="21" t="s">
        <v>1311</v>
      </c>
      <c r="K138" s="30"/>
      <c r="L138" s="35" t="s">
        <v>1290</v>
      </c>
      <c r="M138" s="35" t="str">
        <f>VLOOKUP(H138,'1_Value &amp; risk levers'!$H$9:$O$1048576,2,FALSE)</f>
        <v>Single sourced / reliance on a single supplier forspecialty products</v>
      </c>
      <c r="N138" s="35" t="str">
        <f>VLOOKUP(H138,'1_Value &amp; risk levers'!$H$9:$O$1048576,3,FALSE)</f>
        <v>Largely monopolistic for most specialty products e.g., a pool of 2-3 qualified / approved suppliers to choose from</v>
      </c>
      <c r="O138" s="35" t="str">
        <f>VLOOKUP(H138,'1_Value &amp; risk levers'!$H$9:$O$1048576,4,FALSE)</f>
        <v>Multiple qualified suppliers / preferred supplier list for majoe specialty products</v>
      </c>
      <c r="P138" s="35" t="str">
        <f>VLOOKUP(H138,'1_Value &amp; risk levers'!$H$9:$O$1048576,5,FALSE)</f>
        <v>Diversified sourcing options maintained for all specialties</v>
      </c>
      <c r="Q138" s="77">
        <f>IF(VLOOKUP(H138,'1_Value &amp; risk levers'!$H$9:$T$1048576,13,FALSE)=0,"",VLOOKUP(H138,'1_Value &amp; risk levers'!$H$9:$T$1048576,13,FALSE))</f>
        <v>2</v>
      </c>
      <c r="R138" s="128">
        <f t="shared" si="44"/>
        <v>2</v>
      </c>
      <c r="S138" s="128" t="e">
        <f t="shared" si="45"/>
        <v>#DIV/0!</v>
      </c>
      <c r="T138" s="77"/>
      <c r="U138" s="77"/>
      <c r="V138" s="55"/>
      <c r="W138" s="71">
        <v>0.04</v>
      </c>
      <c r="X138" s="71">
        <v>0.1</v>
      </c>
      <c r="Y138" s="71">
        <f>VLOOKUP(H138,'1_Value &amp; risk levers'!$H$9:$O$1048576,8,FALSE)</f>
        <v>0.8</v>
      </c>
      <c r="Z138" s="51">
        <f t="shared" si="46"/>
        <v>7.0000000000000007E-2</v>
      </c>
      <c r="AA138" s="51">
        <f t="shared" si="48"/>
        <v>8.5000000000000006E-2</v>
      </c>
      <c r="AB138" s="55">
        <f t="shared" si="49"/>
        <v>2800000.0000000005</v>
      </c>
      <c r="AC138" s="55">
        <f t="shared" si="50"/>
        <v>3400000.0000000005</v>
      </c>
      <c r="AD138" s="80">
        <f t="shared" si="51"/>
        <v>7</v>
      </c>
      <c r="AE138" s="84">
        <f t="shared" si="52"/>
        <v>0.48864540816326468</v>
      </c>
      <c r="AF138" s="71" t="str">
        <f t="shared" si="53"/>
        <v>Low</v>
      </c>
      <c r="AG138" s="84">
        <f t="shared" si="54"/>
        <v>5.9772908163265304E-2</v>
      </c>
      <c r="AH138" s="84">
        <f t="shared" si="55"/>
        <v>9.5227091836734709E-2</v>
      </c>
      <c r="AI138" s="73">
        <f t="shared" si="56"/>
        <v>2390916.3265306121</v>
      </c>
      <c r="AJ138" s="73">
        <f t="shared" si="57"/>
        <v>3809083.6734693884</v>
      </c>
      <c r="AK138" s="46">
        <f>VLOOKUP(H138,'1_Value &amp; risk levers'!$H$9:$O$1048576,6,FALSE)</f>
        <v>0.02</v>
      </c>
      <c r="AL138" s="46">
        <f>VLOOKUP(H138,'1_Value &amp; risk levers'!$H$9:$O$1048576,7,FALSE)</f>
        <v>0.05</v>
      </c>
      <c r="AM138" s="50">
        <f t="shared" si="58"/>
        <v>3.5000000000000003E-2</v>
      </c>
      <c r="AN138" s="72">
        <f t="shared" si="59"/>
        <v>0.16279069767441862</v>
      </c>
      <c r="AO138" s="84">
        <f t="shared" si="60"/>
        <v>9.73047342192691E-3</v>
      </c>
      <c r="AP138" s="84">
        <f t="shared" si="61"/>
        <v>1.5502084717607978E-2</v>
      </c>
      <c r="AQ138" s="55">
        <f t="shared" si="62"/>
        <v>455813.95348837221</v>
      </c>
      <c r="AR138" s="55">
        <f t="shared" si="63"/>
        <v>553488.37209302338</v>
      </c>
      <c r="AS138" s="83">
        <f t="shared" si="47"/>
        <v>41</v>
      </c>
      <c r="AT138" s="50">
        <f t="shared" si="64"/>
        <v>3.5400000000000005</v>
      </c>
      <c r="AU138" s="55" t="str">
        <f t="shared" si="65"/>
        <v>Low</v>
      </c>
      <c r="AV138" s="34" t="s">
        <v>1492</v>
      </c>
      <c r="AW138" s="112" t="s">
        <v>1538</v>
      </c>
      <c r="AX138" s="30" t="s">
        <v>1493</v>
      </c>
      <c r="AY138" s="30"/>
      <c r="AZ138" s="85" t="str">
        <f>IF(ISERROR(_xlfn.XLOOKUP(CONCATENATE(A138,"_",AV138),'Reference-Proof pt impact flag'!$I$3:$I$1048576,'Reference-Proof pt impact flag'!$G$3:$G$1048576)),"",_xlfn.XLOOKUP(CONCATENATE(A138,"_",AV138),'Reference-Proof pt impact flag'!$I$3:$I$1048576,'Reference-Proof pt impact flag'!$G$3:$G$1048576))</f>
        <v/>
      </c>
      <c r="BA138" s="74"/>
      <c r="BB138" s="74"/>
      <c r="BC138" s="74"/>
      <c r="BD138" s="74"/>
      <c r="BE138" s="74"/>
      <c r="BF138" s="74" t="e">
        <f>_xlfn.XLOOKUP(CONCATENATE(H138,"_",AV138),'Test 2 - Proof points - GPT5'!$T:$T,'Test 2 - Proof points - GPT5'!$S:$S)</f>
        <v>#N/A</v>
      </c>
      <c r="BG138" s="74" t="e">
        <f>_xlfn.XLOOKUP(CONCATENATE(H138,"_",AV138),'Test 2 -Proof points - Sonnet'!$AB:$AB,'Test 2 -Proof points - Sonnet'!$AA:$AA)</f>
        <v>#N/A</v>
      </c>
      <c r="BH138" s="74"/>
      <c r="BI138" s="74"/>
      <c r="BJ138" s="74" t="s">
        <v>1558</v>
      </c>
      <c r="BK138" s="30"/>
      <c r="BL138" s="30"/>
      <c r="BM138" s="30"/>
      <c r="BN138" s="30"/>
      <c r="BO138" s="30"/>
      <c r="BP138" s="30"/>
      <c r="BQ138" s="30"/>
      <c r="BR138" s="30"/>
      <c r="BS138" s="30"/>
      <c r="BT138" s="30"/>
      <c r="BU138" s="30"/>
      <c r="BV138" s="113"/>
    </row>
    <row r="139" spans="1:74" ht="217.5" hidden="1" x14ac:dyDescent="0.35">
      <c r="A139" s="22">
        <v>4</v>
      </c>
      <c r="B139" s="22" t="s">
        <v>1451</v>
      </c>
      <c r="C139" s="22" t="s">
        <v>1452</v>
      </c>
      <c r="D139" s="22" t="s">
        <v>1224</v>
      </c>
      <c r="E139" s="22" t="s">
        <v>1453</v>
      </c>
      <c r="F139" s="22"/>
      <c r="G139" s="22" t="s">
        <v>1274</v>
      </c>
      <c r="H139" s="21" t="s">
        <v>1285</v>
      </c>
      <c r="I139" s="101"/>
      <c r="J139" s="21" t="s">
        <v>1311</v>
      </c>
      <c r="K139" s="30"/>
      <c r="L139" s="35" t="s">
        <v>1290</v>
      </c>
      <c r="M139" s="35" t="str">
        <f>VLOOKUP(H139,'1_Value &amp; risk levers'!$H$9:$O$1048576,2,FALSE)</f>
        <v>Single sourced / reliance on a single supplier forspecialty products</v>
      </c>
      <c r="N139" s="35" t="str">
        <f>VLOOKUP(H139,'1_Value &amp; risk levers'!$H$9:$O$1048576,3,FALSE)</f>
        <v>Largely monopolistic for most specialty products e.g., a pool of 2-3 qualified / approved suppliers to choose from</v>
      </c>
      <c r="O139" s="35" t="str">
        <f>VLOOKUP(H139,'1_Value &amp; risk levers'!$H$9:$O$1048576,4,FALSE)</f>
        <v>Multiple qualified suppliers / preferred supplier list for majoe specialty products</v>
      </c>
      <c r="P139" s="35" t="str">
        <f>VLOOKUP(H139,'1_Value &amp; risk levers'!$H$9:$O$1048576,5,FALSE)</f>
        <v>Diversified sourcing options maintained for all specialties</v>
      </c>
      <c r="Q139" s="77">
        <f>IF(VLOOKUP(H139,'1_Value &amp; risk levers'!$H$9:$T$1048576,13,FALSE)=0,"",VLOOKUP(H139,'1_Value &amp; risk levers'!$H$9:$T$1048576,13,FALSE))</f>
        <v>2</v>
      </c>
      <c r="R139" s="128">
        <f t="shared" si="44"/>
        <v>2</v>
      </c>
      <c r="S139" s="128" t="e">
        <f t="shared" si="45"/>
        <v>#DIV/0!</v>
      </c>
      <c r="T139" s="77"/>
      <c r="U139" s="77"/>
      <c r="V139" s="55"/>
      <c r="W139" s="71">
        <v>0.04</v>
      </c>
      <c r="X139" s="71">
        <v>0.1</v>
      </c>
      <c r="Y139" s="71">
        <f>VLOOKUP(H139,'1_Value &amp; risk levers'!$H$9:$O$1048576,8,FALSE)</f>
        <v>0.8</v>
      </c>
      <c r="Z139" s="51">
        <f t="shared" si="46"/>
        <v>7.0000000000000007E-2</v>
      </c>
      <c r="AA139" s="51">
        <f t="shared" si="48"/>
        <v>8.5000000000000006E-2</v>
      </c>
      <c r="AB139" s="55">
        <f t="shared" si="49"/>
        <v>2800000.0000000005</v>
      </c>
      <c r="AC139" s="55">
        <f t="shared" si="50"/>
        <v>3400000.0000000005</v>
      </c>
      <c r="AD139" s="80">
        <f t="shared" si="51"/>
        <v>7</v>
      </c>
      <c r="AE139" s="84">
        <f t="shared" si="52"/>
        <v>0.48864540816326468</v>
      </c>
      <c r="AF139" s="71" t="str">
        <f t="shared" si="53"/>
        <v>Low</v>
      </c>
      <c r="AG139" s="84">
        <f t="shared" si="54"/>
        <v>5.9772908163265304E-2</v>
      </c>
      <c r="AH139" s="84">
        <f t="shared" si="55"/>
        <v>9.5227091836734709E-2</v>
      </c>
      <c r="AI139" s="73">
        <f t="shared" si="56"/>
        <v>2390916.3265306121</v>
      </c>
      <c r="AJ139" s="73">
        <f t="shared" si="57"/>
        <v>3809083.6734693884</v>
      </c>
      <c r="AK139" s="46">
        <f>VLOOKUP(H139,'1_Value &amp; risk levers'!$H$9:$O$1048576,6,FALSE)</f>
        <v>0.02</v>
      </c>
      <c r="AL139" s="46">
        <f>VLOOKUP(H139,'1_Value &amp; risk levers'!$H$9:$O$1048576,7,FALSE)</f>
        <v>0.05</v>
      </c>
      <c r="AM139" s="50">
        <f t="shared" si="58"/>
        <v>3.5000000000000003E-2</v>
      </c>
      <c r="AN139" s="72">
        <f t="shared" si="59"/>
        <v>0.16279069767441862</v>
      </c>
      <c r="AO139" s="84">
        <f t="shared" si="60"/>
        <v>9.73047342192691E-3</v>
      </c>
      <c r="AP139" s="84">
        <f t="shared" si="61"/>
        <v>1.5502084717607978E-2</v>
      </c>
      <c r="AQ139" s="55">
        <f t="shared" si="62"/>
        <v>455813.95348837221</v>
      </c>
      <c r="AR139" s="55">
        <f t="shared" si="63"/>
        <v>553488.37209302338</v>
      </c>
      <c r="AS139" s="83">
        <f t="shared" si="47"/>
        <v>41</v>
      </c>
      <c r="AT139" s="50">
        <f t="shared" si="64"/>
        <v>3.5400000000000005</v>
      </c>
      <c r="AU139" s="55" t="str">
        <f t="shared" si="65"/>
        <v>Low</v>
      </c>
      <c r="AV139" s="34" t="s">
        <v>1494</v>
      </c>
      <c r="AW139" s="112" t="s">
        <v>1539</v>
      </c>
      <c r="AX139" s="30" t="s">
        <v>1493</v>
      </c>
      <c r="AY139" s="30"/>
      <c r="AZ139" s="85" t="str">
        <f>IF(ISERROR(_xlfn.XLOOKUP(CONCATENATE(A139,"_",AV139),'Reference-Proof pt impact flag'!$I$3:$I$1048576,'Reference-Proof pt impact flag'!$G$3:$G$1048576)),"",_xlfn.XLOOKUP(CONCATENATE(A139,"_",AV139),'Reference-Proof pt impact flag'!$I$3:$I$1048576,'Reference-Proof pt impact flag'!$G$3:$G$1048576))</f>
        <v/>
      </c>
      <c r="BA139" s="74"/>
      <c r="BB139" s="74"/>
      <c r="BC139" s="74"/>
      <c r="BD139" s="74"/>
      <c r="BE139" s="74"/>
      <c r="BF139" s="74" t="e">
        <f>_xlfn.XLOOKUP(CONCATENATE(H139,"_",AV139),'Test 2 - Proof points - GPT5'!$T:$T,'Test 2 - Proof points - GPT5'!$S:$S)</f>
        <v>#N/A</v>
      </c>
      <c r="BG139" s="74" t="e">
        <f>_xlfn.XLOOKUP(CONCATENATE(H139,"_",AV139),'Test 2 -Proof points - Sonnet'!$AB:$AB,'Test 2 -Proof points - Sonnet'!$AA:$AA)</f>
        <v>#N/A</v>
      </c>
      <c r="BH139" s="74"/>
      <c r="BI139" s="74"/>
      <c r="BJ139" s="74" t="s">
        <v>1558</v>
      </c>
      <c r="BK139" s="30"/>
      <c r="BL139" s="30"/>
      <c r="BM139" s="30"/>
      <c r="BN139" s="30"/>
      <c r="BO139" s="30"/>
      <c r="BP139" s="30"/>
      <c r="BQ139" s="30"/>
      <c r="BR139" s="30"/>
      <c r="BS139" s="30"/>
      <c r="BT139" s="30"/>
      <c r="BU139" s="30"/>
      <c r="BV139" s="113"/>
    </row>
    <row r="140" spans="1:74" ht="217.5" hidden="1" x14ac:dyDescent="0.35">
      <c r="A140" s="22">
        <v>4</v>
      </c>
      <c r="B140" s="22" t="s">
        <v>1451</v>
      </c>
      <c r="C140" s="22" t="s">
        <v>1452</v>
      </c>
      <c r="D140" s="22" t="s">
        <v>1224</v>
      </c>
      <c r="E140" s="22" t="s">
        <v>1453</v>
      </c>
      <c r="F140" s="22"/>
      <c r="G140" s="22" t="s">
        <v>1274</v>
      </c>
      <c r="H140" s="21" t="s">
        <v>1285</v>
      </c>
      <c r="I140" s="101"/>
      <c r="J140" s="21" t="s">
        <v>1311</v>
      </c>
      <c r="K140" s="30"/>
      <c r="L140" s="35" t="s">
        <v>1290</v>
      </c>
      <c r="M140" s="35" t="str">
        <f>VLOOKUP(H140,'1_Value &amp; risk levers'!$H$9:$O$1048576,2,FALSE)</f>
        <v>Single sourced / reliance on a single supplier forspecialty products</v>
      </c>
      <c r="N140" s="35" t="str">
        <f>VLOOKUP(H140,'1_Value &amp; risk levers'!$H$9:$O$1048576,3,FALSE)</f>
        <v>Largely monopolistic for most specialty products e.g., a pool of 2-3 qualified / approved suppliers to choose from</v>
      </c>
      <c r="O140" s="35" t="str">
        <f>VLOOKUP(H140,'1_Value &amp; risk levers'!$H$9:$O$1048576,4,FALSE)</f>
        <v>Multiple qualified suppliers / preferred supplier list for majoe specialty products</v>
      </c>
      <c r="P140" s="35" t="str">
        <f>VLOOKUP(H140,'1_Value &amp; risk levers'!$H$9:$O$1048576,5,FALSE)</f>
        <v>Diversified sourcing options maintained for all specialties</v>
      </c>
      <c r="Q140" s="77">
        <f>IF(VLOOKUP(H140,'1_Value &amp; risk levers'!$H$9:$T$1048576,13,FALSE)=0,"",VLOOKUP(H140,'1_Value &amp; risk levers'!$H$9:$T$1048576,13,FALSE))</f>
        <v>2</v>
      </c>
      <c r="R140" s="128">
        <f t="shared" si="44"/>
        <v>2</v>
      </c>
      <c r="S140" s="128" t="e">
        <f t="shared" si="45"/>
        <v>#DIV/0!</v>
      </c>
      <c r="T140" s="77"/>
      <c r="U140" s="77"/>
      <c r="V140" s="55"/>
      <c r="W140" s="71">
        <v>0.04</v>
      </c>
      <c r="X140" s="71">
        <v>0.1</v>
      </c>
      <c r="Y140" s="71">
        <f>VLOOKUP(H140,'1_Value &amp; risk levers'!$H$9:$O$1048576,8,FALSE)</f>
        <v>0.8</v>
      </c>
      <c r="Z140" s="51">
        <f t="shared" si="46"/>
        <v>7.0000000000000007E-2</v>
      </c>
      <c r="AA140" s="51">
        <f t="shared" si="48"/>
        <v>8.5000000000000006E-2</v>
      </c>
      <c r="AB140" s="55">
        <f t="shared" si="49"/>
        <v>2800000.0000000005</v>
      </c>
      <c r="AC140" s="55">
        <f t="shared" si="50"/>
        <v>3400000.0000000005</v>
      </c>
      <c r="AD140" s="80">
        <f t="shared" si="51"/>
        <v>7</v>
      </c>
      <c r="AE140" s="84">
        <f t="shared" si="52"/>
        <v>0.48864540816326468</v>
      </c>
      <c r="AF140" s="71" t="str">
        <f t="shared" si="53"/>
        <v>Low</v>
      </c>
      <c r="AG140" s="84">
        <f t="shared" si="54"/>
        <v>5.9772908163265304E-2</v>
      </c>
      <c r="AH140" s="84">
        <f t="shared" si="55"/>
        <v>9.5227091836734709E-2</v>
      </c>
      <c r="AI140" s="73">
        <f t="shared" si="56"/>
        <v>2390916.3265306121</v>
      </c>
      <c r="AJ140" s="73">
        <f t="shared" si="57"/>
        <v>3809083.6734693884</v>
      </c>
      <c r="AK140" s="46">
        <f>VLOOKUP(H140,'1_Value &amp; risk levers'!$H$9:$O$1048576,6,FALSE)</f>
        <v>0.02</v>
      </c>
      <c r="AL140" s="46">
        <f>VLOOKUP(H140,'1_Value &amp; risk levers'!$H$9:$O$1048576,7,FALSE)</f>
        <v>0.05</v>
      </c>
      <c r="AM140" s="50">
        <f t="shared" si="58"/>
        <v>3.5000000000000003E-2</v>
      </c>
      <c r="AN140" s="72">
        <f t="shared" si="59"/>
        <v>0.16279069767441862</v>
      </c>
      <c r="AO140" s="84">
        <f t="shared" si="60"/>
        <v>9.73047342192691E-3</v>
      </c>
      <c r="AP140" s="84">
        <f t="shared" si="61"/>
        <v>1.5502084717607978E-2</v>
      </c>
      <c r="AQ140" s="55">
        <f t="shared" si="62"/>
        <v>455813.95348837221</v>
      </c>
      <c r="AR140" s="55">
        <f t="shared" si="63"/>
        <v>553488.37209302338</v>
      </c>
      <c r="AS140" s="83">
        <f t="shared" si="47"/>
        <v>41</v>
      </c>
      <c r="AT140" s="50">
        <f t="shared" si="64"/>
        <v>3.5400000000000005</v>
      </c>
      <c r="AU140" s="55" t="str">
        <f t="shared" si="65"/>
        <v>Low</v>
      </c>
      <c r="AV140" s="34" t="s">
        <v>1495</v>
      </c>
      <c r="AW140" s="111"/>
      <c r="AX140" s="30" t="s">
        <v>1493</v>
      </c>
      <c r="AY140" s="30"/>
      <c r="AZ140" s="85" t="str">
        <f>IF(ISERROR(_xlfn.XLOOKUP(CONCATENATE(A140,"_",AV140),'Reference-Proof pt impact flag'!$I$3:$I$1048576,'Reference-Proof pt impact flag'!$G$3:$G$1048576)),"",_xlfn.XLOOKUP(CONCATENATE(A140,"_",AV140),'Reference-Proof pt impact flag'!$I$3:$I$1048576,'Reference-Proof pt impact flag'!$G$3:$G$1048576))</f>
        <v/>
      </c>
      <c r="BA140" s="74"/>
      <c r="BB140" s="74"/>
      <c r="BC140" s="74"/>
      <c r="BD140" s="74"/>
      <c r="BE140" s="74"/>
      <c r="BF140" s="74" t="e">
        <f>_xlfn.XLOOKUP(CONCATENATE(H140,"_",AV140),'Test 2 - Proof points - GPT5'!$T:$T,'Test 2 - Proof points - GPT5'!$S:$S)</f>
        <v>#N/A</v>
      </c>
      <c r="BG140" s="74" t="e">
        <f>_xlfn.XLOOKUP(CONCATENATE(H140,"_",AV140),'Test 2 -Proof points - Sonnet'!$AB:$AB,'Test 2 -Proof points - Sonnet'!$AA:$AA)</f>
        <v>#N/A</v>
      </c>
      <c r="BH140" s="74"/>
      <c r="BI140" s="74"/>
      <c r="BJ140" s="74" t="s">
        <v>1558</v>
      </c>
      <c r="BK140" s="30"/>
      <c r="BL140" s="30"/>
      <c r="BM140" s="30"/>
      <c r="BN140" s="30"/>
      <c r="BO140" s="30"/>
      <c r="BP140" s="30"/>
      <c r="BQ140" s="30"/>
      <c r="BR140" s="30"/>
      <c r="BS140" s="30"/>
      <c r="BT140" s="30"/>
      <c r="BU140" s="30"/>
      <c r="BV140" s="113"/>
    </row>
    <row r="141" spans="1:74" ht="217.5" hidden="1" x14ac:dyDescent="0.35">
      <c r="A141" s="22">
        <v>4</v>
      </c>
      <c r="B141" s="22" t="s">
        <v>1451</v>
      </c>
      <c r="C141" s="22" t="s">
        <v>1452</v>
      </c>
      <c r="D141" s="22" t="s">
        <v>1224</v>
      </c>
      <c r="E141" s="22" t="s">
        <v>1453</v>
      </c>
      <c r="F141" s="22"/>
      <c r="G141" s="22" t="s">
        <v>1274</v>
      </c>
      <c r="H141" s="21" t="s">
        <v>1285</v>
      </c>
      <c r="I141" s="101"/>
      <c r="J141" s="21" t="s">
        <v>1311</v>
      </c>
      <c r="K141" s="30"/>
      <c r="L141" s="35" t="s">
        <v>1290</v>
      </c>
      <c r="M141" s="35" t="str">
        <f>VLOOKUP(H141,'1_Value &amp; risk levers'!$H$9:$O$1048576,2,FALSE)</f>
        <v>Single sourced / reliance on a single supplier forspecialty products</v>
      </c>
      <c r="N141" s="35" t="str">
        <f>VLOOKUP(H141,'1_Value &amp; risk levers'!$H$9:$O$1048576,3,FALSE)</f>
        <v>Largely monopolistic for most specialty products e.g., a pool of 2-3 qualified / approved suppliers to choose from</v>
      </c>
      <c r="O141" s="35" t="str">
        <f>VLOOKUP(H141,'1_Value &amp; risk levers'!$H$9:$O$1048576,4,FALSE)</f>
        <v>Multiple qualified suppliers / preferred supplier list for majoe specialty products</v>
      </c>
      <c r="P141" s="35" t="str">
        <f>VLOOKUP(H141,'1_Value &amp; risk levers'!$H$9:$O$1048576,5,FALSE)</f>
        <v>Diversified sourcing options maintained for all specialties</v>
      </c>
      <c r="Q141" s="77">
        <f>IF(VLOOKUP(H141,'1_Value &amp; risk levers'!$H$9:$T$1048576,13,FALSE)=0,"",VLOOKUP(H141,'1_Value &amp; risk levers'!$H$9:$T$1048576,13,FALSE))</f>
        <v>2</v>
      </c>
      <c r="R141" s="128">
        <f t="shared" si="44"/>
        <v>2</v>
      </c>
      <c r="S141" s="128" t="e">
        <f t="shared" si="45"/>
        <v>#DIV/0!</v>
      </c>
      <c r="T141" s="77"/>
      <c r="U141" s="77"/>
      <c r="V141" s="55"/>
      <c r="W141" s="71">
        <v>0.04</v>
      </c>
      <c r="X141" s="71">
        <v>0.1</v>
      </c>
      <c r="Y141" s="71">
        <f>VLOOKUP(H141,'1_Value &amp; risk levers'!$H$9:$O$1048576,8,FALSE)</f>
        <v>0.8</v>
      </c>
      <c r="Z141" s="51">
        <f t="shared" si="46"/>
        <v>7.0000000000000007E-2</v>
      </c>
      <c r="AA141" s="51">
        <f t="shared" si="48"/>
        <v>8.5000000000000006E-2</v>
      </c>
      <c r="AB141" s="55">
        <f t="shared" si="49"/>
        <v>2800000.0000000005</v>
      </c>
      <c r="AC141" s="55">
        <f t="shared" si="50"/>
        <v>3400000.0000000005</v>
      </c>
      <c r="AD141" s="80">
        <f t="shared" si="51"/>
        <v>7</v>
      </c>
      <c r="AE141" s="84">
        <f t="shared" si="52"/>
        <v>0.48864540816326468</v>
      </c>
      <c r="AF141" s="71" t="str">
        <f t="shared" si="53"/>
        <v>Low</v>
      </c>
      <c r="AG141" s="84">
        <f t="shared" si="54"/>
        <v>5.9772908163265304E-2</v>
      </c>
      <c r="AH141" s="84">
        <f t="shared" si="55"/>
        <v>9.5227091836734709E-2</v>
      </c>
      <c r="AI141" s="73">
        <f t="shared" si="56"/>
        <v>2390916.3265306121</v>
      </c>
      <c r="AJ141" s="73">
        <f t="shared" si="57"/>
        <v>3809083.6734693884</v>
      </c>
      <c r="AK141" s="46">
        <f>VLOOKUP(H141,'1_Value &amp; risk levers'!$H$9:$O$1048576,6,FALSE)</f>
        <v>0.02</v>
      </c>
      <c r="AL141" s="46">
        <f>VLOOKUP(H141,'1_Value &amp; risk levers'!$H$9:$O$1048576,7,FALSE)</f>
        <v>0.05</v>
      </c>
      <c r="AM141" s="50">
        <f t="shared" si="58"/>
        <v>3.5000000000000003E-2</v>
      </c>
      <c r="AN141" s="72">
        <f t="shared" si="59"/>
        <v>0.16279069767441862</v>
      </c>
      <c r="AO141" s="84">
        <f t="shared" si="60"/>
        <v>9.73047342192691E-3</v>
      </c>
      <c r="AP141" s="84">
        <f t="shared" si="61"/>
        <v>1.5502084717607978E-2</v>
      </c>
      <c r="AQ141" s="55">
        <f t="shared" si="62"/>
        <v>455813.95348837221</v>
      </c>
      <c r="AR141" s="55">
        <f t="shared" si="63"/>
        <v>553488.37209302338</v>
      </c>
      <c r="AS141" s="83">
        <f t="shared" si="47"/>
        <v>41</v>
      </c>
      <c r="AT141" s="50">
        <f t="shared" si="64"/>
        <v>3.5400000000000005</v>
      </c>
      <c r="AU141" s="55" t="str">
        <f t="shared" si="65"/>
        <v>Low</v>
      </c>
      <c r="AV141" s="34" t="s">
        <v>1496</v>
      </c>
      <c r="AW141" s="111"/>
      <c r="AX141" s="30" t="s">
        <v>1493</v>
      </c>
      <c r="AY141" s="30"/>
      <c r="AZ141" s="85" t="str">
        <f>IF(ISERROR(_xlfn.XLOOKUP(CONCATENATE(A141,"_",AV141),'Reference-Proof pt impact flag'!$I$3:$I$1048576,'Reference-Proof pt impact flag'!$G$3:$G$1048576)),"",_xlfn.XLOOKUP(CONCATENATE(A141,"_",AV141),'Reference-Proof pt impact flag'!$I$3:$I$1048576,'Reference-Proof pt impact flag'!$G$3:$G$1048576))</f>
        <v/>
      </c>
      <c r="BA141" s="74"/>
      <c r="BB141" s="74"/>
      <c r="BC141" s="74"/>
      <c r="BD141" s="74"/>
      <c r="BE141" s="74"/>
      <c r="BF141" s="74" t="e">
        <f>_xlfn.XLOOKUP(CONCATENATE(H141,"_",AV141),'Test 2 - Proof points - GPT5'!$T:$T,'Test 2 - Proof points - GPT5'!$S:$S)</f>
        <v>#N/A</v>
      </c>
      <c r="BG141" s="74" t="e">
        <f>_xlfn.XLOOKUP(CONCATENATE(H141,"_",AV141),'Test 2 -Proof points - Sonnet'!$AB:$AB,'Test 2 -Proof points - Sonnet'!$AA:$AA)</f>
        <v>#N/A</v>
      </c>
      <c r="BH141" s="74"/>
      <c r="BI141" s="74"/>
      <c r="BJ141" s="74" t="s">
        <v>1558</v>
      </c>
      <c r="BK141" s="30"/>
      <c r="BL141" s="30"/>
      <c r="BM141" s="30"/>
      <c r="BN141" s="30"/>
      <c r="BO141" s="30"/>
      <c r="BP141" s="30"/>
      <c r="BQ141" s="30"/>
      <c r="BR141" s="30"/>
      <c r="BS141" s="30"/>
      <c r="BT141" s="30"/>
      <c r="BU141" s="30"/>
      <c r="BV141" s="113"/>
    </row>
    <row r="142" spans="1:74" ht="217.5" hidden="1" x14ac:dyDescent="0.35">
      <c r="A142" s="22">
        <v>4</v>
      </c>
      <c r="B142" s="22" t="s">
        <v>1451</v>
      </c>
      <c r="C142" s="22" t="s">
        <v>1452</v>
      </c>
      <c r="D142" s="22" t="s">
        <v>1224</v>
      </c>
      <c r="E142" s="22" t="s">
        <v>1453</v>
      </c>
      <c r="F142" s="22"/>
      <c r="G142" s="22" t="s">
        <v>1274</v>
      </c>
      <c r="H142" s="21" t="s">
        <v>1285</v>
      </c>
      <c r="I142" s="101"/>
      <c r="J142" s="21" t="s">
        <v>1311</v>
      </c>
      <c r="K142" s="30"/>
      <c r="L142" s="35" t="s">
        <v>1290</v>
      </c>
      <c r="M142" s="35" t="str">
        <f>VLOOKUP(H142,'1_Value &amp; risk levers'!$H$9:$O$1048576,2,FALSE)</f>
        <v>Single sourced / reliance on a single supplier forspecialty products</v>
      </c>
      <c r="N142" s="35" t="str">
        <f>VLOOKUP(H142,'1_Value &amp; risk levers'!$H$9:$O$1048576,3,FALSE)</f>
        <v>Largely monopolistic for most specialty products e.g., a pool of 2-3 qualified / approved suppliers to choose from</v>
      </c>
      <c r="O142" s="35" t="str">
        <f>VLOOKUP(H142,'1_Value &amp; risk levers'!$H$9:$O$1048576,4,FALSE)</f>
        <v>Multiple qualified suppliers / preferred supplier list for majoe specialty products</v>
      </c>
      <c r="P142" s="35" t="str">
        <f>VLOOKUP(H142,'1_Value &amp; risk levers'!$H$9:$O$1048576,5,FALSE)</f>
        <v>Diversified sourcing options maintained for all specialties</v>
      </c>
      <c r="Q142" s="77">
        <f>IF(VLOOKUP(H142,'1_Value &amp; risk levers'!$H$9:$T$1048576,13,FALSE)=0,"",VLOOKUP(H142,'1_Value &amp; risk levers'!$H$9:$T$1048576,13,FALSE))</f>
        <v>2</v>
      </c>
      <c r="R142" s="128">
        <f t="shared" si="44"/>
        <v>2</v>
      </c>
      <c r="S142" s="128" t="e">
        <f t="shared" si="45"/>
        <v>#DIV/0!</v>
      </c>
      <c r="T142" s="77"/>
      <c r="U142" s="77"/>
      <c r="V142" s="55"/>
      <c r="W142" s="71">
        <v>0.04</v>
      </c>
      <c r="X142" s="71">
        <v>0.1</v>
      </c>
      <c r="Y142" s="71">
        <f>VLOOKUP(H142,'1_Value &amp; risk levers'!$H$9:$O$1048576,8,FALSE)</f>
        <v>0.8</v>
      </c>
      <c r="Z142" s="51">
        <f t="shared" si="46"/>
        <v>7.0000000000000007E-2</v>
      </c>
      <c r="AA142" s="51">
        <f t="shared" si="48"/>
        <v>8.5000000000000006E-2</v>
      </c>
      <c r="AB142" s="55">
        <f t="shared" si="49"/>
        <v>2800000.0000000005</v>
      </c>
      <c r="AC142" s="55">
        <f t="shared" si="50"/>
        <v>3400000.0000000005</v>
      </c>
      <c r="AD142" s="80">
        <f t="shared" si="51"/>
        <v>7</v>
      </c>
      <c r="AE142" s="84">
        <f t="shared" si="52"/>
        <v>0.48864540816326468</v>
      </c>
      <c r="AF142" s="71" t="str">
        <f t="shared" si="53"/>
        <v>Low</v>
      </c>
      <c r="AG142" s="84">
        <f t="shared" si="54"/>
        <v>5.9772908163265304E-2</v>
      </c>
      <c r="AH142" s="84">
        <f t="shared" si="55"/>
        <v>9.5227091836734709E-2</v>
      </c>
      <c r="AI142" s="73">
        <f t="shared" si="56"/>
        <v>2390916.3265306121</v>
      </c>
      <c r="AJ142" s="73">
        <f t="shared" si="57"/>
        <v>3809083.6734693884</v>
      </c>
      <c r="AK142" s="46">
        <f>VLOOKUP(H142,'1_Value &amp; risk levers'!$H$9:$O$1048576,6,FALSE)</f>
        <v>0.02</v>
      </c>
      <c r="AL142" s="46">
        <f>VLOOKUP(H142,'1_Value &amp; risk levers'!$H$9:$O$1048576,7,FALSE)</f>
        <v>0.05</v>
      </c>
      <c r="AM142" s="50">
        <f t="shared" si="58"/>
        <v>3.5000000000000003E-2</v>
      </c>
      <c r="AN142" s="72">
        <f t="shared" si="59"/>
        <v>0.16279069767441862</v>
      </c>
      <c r="AO142" s="84">
        <f t="shared" si="60"/>
        <v>9.73047342192691E-3</v>
      </c>
      <c r="AP142" s="84">
        <f t="shared" si="61"/>
        <v>1.5502084717607978E-2</v>
      </c>
      <c r="AQ142" s="55">
        <f t="shared" si="62"/>
        <v>455813.95348837221</v>
      </c>
      <c r="AR142" s="55">
        <f t="shared" si="63"/>
        <v>553488.37209302338</v>
      </c>
      <c r="AS142" s="83">
        <f t="shared" si="47"/>
        <v>41</v>
      </c>
      <c r="AT142" s="50">
        <f t="shared" si="64"/>
        <v>3.5400000000000005</v>
      </c>
      <c r="AU142" s="55" t="str">
        <f t="shared" si="65"/>
        <v>Low</v>
      </c>
      <c r="AV142" s="34" t="s">
        <v>1499</v>
      </c>
      <c r="AW142" s="111"/>
      <c r="AX142" s="30" t="s">
        <v>1493</v>
      </c>
      <c r="AY142" s="30"/>
      <c r="AZ142" s="85" t="str">
        <f>IF(ISERROR(_xlfn.XLOOKUP(CONCATENATE(A142,"_",AV142),'Reference-Proof pt impact flag'!$I$3:$I$1048576,'Reference-Proof pt impact flag'!$G$3:$G$1048576)),"",_xlfn.XLOOKUP(CONCATENATE(A142,"_",AV142),'Reference-Proof pt impact flag'!$I$3:$I$1048576,'Reference-Proof pt impact flag'!$G$3:$G$1048576))</f>
        <v/>
      </c>
      <c r="BA142" s="74"/>
      <c r="BB142" s="74"/>
      <c r="BC142" s="74"/>
      <c r="BD142" s="74"/>
      <c r="BE142" s="74"/>
      <c r="BF142" s="74" t="e">
        <f>_xlfn.XLOOKUP(CONCATENATE(H142,"_",AV142),'Test 2 - Proof points - GPT5'!$T:$T,'Test 2 - Proof points - GPT5'!$S:$S)</f>
        <v>#N/A</v>
      </c>
      <c r="BG142" s="74" t="e">
        <f>_xlfn.XLOOKUP(CONCATENATE(H142,"_",AV142),'Test 2 -Proof points - Sonnet'!$AB:$AB,'Test 2 -Proof points - Sonnet'!$AA:$AA)</f>
        <v>#N/A</v>
      </c>
      <c r="BH142" s="74"/>
      <c r="BI142" s="74"/>
      <c r="BJ142" s="74" t="s">
        <v>1558</v>
      </c>
      <c r="BK142" s="30"/>
      <c r="BL142" s="30"/>
      <c r="BM142" s="30"/>
      <c r="BN142" s="30"/>
      <c r="BO142" s="30"/>
      <c r="BP142" s="30"/>
      <c r="BQ142" s="30"/>
      <c r="BR142" s="30"/>
      <c r="BS142" s="30"/>
      <c r="BT142" s="30"/>
      <c r="BU142" s="30"/>
      <c r="BV142" s="113"/>
    </row>
    <row r="143" spans="1:74" ht="217.5" hidden="1" x14ac:dyDescent="0.35">
      <c r="A143" s="22">
        <v>4</v>
      </c>
      <c r="B143" s="22" t="s">
        <v>1451</v>
      </c>
      <c r="C143" s="22" t="s">
        <v>1452</v>
      </c>
      <c r="D143" s="22" t="s">
        <v>1224</v>
      </c>
      <c r="E143" s="22" t="s">
        <v>1453</v>
      </c>
      <c r="F143" s="22"/>
      <c r="G143" s="22" t="s">
        <v>1274</v>
      </c>
      <c r="H143" s="21" t="s">
        <v>1285</v>
      </c>
      <c r="I143" s="101"/>
      <c r="J143" s="21" t="s">
        <v>1311</v>
      </c>
      <c r="K143" s="30"/>
      <c r="L143" s="35" t="s">
        <v>1290</v>
      </c>
      <c r="M143" s="35" t="str">
        <f>VLOOKUP(H143,'1_Value &amp; risk levers'!$H$9:$O$1048576,2,FALSE)</f>
        <v>Single sourced / reliance on a single supplier forspecialty products</v>
      </c>
      <c r="N143" s="35" t="str">
        <f>VLOOKUP(H143,'1_Value &amp; risk levers'!$H$9:$O$1048576,3,FALSE)</f>
        <v>Largely monopolistic for most specialty products e.g., a pool of 2-3 qualified / approved suppliers to choose from</v>
      </c>
      <c r="O143" s="35" t="str">
        <f>VLOOKUP(H143,'1_Value &amp; risk levers'!$H$9:$O$1048576,4,FALSE)</f>
        <v>Multiple qualified suppliers / preferred supplier list for majoe specialty products</v>
      </c>
      <c r="P143" s="35" t="str">
        <f>VLOOKUP(H143,'1_Value &amp; risk levers'!$H$9:$O$1048576,5,FALSE)</f>
        <v>Diversified sourcing options maintained for all specialties</v>
      </c>
      <c r="Q143" s="77">
        <f>IF(VLOOKUP(H143,'1_Value &amp; risk levers'!$H$9:$T$1048576,13,FALSE)=0,"",VLOOKUP(H143,'1_Value &amp; risk levers'!$H$9:$T$1048576,13,FALSE))</f>
        <v>2</v>
      </c>
      <c r="R143" s="128">
        <f t="shared" si="44"/>
        <v>2</v>
      </c>
      <c r="S143" s="128" t="e">
        <f t="shared" si="45"/>
        <v>#DIV/0!</v>
      </c>
      <c r="T143" s="77"/>
      <c r="U143" s="77"/>
      <c r="V143" s="55"/>
      <c r="W143" s="71">
        <v>0.04</v>
      </c>
      <c r="X143" s="71">
        <v>0.1</v>
      </c>
      <c r="Y143" s="71">
        <f>VLOOKUP(H143,'1_Value &amp; risk levers'!$H$9:$O$1048576,8,FALSE)</f>
        <v>0.8</v>
      </c>
      <c r="Z143" s="51">
        <f t="shared" si="46"/>
        <v>7.0000000000000007E-2</v>
      </c>
      <c r="AA143" s="51">
        <f t="shared" si="48"/>
        <v>8.5000000000000006E-2</v>
      </c>
      <c r="AB143" s="55">
        <f t="shared" si="49"/>
        <v>2800000.0000000005</v>
      </c>
      <c r="AC143" s="55">
        <f t="shared" si="50"/>
        <v>3400000.0000000005</v>
      </c>
      <c r="AD143" s="80">
        <f t="shared" si="51"/>
        <v>7</v>
      </c>
      <c r="AE143" s="84">
        <f t="shared" si="52"/>
        <v>0.48864540816326468</v>
      </c>
      <c r="AF143" s="71" t="str">
        <f t="shared" si="53"/>
        <v>Low</v>
      </c>
      <c r="AG143" s="84">
        <f t="shared" si="54"/>
        <v>5.9772908163265304E-2</v>
      </c>
      <c r="AH143" s="84">
        <f t="shared" si="55"/>
        <v>9.5227091836734709E-2</v>
      </c>
      <c r="AI143" s="73">
        <f t="shared" si="56"/>
        <v>2390916.3265306121</v>
      </c>
      <c r="AJ143" s="73">
        <f t="shared" si="57"/>
        <v>3809083.6734693884</v>
      </c>
      <c r="AK143" s="46">
        <f>VLOOKUP(H143,'1_Value &amp; risk levers'!$H$9:$O$1048576,6,FALSE)</f>
        <v>0.02</v>
      </c>
      <c r="AL143" s="46">
        <f>VLOOKUP(H143,'1_Value &amp; risk levers'!$H$9:$O$1048576,7,FALSE)</f>
        <v>0.05</v>
      </c>
      <c r="AM143" s="50">
        <f t="shared" si="58"/>
        <v>3.5000000000000003E-2</v>
      </c>
      <c r="AN143" s="72">
        <f t="shared" si="59"/>
        <v>0.16279069767441862</v>
      </c>
      <c r="AO143" s="84">
        <f t="shared" si="60"/>
        <v>9.73047342192691E-3</v>
      </c>
      <c r="AP143" s="84">
        <f t="shared" si="61"/>
        <v>1.5502084717607978E-2</v>
      </c>
      <c r="AQ143" s="55">
        <f t="shared" si="62"/>
        <v>455813.95348837221</v>
      </c>
      <c r="AR143" s="55">
        <f t="shared" si="63"/>
        <v>553488.37209302338</v>
      </c>
      <c r="AS143" s="83">
        <f t="shared" si="47"/>
        <v>41</v>
      </c>
      <c r="AT143" s="50">
        <f t="shared" si="64"/>
        <v>3.5400000000000005</v>
      </c>
      <c r="AU143" s="55" t="str">
        <f t="shared" si="65"/>
        <v>Low</v>
      </c>
      <c r="AV143" s="34" t="s">
        <v>1500</v>
      </c>
      <c r="AW143" s="111"/>
      <c r="AX143" s="30" t="s">
        <v>1493</v>
      </c>
      <c r="AY143" s="30"/>
      <c r="AZ143" s="85" t="str">
        <f>IF(ISERROR(_xlfn.XLOOKUP(CONCATENATE(A143,"_",AV143),'Reference-Proof pt impact flag'!$I$3:$I$1048576,'Reference-Proof pt impact flag'!$G$3:$G$1048576)),"",_xlfn.XLOOKUP(CONCATENATE(A143,"_",AV143),'Reference-Proof pt impact flag'!$I$3:$I$1048576,'Reference-Proof pt impact flag'!$G$3:$G$1048576))</f>
        <v/>
      </c>
      <c r="BA143" s="74"/>
      <c r="BB143" s="74"/>
      <c r="BC143" s="74"/>
      <c r="BD143" s="74"/>
      <c r="BE143" s="74"/>
      <c r="BF143" s="74" t="e">
        <f>_xlfn.XLOOKUP(CONCATENATE(H143,"_",AV143),'Test 2 - Proof points - GPT5'!$T:$T,'Test 2 - Proof points - GPT5'!$S:$S)</f>
        <v>#N/A</v>
      </c>
      <c r="BG143" s="74" t="e">
        <f>_xlfn.XLOOKUP(CONCATENATE(H143,"_",AV143),'Test 2 -Proof points - Sonnet'!$AB:$AB,'Test 2 -Proof points - Sonnet'!$AA:$AA)</f>
        <v>#N/A</v>
      </c>
      <c r="BH143" s="74"/>
      <c r="BI143" s="74"/>
      <c r="BJ143" s="74" t="s">
        <v>1558</v>
      </c>
      <c r="BK143" s="30"/>
      <c r="BL143" s="30"/>
      <c r="BM143" s="30"/>
      <c r="BN143" s="30"/>
      <c r="BO143" s="30"/>
      <c r="BP143" s="30"/>
      <c r="BQ143" s="30"/>
      <c r="BR143" s="30"/>
      <c r="BS143" s="30"/>
      <c r="BT143" s="30"/>
      <c r="BU143" s="30"/>
      <c r="BV143" s="113"/>
    </row>
    <row r="144" spans="1:74" ht="217.5" hidden="1" x14ac:dyDescent="0.35">
      <c r="A144" s="22">
        <v>4</v>
      </c>
      <c r="B144" s="22" t="s">
        <v>1451</v>
      </c>
      <c r="C144" s="22" t="s">
        <v>1452</v>
      </c>
      <c r="D144" s="22" t="s">
        <v>1224</v>
      </c>
      <c r="E144" s="22" t="s">
        <v>1453</v>
      </c>
      <c r="F144" s="22"/>
      <c r="G144" s="22" t="s">
        <v>1274</v>
      </c>
      <c r="H144" s="21" t="s">
        <v>1285</v>
      </c>
      <c r="I144" s="101"/>
      <c r="J144" s="21" t="s">
        <v>1311</v>
      </c>
      <c r="K144" s="30"/>
      <c r="L144" s="35" t="s">
        <v>1290</v>
      </c>
      <c r="M144" s="35" t="str">
        <f>VLOOKUP(H144,'1_Value &amp; risk levers'!$H$9:$O$1048576,2,FALSE)</f>
        <v>Single sourced / reliance on a single supplier forspecialty products</v>
      </c>
      <c r="N144" s="35" t="str">
        <f>VLOOKUP(H144,'1_Value &amp; risk levers'!$H$9:$O$1048576,3,FALSE)</f>
        <v>Largely monopolistic for most specialty products e.g., a pool of 2-3 qualified / approved suppliers to choose from</v>
      </c>
      <c r="O144" s="35" t="str">
        <f>VLOOKUP(H144,'1_Value &amp; risk levers'!$H$9:$O$1048576,4,FALSE)</f>
        <v>Multiple qualified suppliers / preferred supplier list for majoe specialty products</v>
      </c>
      <c r="P144" s="35" t="str">
        <f>VLOOKUP(H144,'1_Value &amp; risk levers'!$H$9:$O$1048576,5,FALSE)</f>
        <v>Diversified sourcing options maintained for all specialties</v>
      </c>
      <c r="Q144" s="77">
        <f>IF(VLOOKUP(H144,'1_Value &amp; risk levers'!$H$9:$T$1048576,13,FALSE)=0,"",VLOOKUP(H144,'1_Value &amp; risk levers'!$H$9:$T$1048576,13,FALSE))</f>
        <v>2</v>
      </c>
      <c r="R144" s="128">
        <f t="shared" si="44"/>
        <v>2</v>
      </c>
      <c r="S144" s="128" t="e">
        <f t="shared" si="45"/>
        <v>#DIV/0!</v>
      </c>
      <c r="T144" s="77"/>
      <c r="U144" s="77"/>
      <c r="V144" s="55"/>
      <c r="W144" s="71">
        <v>0.04</v>
      </c>
      <c r="X144" s="71">
        <v>0.1</v>
      </c>
      <c r="Y144" s="71">
        <f>VLOOKUP(H144,'1_Value &amp; risk levers'!$H$9:$O$1048576,8,FALSE)</f>
        <v>0.8</v>
      </c>
      <c r="Z144" s="51">
        <f t="shared" si="46"/>
        <v>7.0000000000000007E-2</v>
      </c>
      <c r="AA144" s="51">
        <f t="shared" si="48"/>
        <v>8.5000000000000006E-2</v>
      </c>
      <c r="AB144" s="55">
        <f t="shared" si="49"/>
        <v>2800000.0000000005</v>
      </c>
      <c r="AC144" s="55">
        <f t="shared" si="50"/>
        <v>3400000.0000000005</v>
      </c>
      <c r="AD144" s="80">
        <f t="shared" si="51"/>
        <v>7</v>
      </c>
      <c r="AE144" s="84">
        <f t="shared" si="52"/>
        <v>0.48864540816326468</v>
      </c>
      <c r="AF144" s="71" t="str">
        <f t="shared" si="53"/>
        <v>Low</v>
      </c>
      <c r="AG144" s="84">
        <f t="shared" si="54"/>
        <v>5.9772908163265304E-2</v>
      </c>
      <c r="AH144" s="84">
        <f t="shared" si="55"/>
        <v>9.5227091836734709E-2</v>
      </c>
      <c r="AI144" s="73">
        <f t="shared" si="56"/>
        <v>2390916.3265306121</v>
      </c>
      <c r="AJ144" s="73">
        <f t="shared" si="57"/>
        <v>3809083.6734693884</v>
      </c>
      <c r="AK144" s="46">
        <f>VLOOKUP(H144,'1_Value &amp; risk levers'!$H$9:$O$1048576,6,FALSE)</f>
        <v>0.02</v>
      </c>
      <c r="AL144" s="46">
        <f>VLOOKUP(H144,'1_Value &amp; risk levers'!$H$9:$O$1048576,7,FALSE)</f>
        <v>0.05</v>
      </c>
      <c r="AM144" s="50">
        <f t="shared" si="58"/>
        <v>3.5000000000000003E-2</v>
      </c>
      <c r="AN144" s="72">
        <f t="shared" si="59"/>
        <v>0.16279069767441862</v>
      </c>
      <c r="AO144" s="84">
        <f t="shared" si="60"/>
        <v>9.73047342192691E-3</v>
      </c>
      <c r="AP144" s="84">
        <f t="shared" si="61"/>
        <v>1.5502084717607978E-2</v>
      </c>
      <c r="AQ144" s="55">
        <f t="shared" si="62"/>
        <v>455813.95348837221</v>
      </c>
      <c r="AR144" s="55">
        <f t="shared" si="63"/>
        <v>553488.37209302338</v>
      </c>
      <c r="AS144" s="83">
        <f t="shared" si="47"/>
        <v>41</v>
      </c>
      <c r="AT144" s="50">
        <f t="shared" si="64"/>
        <v>3.5400000000000005</v>
      </c>
      <c r="AU144" s="55" t="str">
        <f t="shared" si="65"/>
        <v>Low</v>
      </c>
      <c r="AV144" s="34" t="s">
        <v>1501</v>
      </c>
      <c r="AW144" s="111"/>
      <c r="AX144" s="30" t="s">
        <v>1493</v>
      </c>
      <c r="AY144" s="30"/>
      <c r="AZ144" s="85" t="str">
        <f>IF(ISERROR(_xlfn.XLOOKUP(CONCATENATE(A144,"_",AV144),'Reference-Proof pt impact flag'!$I$3:$I$1048576,'Reference-Proof pt impact flag'!$G$3:$G$1048576)),"",_xlfn.XLOOKUP(CONCATENATE(A144,"_",AV144),'Reference-Proof pt impact flag'!$I$3:$I$1048576,'Reference-Proof pt impact flag'!$G$3:$G$1048576))</f>
        <v/>
      </c>
      <c r="BA144" s="74"/>
      <c r="BB144" s="74"/>
      <c r="BC144" s="74"/>
      <c r="BD144" s="74"/>
      <c r="BE144" s="74"/>
      <c r="BF144" s="74" t="e">
        <f>_xlfn.XLOOKUP(CONCATENATE(H144,"_",AV144),'Test 2 - Proof points - GPT5'!$T:$T,'Test 2 - Proof points - GPT5'!$S:$S)</f>
        <v>#N/A</v>
      </c>
      <c r="BG144" s="74" t="e">
        <f>_xlfn.XLOOKUP(CONCATENATE(H144,"_",AV144),'Test 2 -Proof points - Sonnet'!$AB:$AB,'Test 2 -Proof points - Sonnet'!$AA:$AA)</f>
        <v>#N/A</v>
      </c>
      <c r="BH144" s="74"/>
      <c r="BI144" s="74"/>
      <c r="BJ144" s="74" t="s">
        <v>1558</v>
      </c>
      <c r="BK144" s="30"/>
      <c r="BL144" s="30"/>
      <c r="BM144" s="30"/>
      <c r="BN144" s="30"/>
      <c r="BO144" s="30"/>
      <c r="BP144" s="30"/>
      <c r="BQ144" s="30"/>
      <c r="BR144" s="30"/>
      <c r="BS144" s="30"/>
      <c r="BT144" s="30"/>
      <c r="BU144" s="30"/>
      <c r="BV144" s="113"/>
    </row>
    <row r="145" spans="1:74" ht="217.5" hidden="1" x14ac:dyDescent="0.35">
      <c r="A145" s="22">
        <v>4</v>
      </c>
      <c r="B145" s="22" t="s">
        <v>1451</v>
      </c>
      <c r="C145" s="22" t="s">
        <v>1452</v>
      </c>
      <c r="D145" s="22" t="s">
        <v>1224</v>
      </c>
      <c r="E145" s="22" t="s">
        <v>1453</v>
      </c>
      <c r="F145" s="22"/>
      <c r="G145" s="22" t="s">
        <v>1274</v>
      </c>
      <c r="H145" s="21" t="s">
        <v>1285</v>
      </c>
      <c r="I145" s="101"/>
      <c r="J145" s="21" t="s">
        <v>1311</v>
      </c>
      <c r="K145" s="30"/>
      <c r="L145" s="35" t="s">
        <v>1290</v>
      </c>
      <c r="M145" s="35" t="str">
        <f>VLOOKUP(H145,'1_Value &amp; risk levers'!$H$9:$O$1048576,2,FALSE)</f>
        <v>Single sourced / reliance on a single supplier forspecialty products</v>
      </c>
      <c r="N145" s="35" t="str">
        <f>VLOOKUP(H145,'1_Value &amp; risk levers'!$H$9:$O$1048576,3,FALSE)</f>
        <v>Largely monopolistic for most specialty products e.g., a pool of 2-3 qualified / approved suppliers to choose from</v>
      </c>
      <c r="O145" s="35" t="str">
        <f>VLOOKUP(H145,'1_Value &amp; risk levers'!$H$9:$O$1048576,4,FALSE)</f>
        <v>Multiple qualified suppliers / preferred supplier list for majoe specialty products</v>
      </c>
      <c r="P145" s="35" t="str">
        <f>VLOOKUP(H145,'1_Value &amp; risk levers'!$H$9:$O$1048576,5,FALSE)</f>
        <v>Diversified sourcing options maintained for all specialties</v>
      </c>
      <c r="Q145" s="77">
        <f>IF(VLOOKUP(H145,'1_Value &amp; risk levers'!$H$9:$T$1048576,13,FALSE)=0,"",VLOOKUP(H145,'1_Value &amp; risk levers'!$H$9:$T$1048576,13,FALSE))</f>
        <v>2</v>
      </c>
      <c r="R145" s="128">
        <f t="shared" si="44"/>
        <v>2</v>
      </c>
      <c r="S145" s="128" t="e">
        <f t="shared" si="45"/>
        <v>#DIV/0!</v>
      </c>
      <c r="T145" s="77"/>
      <c r="U145" s="77"/>
      <c r="V145" s="55"/>
      <c r="W145" s="71">
        <v>0.04</v>
      </c>
      <c r="X145" s="71">
        <v>0.1</v>
      </c>
      <c r="Y145" s="71">
        <f>VLOOKUP(H145,'1_Value &amp; risk levers'!$H$9:$O$1048576,8,FALSE)</f>
        <v>0.8</v>
      </c>
      <c r="Z145" s="51">
        <f t="shared" si="46"/>
        <v>7.0000000000000007E-2</v>
      </c>
      <c r="AA145" s="51">
        <f t="shared" si="48"/>
        <v>8.5000000000000006E-2</v>
      </c>
      <c r="AB145" s="55">
        <f t="shared" si="49"/>
        <v>2800000.0000000005</v>
      </c>
      <c r="AC145" s="55">
        <f t="shared" si="50"/>
        <v>3400000.0000000005</v>
      </c>
      <c r="AD145" s="80">
        <f t="shared" si="51"/>
        <v>7</v>
      </c>
      <c r="AE145" s="84">
        <f t="shared" si="52"/>
        <v>0.48864540816326468</v>
      </c>
      <c r="AF145" s="71" t="str">
        <f t="shared" si="53"/>
        <v>Low</v>
      </c>
      <c r="AG145" s="84">
        <f t="shared" si="54"/>
        <v>5.9772908163265304E-2</v>
      </c>
      <c r="AH145" s="84">
        <f t="shared" si="55"/>
        <v>9.5227091836734709E-2</v>
      </c>
      <c r="AI145" s="73">
        <f t="shared" si="56"/>
        <v>2390916.3265306121</v>
      </c>
      <c r="AJ145" s="73">
        <f t="shared" si="57"/>
        <v>3809083.6734693884</v>
      </c>
      <c r="AK145" s="46">
        <f>VLOOKUP(H145,'1_Value &amp; risk levers'!$H$9:$O$1048576,6,FALSE)</f>
        <v>0.02</v>
      </c>
      <c r="AL145" s="46">
        <f>VLOOKUP(H145,'1_Value &amp; risk levers'!$H$9:$O$1048576,7,FALSE)</f>
        <v>0.05</v>
      </c>
      <c r="AM145" s="50">
        <f t="shared" si="58"/>
        <v>3.5000000000000003E-2</v>
      </c>
      <c r="AN145" s="72">
        <f t="shared" si="59"/>
        <v>0.16279069767441862</v>
      </c>
      <c r="AO145" s="84">
        <f t="shared" si="60"/>
        <v>9.73047342192691E-3</v>
      </c>
      <c r="AP145" s="84">
        <f t="shared" si="61"/>
        <v>1.5502084717607978E-2</v>
      </c>
      <c r="AQ145" s="55">
        <f t="shared" si="62"/>
        <v>455813.95348837221</v>
      </c>
      <c r="AR145" s="55">
        <f t="shared" si="63"/>
        <v>553488.37209302338</v>
      </c>
      <c r="AS145" s="83">
        <f t="shared" si="47"/>
        <v>41</v>
      </c>
      <c r="AT145" s="50">
        <f t="shared" si="64"/>
        <v>3.5400000000000005</v>
      </c>
      <c r="AU145" s="55" t="str">
        <f t="shared" si="65"/>
        <v>Low</v>
      </c>
      <c r="AV145" s="34" t="s">
        <v>1502</v>
      </c>
      <c r="AW145" s="111"/>
      <c r="AX145" s="30" t="s">
        <v>1493</v>
      </c>
      <c r="AY145" s="30"/>
      <c r="AZ145" s="85" t="str">
        <f>IF(ISERROR(_xlfn.XLOOKUP(CONCATENATE(A145,"_",AV145),'Reference-Proof pt impact flag'!$I$3:$I$1048576,'Reference-Proof pt impact flag'!$G$3:$G$1048576)),"",_xlfn.XLOOKUP(CONCATENATE(A145,"_",AV145),'Reference-Proof pt impact flag'!$I$3:$I$1048576,'Reference-Proof pt impact flag'!$G$3:$G$1048576))</f>
        <v/>
      </c>
      <c r="BA145" s="74"/>
      <c r="BB145" s="74"/>
      <c r="BC145" s="74"/>
      <c r="BD145" s="74"/>
      <c r="BE145" s="74"/>
      <c r="BF145" s="74" t="e">
        <f>_xlfn.XLOOKUP(CONCATENATE(H145,"_",AV145),'Test 2 - Proof points - GPT5'!$T:$T,'Test 2 - Proof points - GPT5'!$S:$S)</f>
        <v>#N/A</v>
      </c>
      <c r="BG145" s="74" t="e">
        <f>_xlfn.XLOOKUP(CONCATENATE(H145,"_",AV145),'Test 2 -Proof points - Sonnet'!$AB:$AB,'Test 2 -Proof points - Sonnet'!$AA:$AA)</f>
        <v>#N/A</v>
      </c>
      <c r="BH145" s="74"/>
      <c r="BI145" s="74"/>
      <c r="BJ145" s="74" t="s">
        <v>1558</v>
      </c>
      <c r="BK145" s="30"/>
      <c r="BL145" s="30"/>
      <c r="BM145" s="30"/>
      <c r="BN145" s="30"/>
      <c r="BO145" s="30"/>
      <c r="BP145" s="30"/>
      <c r="BQ145" s="30"/>
      <c r="BR145" s="30"/>
      <c r="BS145" s="30"/>
      <c r="BT145" s="30"/>
      <c r="BU145" s="30"/>
      <c r="BV145" s="113"/>
    </row>
    <row r="146" spans="1:74" ht="217.5" hidden="1" x14ac:dyDescent="0.35">
      <c r="A146" s="22">
        <v>4</v>
      </c>
      <c r="B146" s="22" t="s">
        <v>1451</v>
      </c>
      <c r="C146" s="22" t="s">
        <v>1452</v>
      </c>
      <c r="D146" s="22" t="s">
        <v>1224</v>
      </c>
      <c r="E146" s="22" t="s">
        <v>1453</v>
      </c>
      <c r="F146" s="22"/>
      <c r="G146" s="22" t="s">
        <v>1274</v>
      </c>
      <c r="H146" s="21" t="s">
        <v>1285</v>
      </c>
      <c r="I146" s="101"/>
      <c r="J146" s="21" t="s">
        <v>1311</v>
      </c>
      <c r="K146" s="30"/>
      <c r="L146" s="35" t="s">
        <v>1290</v>
      </c>
      <c r="M146" s="35" t="str">
        <f>VLOOKUP(H146,'1_Value &amp; risk levers'!$H$9:$O$1048576,2,FALSE)</f>
        <v>Single sourced / reliance on a single supplier forspecialty products</v>
      </c>
      <c r="N146" s="35" t="str">
        <f>VLOOKUP(H146,'1_Value &amp; risk levers'!$H$9:$O$1048576,3,FALSE)</f>
        <v>Largely monopolistic for most specialty products e.g., a pool of 2-3 qualified / approved suppliers to choose from</v>
      </c>
      <c r="O146" s="35" t="str">
        <f>VLOOKUP(H146,'1_Value &amp; risk levers'!$H$9:$O$1048576,4,FALSE)</f>
        <v>Multiple qualified suppliers / preferred supplier list for majoe specialty products</v>
      </c>
      <c r="P146" s="35" t="str">
        <f>VLOOKUP(H146,'1_Value &amp; risk levers'!$H$9:$O$1048576,5,FALSE)</f>
        <v>Diversified sourcing options maintained for all specialties</v>
      </c>
      <c r="Q146" s="77">
        <f>IF(VLOOKUP(H146,'1_Value &amp; risk levers'!$H$9:$T$1048576,13,FALSE)=0,"",VLOOKUP(H146,'1_Value &amp; risk levers'!$H$9:$T$1048576,13,FALSE))</f>
        <v>2</v>
      </c>
      <c r="R146" s="128">
        <f t="shared" si="44"/>
        <v>2</v>
      </c>
      <c r="S146" s="128" t="e">
        <f t="shared" si="45"/>
        <v>#DIV/0!</v>
      </c>
      <c r="T146" s="77"/>
      <c r="U146" s="77"/>
      <c r="V146" s="55"/>
      <c r="W146" s="71">
        <v>0.04</v>
      </c>
      <c r="X146" s="71">
        <v>0.1</v>
      </c>
      <c r="Y146" s="71">
        <f>VLOOKUP(H146,'1_Value &amp; risk levers'!$H$9:$O$1048576,8,FALSE)</f>
        <v>0.8</v>
      </c>
      <c r="Z146" s="51">
        <f t="shared" si="46"/>
        <v>7.0000000000000007E-2</v>
      </c>
      <c r="AA146" s="51">
        <f t="shared" si="48"/>
        <v>8.5000000000000006E-2</v>
      </c>
      <c r="AB146" s="55">
        <f t="shared" si="49"/>
        <v>2800000.0000000005</v>
      </c>
      <c r="AC146" s="55">
        <f t="shared" si="50"/>
        <v>3400000.0000000005</v>
      </c>
      <c r="AD146" s="80">
        <f t="shared" si="51"/>
        <v>7</v>
      </c>
      <c r="AE146" s="84">
        <f t="shared" si="52"/>
        <v>0.48864540816326468</v>
      </c>
      <c r="AF146" s="71" t="str">
        <f t="shared" si="53"/>
        <v>Low</v>
      </c>
      <c r="AG146" s="84">
        <f t="shared" si="54"/>
        <v>5.9772908163265304E-2</v>
      </c>
      <c r="AH146" s="84">
        <f t="shared" si="55"/>
        <v>9.5227091836734709E-2</v>
      </c>
      <c r="AI146" s="73">
        <f t="shared" si="56"/>
        <v>2390916.3265306121</v>
      </c>
      <c r="AJ146" s="73">
        <f t="shared" si="57"/>
        <v>3809083.6734693884</v>
      </c>
      <c r="AK146" s="46">
        <f>VLOOKUP(H146,'1_Value &amp; risk levers'!$H$9:$O$1048576,6,FALSE)</f>
        <v>0.02</v>
      </c>
      <c r="AL146" s="46">
        <f>VLOOKUP(H146,'1_Value &amp; risk levers'!$H$9:$O$1048576,7,FALSE)</f>
        <v>0.05</v>
      </c>
      <c r="AM146" s="50">
        <f t="shared" si="58"/>
        <v>3.5000000000000003E-2</v>
      </c>
      <c r="AN146" s="72">
        <f t="shared" si="59"/>
        <v>0.16279069767441862</v>
      </c>
      <c r="AO146" s="84">
        <f t="shared" si="60"/>
        <v>9.73047342192691E-3</v>
      </c>
      <c r="AP146" s="84">
        <f t="shared" si="61"/>
        <v>1.5502084717607978E-2</v>
      </c>
      <c r="AQ146" s="55">
        <f t="shared" si="62"/>
        <v>455813.95348837221</v>
      </c>
      <c r="AR146" s="55">
        <f t="shared" si="63"/>
        <v>553488.37209302338</v>
      </c>
      <c r="AS146" s="83">
        <f t="shared" si="47"/>
        <v>41</v>
      </c>
      <c r="AT146" s="50">
        <f t="shared" si="64"/>
        <v>3.5400000000000005</v>
      </c>
      <c r="AU146" s="55" t="str">
        <f t="shared" si="65"/>
        <v>Low</v>
      </c>
      <c r="AV146" s="34" t="s">
        <v>1503</v>
      </c>
      <c r="AW146" s="111"/>
      <c r="AX146" s="30" t="s">
        <v>1493</v>
      </c>
      <c r="AY146" s="30"/>
      <c r="AZ146" s="85" t="str">
        <f>IF(ISERROR(_xlfn.XLOOKUP(CONCATENATE(A146,"_",AV146),'Reference-Proof pt impact flag'!$I$3:$I$1048576,'Reference-Proof pt impact flag'!$G$3:$G$1048576)),"",_xlfn.XLOOKUP(CONCATENATE(A146,"_",AV146),'Reference-Proof pt impact flag'!$I$3:$I$1048576,'Reference-Proof pt impact flag'!$G$3:$G$1048576))</f>
        <v/>
      </c>
      <c r="BA146" s="74"/>
      <c r="BB146" s="74"/>
      <c r="BC146" s="74"/>
      <c r="BD146" s="74"/>
      <c r="BE146" s="74"/>
      <c r="BF146" s="74" t="e">
        <f>_xlfn.XLOOKUP(CONCATENATE(H146,"_",AV146),'Test 2 - Proof points - GPT5'!$T:$T,'Test 2 - Proof points - GPT5'!$S:$S)</f>
        <v>#N/A</v>
      </c>
      <c r="BG146" s="74" t="e">
        <f>_xlfn.XLOOKUP(CONCATENATE(H146,"_",AV146),'Test 2 -Proof points - Sonnet'!$AB:$AB,'Test 2 -Proof points - Sonnet'!$AA:$AA)</f>
        <v>#N/A</v>
      </c>
      <c r="BH146" s="74"/>
      <c r="BI146" s="74"/>
      <c r="BJ146" s="74" t="s">
        <v>1558</v>
      </c>
      <c r="BK146" s="30"/>
      <c r="BL146" s="30"/>
      <c r="BM146" s="30"/>
      <c r="BN146" s="30"/>
      <c r="BO146" s="30"/>
      <c r="BP146" s="30"/>
      <c r="BQ146" s="30"/>
      <c r="BR146" s="30"/>
      <c r="BS146" s="30"/>
      <c r="BT146" s="30"/>
      <c r="BU146" s="30"/>
      <c r="BV146" s="113"/>
    </row>
    <row r="147" spans="1:74" ht="217.5" hidden="1" x14ac:dyDescent="0.35">
      <c r="A147" s="22">
        <v>4</v>
      </c>
      <c r="B147" s="22" t="s">
        <v>1451</v>
      </c>
      <c r="C147" s="22" t="s">
        <v>1452</v>
      </c>
      <c r="D147" s="22" t="s">
        <v>1224</v>
      </c>
      <c r="E147" s="22" t="s">
        <v>1453</v>
      </c>
      <c r="F147" s="22"/>
      <c r="G147" s="22" t="s">
        <v>1274</v>
      </c>
      <c r="H147" s="21" t="s">
        <v>1285</v>
      </c>
      <c r="I147" s="101"/>
      <c r="J147" s="21" t="s">
        <v>1311</v>
      </c>
      <c r="K147" s="30"/>
      <c r="L147" s="35" t="s">
        <v>1290</v>
      </c>
      <c r="M147" s="35" t="str">
        <f>VLOOKUP(H147,'1_Value &amp; risk levers'!$H$9:$O$1048576,2,FALSE)</f>
        <v>Single sourced / reliance on a single supplier forspecialty products</v>
      </c>
      <c r="N147" s="35" t="str">
        <f>VLOOKUP(H147,'1_Value &amp; risk levers'!$H$9:$O$1048576,3,FALSE)</f>
        <v>Largely monopolistic for most specialty products e.g., a pool of 2-3 qualified / approved suppliers to choose from</v>
      </c>
      <c r="O147" s="35" t="str">
        <f>VLOOKUP(H147,'1_Value &amp; risk levers'!$H$9:$O$1048576,4,FALSE)</f>
        <v>Multiple qualified suppliers / preferred supplier list for majoe specialty products</v>
      </c>
      <c r="P147" s="35" t="str">
        <f>VLOOKUP(H147,'1_Value &amp; risk levers'!$H$9:$O$1048576,5,FALSE)</f>
        <v>Diversified sourcing options maintained for all specialties</v>
      </c>
      <c r="Q147" s="77">
        <f>IF(VLOOKUP(H147,'1_Value &amp; risk levers'!$H$9:$T$1048576,13,FALSE)=0,"",VLOOKUP(H147,'1_Value &amp; risk levers'!$H$9:$T$1048576,13,FALSE))</f>
        <v>2</v>
      </c>
      <c r="R147" s="128">
        <f t="shared" si="44"/>
        <v>2</v>
      </c>
      <c r="S147" s="128" t="e">
        <f t="shared" si="45"/>
        <v>#DIV/0!</v>
      </c>
      <c r="T147" s="77"/>
      <c r="U147" s="77"/>
      <c r="V147" s="55"/>
      <c r="W147" s="71">
        <v>0.04</v>
      </c>
      <c r="X147" s="71">
        <v>0.1</v>
      </c>
      <c r="Y147" s="71">
        <f>VLOOKUP(H147,'1_Value &amp; risk levers'!$H$9:$O$1048576,8,FALSE)</f>
        <v>0.8</v>
      </c>
      <c r="Z147" s="51">
        <f t="shared" si="46"/>
        <v>7.0000000000000007E-2</v>
      </c>
      <c r="AA147" s="51">
        <f t="shared" si="48"/>
        <v>8.5000000000000006E-2</v>
      </c>
      <c r="AB147" s="55">
        <f t="shared" si="49"/>
        <v>2800000.0000000005</v>
      </c>
      <c r="AC147" s="55">
        <f t="shared" si="50"/>
        <v>3400000.0000000005</v>
      </c>
      <c r="AD147" s="80">
        <f t="shared" si="51"/>
        <v>7</v>
      </c>
      <c r="AE147" s="84">
        <f t="shared" si="52"/>
        <v>0.48864540816326468</v>
      </c>
      <c r="AF147" s="71" t="str">
        <f t="shared" si="53"/>
        <v>Low</v>
      </c>
      <c r="AG147" s="84">
        <f t="shared" si="54"/>
        <v>5.9772908163265304E-2</v>
      </c>
      <c r="AH147" s="84">
        <f t="shared" si="55"/>
        <v>9.5227091836734709E-2</v>
      </c>
      <c r="AI147" s="73">
        <f t="shared" si="56"/>
        <v>2390916.3265306121</v>
      </c>
      <c r="AJ147" s="73">
        <f t="shared" si="57"/>
        <v>3809083.6734693884</v>
      </c>
      <c r="AK147" s="46">
        <f>VLOOKUP(H147,'1_Value &amp; risk levers'!$H$9:$O$1048576,6,FALSE)</f>
        <v>0.02</v>
      </c>
      <c r="AL147" s="46">
        <f>VLOOKUP(H147,'1_Value &amp; risk levers'!$H$9:$O$1048576,7,FALSE)</f>
        <v>0.05</v>
      </c>
      <c r="AM147" s="50">
        <f t="shared" si="58"/>
        <v>3.5000000000000003E-2</v>
      </c>
      <c r="AN147" s="72">
        <f t="shared" si="59"/>
        <v>0.16279069767441862</v>
      </c>
      <c r="AO147" s="84">
        <f t="shared" si="60"/>
        <v>9.73047342192691E-3</v>
      </c>
      <c r="AP147" s="84">
        <f t="shared" si="61"/>
        <v>1.5502084717607978E-2</v>
      </c>
      <c r="AQ147" s="55">
        <f t="shared" si="62"/>
        <v>455813.95348837221</v>
      </c>
      <c r="AR147" s="55">
        <f t="shared" si="63"/>
        <v>553488.37209302338</v>
      </c>
      <c r="AS147" s="83">
        <f t="shared" si="47"/>
        <v>41</v>
      </c>
      <c r="AT147" s="50">
        <f t="shared" si="64"/>
        <v>3.5400000000000005</v>
      </c>
      <c r="AU147" s="55" t="str">
        <f t="shared" si="65"/>
        <v>Low</v>
      </c>
      <c r="AV147" s="34" t="s">
        <v>1504</v>
      </c>
      <c r="AW147" s="111"/>
      <c r="AX147" s="30" t="s">
        <v>1493</v>
      </c>
      <c r="AY147" s="27" t="s">
        <v>1565</v>
      </c>
      <c r="AZ147" s="85" t="str">
        <f>IF(ISERROR(_xlfn.XLOOKUP(CONCATENATE(A147,"_",AV147),'Reference-Proof pt impact flag'!$I$3:$I$1048576,'Reference-Proof pt impact flag'!$G$3:$G$1048576)),"",_xlfn.XLOOKUP(CONCATENATE(A147,"_",AV147),'Reference-Proof pt impact flag'!$I$3:$I$1048576,'Reference-Proof pt impact flag'!$G$3:$G$1048576))</f>
        <v>Low</v>
      </c>
      <c r="BA147" s="27" t="s">
        <v>1458</v>
      </c>
      <c r="BB147" s="30" t="s">
        <v>1448</v>
      </c>
      <c r="BC147" s="27" t="s">
        <v>1566</v>
      </c>
      <c r="BD147" s="85" t="s">
        <v>1521</v>
      </c>
      <c r="BE147" s="74"/>
      <c r="BF147" s="74" t="str">
        <f>_xlfn.XLOOKUP(CONCATENATE(H147,"_",AV147),'Test 2 - Proof points - GPT5'!$T:$T,'Test 2 - Proof points - GPT5'!$S:$S)</f>
        <v>Market view: Top rice bran oil exporters include India, Bangladesh, and Thailand; sunflower oil exports are dominated by Ukraine/Russia, with Turkey also significant. For client’s Asia-focused plants, preferred exporter origins: India/Thailand (RBO) and Ukraine/Russia/Turkey (sunflower). Actions: pre-qualify 3–5 non-incumbent suppliers per origin; pilot spot buys to benchmark incumbents. [Sources: Volza; Reuters]</v>
      </c>
      <c r="BG147" s="74" t="str">
        <f>_xlfn.XLOOKUP(CONCATENATE(H147,"_",AV147),'Test 2 -Proof points - Sonnet'!$AB:$AB,'Test 2 -Proof points - Sonnet'!$AA:$AA)</f>
        <v>â€¢ **Identify additional qualified suppliers**: Export data reveals major Indian vegetable oil processors beyond current suppliers - consider qualifying companies like Adani Wilmar, Ruchi Soya Industries for enhanced supply diversification while maintaining cost competitiveness.
â€¢ **Leverage market expertise**: Top exporters demonstrate proven international supply capabilities and quality standards, offering immediate qualification opportunities for specialty oil products and emergency supply scenarios.
â€¢ **Future supplier market evolution**: Consolidation among top-tier vegetable oil processors will create opportunities for strategic partnerships with financially stable, globally competitive suppliers, making early qualification of emerging leaders critical for long-term supply security.</v>
      </c>
      <c r="BH147" s="74" t="s">
        <v>1560</v>
      </c>
      <c r="BI147" s="74" t="s">
        <v>1567</v>
      </c>
      <c r="BJ147" s="74" t="s">
        <v>1558</v>
      </c>
      <c r="BK147" s="30"/>
      <c r="BL147" s="30"/>
      <c r="BM147" s="30"/>
      <c r="BN147" s="30"/>
      <c r="BO147" s="30"/>
      <c r="BP147" s="30"/>
      <c r="BQ147" s="30"/>
      <c r="BR147" s="30"/>
      <c r="BS147" s="30"/>
      <c r="BT147" s="30"/>
      <c r="BU147" s="30"/>
      <c r="BV147" s="113" t="s">
        <v>132</v>
      </c>
    </row>
    <row r="148" spans="1:74" ht="217.5" hidden="1" x14ac:dyDescent="0.35">
      <c r="A148" s="22">
        <v>4</v>
      </c>
      <c r="B148" s="22" t="s">
        <v>1451</v>
      </c>
      <c r="C148" s="22" t="s">
        <v>1452</v>
      </c>
      <c r="D148" s="22" t="s">
        <v>1224</v>
      </c>
      <c r="E148" s="22" t="s">
        <v>1453</v>
      </c>
      <c r="F148" s="22"/>
      <c r="G148" s="22" t="s">
        <v>1274</v>
      </c>
      <c r="H148" s="21" t="s">
        <v>1285</v>
      </c>
      <c r="I148" s="101"/>
      <c r="J148" s="21" t="s">
        <v>1311</v>
      </c>
      <c r="K148" s="30"/>
      <c r="L148" s="35" t="s">
        <v>1290</v>
      </c>
      <c r="M148" s="35" t="str">
        <f>VLOOKUP(H148,'1_Value &amp; risk levers'!$H$9:$O$1048576,2,FALSE)</f>
        <v>Single sourced / reliance on a single supplier forspecialty products</v>
      </c>
      <c r="N148" s="35" t="str">
        <f>VLOOKUP(H148,'1_Value &amp; risk levers'!$H$9:$O$1048576,3,FALSE)</f>
        <v>Largely monopolistic for most specialty products e.g., a pool of 2-3 qualified / approved suppliers to choose from</v>
      </c>
      <c r="O148" s="35" t="str">
        <f>VLOOKUP(H148,'1_Value &amp; risk levers'!$H$9:$O$1048576,4,FALSE)</f>
        <v>Multiple qualified suppliers / preferred supplier list for majoe specialty products</v>
      </c>
      <c r="P148" s="35" t="str">
        <f>VLOOKUP(H148,'1_Value &amp; risk levers'!$H$9:$O$1048576,5,FALSE)</f>
        <v>Diversified sourcing options maintained for all specialties</v>
      </c>
      <c r="Q148" s="77">
        <f>IF(VLOOKUP(H148,'1_Value &amp; risk levers'!$H$9:$T$1048576,13,FALSE)=0,"",VLOOKUP(H148,'1_Value &amp; risk levers'!$H$9:$T$1048576,13,FALSE))</f>
        <v>2</v>
      </c>
      <c r="R148" s="128">
        <f t="shared" si="44"/>
        <v>2</v>
      </c>
      <c r="S148" s="128" t="e">
        <f t="shared" si="45"/>
        <v>#DIV/0!</v>
      </c>
      <c r="T148" s="77"/>
      <c r="U148" s="77"/>
      <c r="V148" s="55"/>
      <c r="W148" s="71">
        <v>0.04</v>
      </c>
      <c r="X148" s="71">
        <v>0.1</v>
      </c>
      <c r="Y148" s="71">
        <f>VLOOKUP(H148,'1_Value &amp; risk levers'!$H$9:$O$1048576,8,FALSE)</f>
        <v>0.8</v>
      </c>
      <c r="Z148" s="51">
        <f t="shared" si="46"/>
        <v>7.0000000000000007E-2</v>
      </c>
      <c r="AA148" s="51">
        <f t="shared" si="48"/>
        <v>8.5000000000000006E-2</v>
      </c>
      <c r="AB148" s="55">
        <f t="shared" si="49"/>
        <v>2800000.0000000005</v>
      </c>
      <c r="AC148" s="55">
        <f t="shared" si="50"/>
        <v>3400000.0000000005</v>
      </c>
      <c r="AD148" s="80">
        <f t="shared" si="51"/>
        <v>7</v>
      </c>
      <c r="AE148" s="84">
        <f t="shared" si="52"/>
        <v>0.48864540816326468</v>
      </c>
      <c r="AF148" s="71" t="str">
        <f t="shared" si="53"/>
        <v>Low</v>
      </c>
      <c r="AG148" s="84">
        <f t="shared" si="54"/>
        <v>5.9772908163265304E-2</v>
      </c>
      <c r="AH148" s="84">
        <f t="shared" si="55"/>
        <v>9.5227091836734709E-2</v>
      </c>
      <c r="AI148" s="73">
        <f t="shared" si="56"/>
        <v>2390916.3265306121</v>
      </c>
      <c r="AJ148" s="73">
        <f t="shared" si="57"/>
        <v>3809083.6734693884</v>
      </c>
      <c r="AK148" s="46">
        <f>VLOOKUP(H148,'1_Value &amp; risk levers'!$H$9:$O$1048576,6,FALSE)</f>
        <v>0.02</v>
      </c>
      <c r="AL148" s="46">
        <f>VLOOKUP(H148,'1_Value &amp; risk levers'!$H$9:$O$1048576,7,FALSE)</f>
        <v>0.05</v>
      </c>
      <c r="AM148" s="50">
        <f t="shared" si="58"/>
        <v>3.5000000000000003E-2</v>
      </c>
      <c r="AN148" s="72">
        <f t="shared" si="59"/>
        <v>0.16279069767441862</v>
      </c>
      <c r="AO148" s="84">
        <f t="shared" si="60"/>
        <v>9.73047342192691E-3</v>
      </c>
      <c r="AP148" s="84">
        <f t="shared" si="61"/>
        <v>1.5502084717607978E-2</v>
      </c>
      <c r="AQ148" s="55">
        <f t="shared" si="62"/>
        <v>455813.95348837221</v>
      </c>
      <c r="AR148" s="55">
        <f t="shared" si="63"/>
        <v>553488.37209302338</v>
      </c>
      <c r="AS148" s="83">
        <f t="shared" si="47"/>
        <v>41</v>
      </c>
      <c r="AT148" s="50">
        <f t="shared" si="64"/>
        <v>3.5400000000000005</v>
      </c>
      <c r="AU148" s="55" t="str">
        <f t="shared" si="65"/>
        <v>Low</v>
      </c>
      <c r="AV148" s="34" t="s">
        <v>1505</v>
      </c>
      <c r="AW148" s="111"/>
      <c r="AX148" s="30" t="s">
        <v>1493</v>
      </c>
      <c r="AY148" s="27" t="s">
        <v>1568</v>
      </c>
      <c r="AZ148" s="85" t="str">
        <f>IF(ISERROR(_xlfn.XLOOKUP(CONCATENATE(A148,"_",AV148),'Reference-Proof pt impact flag'!$I$3:$I$1048576,'Reference-Proof pt impact flag'!$G$3:$G$1048576)),"",_xlfn.XLOOKUP(CONCATENATE(A148,"_",AV148),'Reference-Proof pt impact flag'!$I$3:$I$1048576,'Reference-Proof pt impact flag'!$G$3:$G$1048576))</f>
        <v>Low</v>
      </c>
      <c r="BA148" s="27" t="s">
        <v>1458</v>
      </c>
      <c r="BB148" s="30" t="s">
        <v>1448</v>
      </c>
      <c r="BC148" s="27" t="s">
        <v>1569</v>
      </c>
      <c r="BD148" s="85" t="s">
        <v>1521</v>
      </c>
      <c r="BE148" s="74"/>
      <c r="BF148" s="74" t="str">
        <f>_xlfn.XLOOKUP(CONCATENATE(H148,"_",AV148),'Test 2 - Proof points - GPT5'!$T:$T,'Test 2 - Proof points - GPT5'!$S:$S)</f>
        <v>Market view: Key importers for RBO include United States and Vietnam; sunflower oil is heavily imported by India and China. Peers in Asia have diversified toward sunoil given recent discounts vs soyoil/palm. Actions: use import-flow intelligence to target suppliers with continuous export lanes to Malaysia/Australia to reduce logistics risk. [Sources: Volza; Reuters]</v>
      </c>
      <c r="BG148" s="74" t="e">
        <f>_xlfn.XLOOKUP(CONCATENATE(H148,"_",AV148),'Test 2 -Proof points - Sonnet'!$AB:$AB,'Test 2 -Proof points - Sonnet'!$AA:$AA)</f>
        <v>#N/A</v>
      </c>
      <c r="BH148" s="74" t="s">
        <v>1560</v>
      </c>
      <c r="BI148" s="74"/>
      <c r="BJ148" s="74" t="s">
        <v>1558</v>
      </c>
      <c r="BK148" s="30"/>
      <c r="BL148" s="30"/>
      <c r="BM148" s="30"/>
      <c r="BN148" s="30"/>
      <c r="BO148" s="30"/>
      <c r="BP148" s="30"/>
      <c r="BQ148" s="30"/>
      <c r="BR148" s="30"/>
      <c r="BS148" s="30"/>
      <c r="BT148" s="30"/>
      <c r="BU148" s="30"/>
      <c r="BV148" s="113" t="s">
        <v>132</v>
      </c>
    </row>
    <row r="149" spans="1:74" ht="217.5" hidden="1" x14ac:dyDescent="0.35">
      <c r="A149" s="22">
        <v>4</v>
      </c>
      <c r="B149" s="22" t="s">
        <v>1451</v>
      </c>
      <c r="C149" s="22" t="s">
        <v>1452</v>
      </c>
      <c r="D149" s="22" t="s">
        <v>1224</v>
      </c>
      <c r="E149" s="22" t="s">
        <v>1453</v>
      </c>
      <c r="F149" s="22"/>
      <c r="G149" s="22" t="s">
        <v>1274</v>
      </c>
      <c r="H149" s="21" t="s">
        <v>1285</v>
      </c>
      <c r="I149" s="101"/>
      <c r="J149" s="21" t="s">
        <v>1311</v>
      </c>
      <c r="K149" s="30"/>
      <c r="L149" s="35" t="s">
        <v>1290</v>
      </c>
      <c r="M149" s="35" t="str">
        <f>VLOOKUP(H149,'1_Value &amp; risk levers'!$H$9:$O$1048576,2,FALSE)</f>
        <v>Single sourced / reliance on a single supplier forspecialty products</v>
      </c>
      <c r="N149" s="35" t="str">
        <f>VLOOKUP(H149,'1_Value &amp; risk levers'!$H$9:$O$1048576,3,FALSE)</f>
        <v>Largely monopolistic for most specialty products e.g., a pool of 2-3 qualified / approved suppliers to choose from</v>
      </c>
      <c r="O149" s="35" t="str">
        <f>VLOOKUP(H149,'1_Value &amp; risk levers'!$H$9:$O$1048576,4,FALSE)</f>
        <v>Multiple qualified suppliers / preferred supplier list for majoe specialty products</v>
      </c>
      <c r="P149" s="35" t="str">
        <f>VLOOKUP(H149,'1_Value &amp; risk levers'!$H$9:$O$1048576,5,FALSE)</f>
        <v>Diversified sourcing options maintained for all specialties</v>
      </c>
      <c r="Q149" s="77">
        <f>IF(VLOOKUP(H149,'1_Value &amp; risk levers'!$H$9:$T$1048576,13,FALSE)=0,"",VLOOKUP(H149,'1_Value &amp; risk levers'!$H$9:$T$1048576,13,FALSE))</f>
        <v>2</v>
      </c>
      <c r="R149" s="128">
        <f t="shared" si="44"/>
        <v>2</v>
      </c>
      <c r="S149" s="128" t="e">
        <f t="shared" si="45"/>
        <v>#DIV/0!</v>
      </c>
      <c r="T149" s="77"/>
      <c r="U149" s="77"/>
      <c r="V149" s="55"/>
      <c r="W149" s="71">
        <v>0.04</v>
      </c>
      <c r="X149" s="71">
        <v>0.1</v>
      </c>
      <c r="Y149" s="71">
        <f>VLOOKUP(H149,'1_Value &amp; risk levers'!$H$9:$O$1048576,8,FALSE)</f>
        <v>0.8</v>
      </c>
      <c r="Z149" s="51">
        <f t="shared" si="46"/>
        <v>7.0000000000000007E-2</v>
      </c>
      <c r="AA149" s="51">
        <f t="shared" si="48"/>
        <v>8.5000000000000006E-2</v>
      </c>
      <c r="AB149" s="55">
        <f t="shared" si="49"/>
        <v>2800000.0000000005</v>
      </c>
      <c r="AC149" s="55">
        <f t="shared" si="50"/>
        <v>3400000.0000000005</v>
      </c>
      <c r="AD149" s="80">
        <f t="shared" si="51"/>
        <v>7</v>
      </c>
      <c r="AE149" s="84">
        <f t="shared" si="52"/>
        <v>0.48864540816326468</v>
      </c>
      <c r="AF149" s="71" t="str">
        <f t="shared" si="53"/>
        <v>Low</v>
      </c>
      <c r="AG149" s="84">
        <f t="shared" si="54"/>
        <v>5.9772908163265304E-2</v>
      </c>
      <c r="AH149" s="84">
        <f t="shared" si="55"/>
        <v>9.5227091836734709E-2</v>
      </c>
      <c r="AI149" s="73">
        <f t="shared" si="56"/>
        <v>2390916.3265306121</v>
      </c>
      <c r="AJ149" s="73">
        <f t="shared" si="57"/>
        <v>3809083.6734693884</v>
      </c>
      <c r="AK149" s="46">
        <f>VLOOKUP(H149,'1_Value &amp; risk levers'!$H$9:$O$1048576,6,FALSE)</f>
        <v>0.02</v>
      </c>
      <c r="AL149" s="46">
        <f>VLOOKUP(H149,'1_Value &amp; risk levers'!$H$9:$O$1048576,7,FALSE)</f>
        <v>0.05</v>
      </c>
      <c r="AM149" s="50">
        <f t="shared" si="58"/>
        <v>3.5000000000000003E-2</v>
      </c>
      <c r="AN149" s="72">
        <f t="shared" si="59"/>
        <v>0.16279069767441862</v>
      </c>
      <c r="AO149" s="84">
        <f t="shared" si="60"/>
        <v>9.73047342192691E-3</v>
      </c>
      <c r="AP149" s="84">
        <f t="shared" si="61"/>
        <v>1.5502084717607978E-2</v>
      </c>
      <c r="AQ149" s="55">
        <f t="shared" si="62"/>
        <v>455813.95348837221</v>
      </c>
      <c r="AR149" s="55">
        <f t="shared" si="63"/>
        <v>553488.37209302338</v>
      </c>
      <c r="AS149" s="83">
        <f t="shared" si="47"/>
        <v>41</v>
      </c>
      <c r="AT149" s="50">
        <f t="shared" si="64"/>
        <v>3.5400000000000005</v>
      </c>
      <c r="AU149" s="55" t="str">
        <f t="shared" si="65"/>
        <v>Low</v>
      </c>
      <c r="AV149" s="34" t="s">
        <v>1506</v>
      </c>
      <c r="AW149" s="111"/>
      <c r="AX149" s="30" t="s">
        <v>1493</v>
      </c>
      <c r="AY149" s="30"/>
      <c r="AZ149" s="85" t="str">
        <f>IF(ISERROR(_xlfn.XLOOKUP(CONCATENATE(A149,"_",AV149),'Reference-Proof pt impact flag'!$I$3:$I$1048576,'Reference-Proof pt impact flag'!$G$3:$G$1048576)),"",_xlfn.XLOOKUP(CONCATENATE(A149,"_",AV149),'Reference-Proof pt impact flag'!$I$3:$I$1048576,'Reference-Proof pt impact flag'!$G$3:$G$1048576))</f>
        <v/>
      </c>
      <c r="BA149" s="74"/>
      <c r="BB149" s="74"/>
      <c r="BC149" s="74"/>
      <c r="BD149" s="74"/>
      <c r="BE149" s="74"/>
      <c r="BF149" s="74" t="e">
        <f>_xlfn.XLOOKUP(CONCATENATE(H149,"_",AV149),'Test 2 - Proof points - GPT5'!$T:$T,'Test 2 - Proof points - GPT5'!$S:$S)</f>
        <v>#N/A</v>
      </c>
      <c r="BG149" s="74" t="e">
        <f>_xlfn.XLOOKUP(CONCATENATE(H149,"_",AV149),'Test 2 -Proof points - Sonnet'!$AB:$AB,'Test 2 -Proof points - Sonnet'!$AA:$AA)</f>
        <v>#N/A</v>
      </c>
      <c r="BH149" s="74"/>
      <c r="BI149" s="74"/>
      <c r="BJ149" s="74" t="s">
        <v>1558</v>
      </c>
      <c r="BK149" s="30"/>
      <c r="BL149" s="30"/>
      <c r="BM149" s="30"/>
      <c r="BN149" s="30"/>
      <c r="BO149" s="30"/>
      <c r="BP149" s="30"/>
      <c r="BQ149" s="30"/>
      <c r="BR149" s="30"/>
      <c r="BS149" s="30"/>
      <c r="BT149" s="30"/>
      <c r="BU149" s="30"/>
      <c r="BV149" s="113"/>
    </row>
    <row r="150" spans="1:74" ht="217.5" hidden="1" x14ac:dyDescent="0.35">
      <c r="A150" s="22">
        <v>4</v>
      </c>
      <c r="B150" s="22" t="s">
        <v>1451</v>
      </c>
      <c r="C150" s="22" t="s">
        <v>1452</v>
      </c>
      <c r="D150" s="22" t="s">
        <v>1224</v>
      </c>
      <c r="E150" s="22" t="s">
        <v>1453</v>
      </c>
      <c r="F150" s="22"/>
      <c r="G150" s="22" t="s">
        <v>1274</v>
      </c>
      <c r="H150" s="21" t="s">
        <v>1285</v>
      </c>
      <c r="I150" s="101"/>
      <c r="J150" s="21" t="s">
        <v>1311</v>
      </c>
      <c r="K150" s="30"/>
      <c r="L150" s="35" t="s">
        <v>1290</v>
      </c>
      <c r="M150" s="35" t="str">
        <f>VLOOKUP(H150,'1_Value &amp; risk levers'!$H$9:$O$1048576,2,FALSE)</f>
        <v>Single sourced / reliance on a single supplier forspecialty products</v>
      </c>
      <c r="N150" s="35" t="str">
        <f>VLOOKUP(H150,'1_Value &amp; risk levers'!$H$9:$O$1048576,3,FALSE)</f>
        <v>Largely monopolistic for most specialty products e.g., a pool of 2-3 qualified / approved suppliers to choose from</v>
      </c>
      <c r="O150" s="35" t="str">
        <f>VLOOKUP(H150,'1_Value &amp; risk levers'!$H$9:$O$1048576,4,FALSE)</f>
        <v>Multiple qualified suppliers / preferred supplier list for majoe specialty products</v>
      </c>
      <c r="P150" s="35" t="str">
        <f>VLOOKUP(H150,'1_Value &amp; risk levers'!$H$9:$O$1048576,5,FALSE)</f>
        <v>Diversified sourcing options maintained for all specialties</v>
      </c>
      <c r="Q150" s="77">
        <f>IF(VLOOKUP(H150,'1_Value &amp; risk levers'!$H$9:$T$1048576,13,FALSE)=0,"",VLOOKUP(H150,'1_Value &amp; risk levers'!$H$9:$T$1048576,13,FALSE))</f>
        <v>2</v>
      </c>
      <c r="R150" s="128">
        <f t="shared" si="44"/>
        <v>2</v>
      </c>
      <c r="S150" s="128" t="e">
        <f t="shared" si="45"/>
        <v>#DIV/0!</v>
      </c>
      <c r="T150" s="77"/>
      <c r="U150" s="77"/>
      <c r="V150" s="55"/>
      <c r="W150" s="71">
        <v>0.04</v>
      </c>
      <c r="X150" s="71">
        <v>0.1</v>
      </c>
      <c r="Y150" s="71">
        <f>VLOOKUP(H150,'1_Value &amp; risk levers'!$H$9:$O$1048576,8,FALSE)</f>
        <v>0.8</v>
      </c>
      <c r="Z150" s="51">
        <f t="shared" si="46"/>
        <v>7.0000000000000007E-2</v>
      </c>
      <c r="AA150" s="51">
        <f t="shared" si="48"/>
        <v>8.5000000000000006E-2</v>
      </c>
      <c r="AB150" s="55">
        <f t="shared" si="49"/>
        <v>2800000.0000000005</v>
      </c>
      <c r="AC150" s="55">
        <f t="shared" si="50"/>
        <v>3400000.0000000005</v>
      </c>
      <c r="AD150" s="80">
        <f t="shared" si="51"/>
        <v>7</v>
      </c>
      <c r="AE150" s="84">
        <f t="shared" si="52"/>
        <v>0.48864540816326468</v>
      </c>
      <c r="AF150" s="71" t="str">
        <f t="shared" si="53"/>
        <v>Low</v>
      </c>
      <c r="AG150" s="84">
        <f t="shared" si="54"/>
        <v>5.9772908163265304E-2</v>
      </c>
      <c r="AH150" s="84">
        <f t="shared" si="55"/>
        <v>9.5227091836734709E-2</v>
      </c>
      <c r="AI150" s="73">
        <f t="shared" si="56"/>
        <v>2390916.3265306121</v>
      </c>
      <c r="AJ150" s="73">
        <f t="shared" si="57"/>
        <v>3809083.6734693884</v>
      </c>
      <c r="AK150" s="46">
        <f>VLOOKUP(H150,'1_Value &amp; risk levers'!$H$9:$O$1048576,6,FALSE)</f>
        <v>0.02</v>
      </c>
      <c r="AL150" s="46">
        <f>VLOOKUP(H150,'1_Value &amp; risk levers'!$H$9:$O$1048576,7,FALSE)</f>
        <v>0.05</v>
      </c>
      <c r="AM150" s="50">
        <f t="shared" si="58"/>
        <v>3.5000000000000003E-2</v>
      </c>
      <c r="AN150" s="72">
        <f t="shared" si="59"/>
        <v>0.16279069767441862</v>
      </c>
      <c r="AO150" s="84">
        <f t="shared" si="60"/>
        <v>9.73047342192691E-3</v>
      </c>
      <c r="AP150" s="84">
        <f t="shared" si="61"/>
        <v>1.5502084717607978E-2</v>
      </c>
      <c r="AQ150" s="55">
        <f t="shared" si="62"/>
        <v>455813.95348837221</v>
      </c>
      <c r="AR150" s="55">
        <f t="shared" si="63"/>
        <v>553488.37209302338</v>
      </c>
      <c r="AS150" s="83">
        <f t="shared" si="47"/>
        <v>41</v>
      </c>
      <c r="AT150" s="50">
        <f t="shared" si="64"/>
        <v>3.5400000000000005</v>
      </c>
      <c r="AU150" s="55" t="str">
        <f t="shared" si="65"/>
        <v>Low</v>
      </c>
      <c r="AV150" s="34" t="s">
        <v>1507</v>
      </c>
      <c r="AW150" s="111"/>
      <c r="AX150" s="30" t="s">
        <v>1493</v>
      </c>
      <c r="AY150" s="30"/>
      <c r="AZ150" s="85" t="str">
        <f>IF(ISERROR(_xlfn.XLOOKUP(CONCATENATE(A150,"_",AV150),'Reference-Proof pt impact flag'!$I$3:$I$1048576,'Reference-Proof pt impact flag'!$G$3:$G$1048576)),"",_xlfn.XLOOKUP(CONCATENATE(A150,"_",AV150),'Reference-Proof pt impact flag'!$I$3:$I$1048576,'Reference-Proof pt impact flag'!$G$3:$G$1048576))</f>
        <v/>
      </c>
      <c r="BA150" s="74"/>
      <c r="BB150" s="74"/>
      <c r="BC150" s="74"/>
      <c r="BD150" s="74"/>
      <c r="BE150" s="74"/>
      <c r="BF150" s="74" t="e">
        <f>_xlfn.XLOOKUP(CONCATENATE(H150,"_",AV150),'Test 2 - Proof points - GPT5'!$T:$T,'Test 2 - Proof points - GPT5'!$S:$S)</f>
        <v>#N/A</v>
      </c>
      <c r="BG150" s="74" t="e">
        <f>_xlfn.XLOOKUP(CONCATENATE(H150,"_",AV150),'Test 2 -Proof points - Sonnet'!$AB:$AB,'Test 2 -Proof points - Sonnet'!$AA:$AA)</f>
        <v>#N/A</v>
      </c>
      <c r="BH150" s="74"/>
      <c r="BI150" s="74"/>
      <c r="BJ150" s="74" t="s">
        <v>1558</v>
      </c>
      <c r="BK150" s="30"/>
      <c r="BL150" s="30"/>
      <c r="BM150" s="30"/>
      <c r="BN150" s="30"/>
      <c r="BO150" s="30"/>
      <c r="BP150" s="30"/>
      <c r="BQ150" s="30"/>
      <c r="BR150" s="30"/>
      <c r="BS150" s="30"/>
      <c r="BT150" s="30"/>
      <c r="BU150" s="30"/>
      <c r="BV150" s="113"/>
    </row>
    <row r="151" spans="1:74" ht="217.5" hidden="1" x14ac:dyDescent="0.35">
      <c r="A151" s="22">
        <v>4</v>
      </c>
      <c r="B151" s="22" t="s">
        <v>1451</v>
      </c>
      <c r="C151" s="22" t="s">
        <v>1452</v>
      </c>
      <c r="D151" s="22" t="s">
        <v>1224</v>
      </c>
      <c r="E151" s="22" t="s">
        <v>1453</v>
      </c>
      <c r="F151" s="22"/>
      <c r="G151" s="22" t="s">
        <v>1274</v>
      </c>
      <c r="H151" s="21" t="s">
        <v>1285</v>
      </c>
      <c r="I151" s="101"/>
      <c r="J151" s="21" t="s">
        <v>1311</v>
      </c>
      <c r="K151" s="30"/>
      <c r="L151" s="35" t="s">
        <v>1290</v>
      </c>
      <c r="M151" s="35" t="str">
        <f>VLOOKUP(H151,'1_Value &amp; risk levers'!$H$9:$O$1048576,2,FALSE)</f>
        <v>Single sourced / reliance on a single supplier forspecialty products</v>
      </c>
      <c r="N151" s="35" t="str">
        <f>VLOOKUP(H151,'1_Value &amp; risk levers'!$H$9:$O$1048576,3,FALSE)</f>
        <v>Largely monopolistic for most specialty products e.g., a pool of 2-3 qualified / approved suppliers to choose from</v>
      </c>
      <c r="O151" s="35" t="str">
        <f>VLOOKUP(H151,'1_Value &amp; risk levers'!$H$9:$O$1048576,4,FALSE)</f>
        <v>Multiple qualified suppliers / preferred supplier list for majoe specialty products</v>
      </c>
      <c r="P151" s="35" t="str">
        <f>VLOOKUP(H151,'1_Value &amp; risk levers'!$H$9:$O$1048576,5,FALSE)</f>
        <v>Diversified sourcing options maintained for all specialties</v>
      </c>
      <c r="Q151" s="77">
        <f>IF(VLOOKUP(H151,'1_Value &amp; risk levers'!$H$9:$T$1048576,13,FALSE)=0,"",VLOOKUP(H151,'1_Value &amp; risk levers'!$H$9:$T$1048576,13,FALSE))</f>
        <v>2</v>
      </c>
      <c r="R151" s="128">
        <f t="shared" si="44"/>
        <v>2</v>
      </c>
      <c r="S151" s="128" t="e">
        <f t="shared" si="45"/>
        <v>#DIV/0!</v>
      </c>
      <c r="T151" s="77"/>
      <c r="U151" s="77"/>
      <c r="V151" s="55"/>
      <c r="W151" s="71">
        <v>0.04</v>
      </c>
      <c r="X151" s="71">
        <v>0.1</v>
      </c>
      <c r="Y151" s="71">
        <f>VLOOKUP(H151,'1_Value &amp; risk levers'!$H$9:$O$1048576,8,FALSE)</f>
        <v>0.8</v>
      </c>
      <c r="Z151" s="51">
        <f t="shared" si="46"/>
        <v>7.0000000000000007E-2</v>
      </c>
      <c r="AA151" s="51">
        <f t="shared" si="48"/>
        <v>8.5000000000000006E-2</v>
      </c>
      <c r="AB151" s="55">
        <f t="shared" si="49"/>
        <v>2800000.0000000005</v>
      </c>
      <c r="AC151" s="55">
        <f t="shared" si="50"/>
        <v>3400000.0000000005</v>
      </c>
      <c r="AD151" s="80">
        <f t="shared" si="51"/>
        <v>7</v>
      </c>
      <c r="AE151" s="84">
        <f t="shared" si="52"/>
        <v>0.48864540816326468</v>
      </c>
      <c r="AF151" s="71" t="str">
        <f t="shared" si="53"/>
        <v>Low</v>
      </c>
      <c r="AG151" s="84">
        <f t="shared" si="54"/>
        <v>5.9772908163265304E-2</v>
      </c>
      <c r="AH151" s="84">
        <f t="shared" si="55"/>
        <v>9.5227091836734709E-2</v>
      </c>
      <c r="AI151" s="73">
        <f t="shared" si="56"/>
        <v>2390916.3265306121</v>
      </c>
      <c r="AJ151" s="73">
        <f t="shared" si="57"/>
        <v>3809083.6734693884</v>
      </c>
      <c r="AK151" s="46">
        <f>VLOOKUP(H151,'1_Value &amp; risk levers'!$H$9:$O$1048576,6,FALSE)</f>
        <v>0.02</v>
      </c>
      <c r="AL151" s="46">
        <f>VLOOKUP(H151,'1_Value &amp; risk levers'!$H$9:$O$1048576,7,FALSE)</f>
        <v>0.05</v>
      </c>
      <c r="AM151" s="50">
        <f t="shared" si="58"/>
        <v>3.5000000000000003E-2</v>
      </c>
      <c r="AN151" s="72">
        <f t="shared" si="59"/>
        <v>0.16279069767441862</v>
      </c>
      <c r="AO151" s="84">
        <f t="shared" si="60"/>
        <v>9.73047342192691E-3</v>
      </c>
      <c r="AP151" s="84">
        <f t="shared" si="61"/>
        <v>1.5502084717607978E-2</v>
      </c>
      <c r="AQ151" s="55">
        <f t="shared" si="62"/>
        <v>455813.95348837221</v>
      </c>
      <c r="AR151" s="55">
        <f t="shared" si="63"/>
        <v>553488.37209302338</v>
      </c>
      <c r="AS151" s="83">
        <f t="shared" si="47"/>
        <v>41</v>
      </c>
      <c r="AT151" s="50">
        <f t="shared" si="64"/>
        <v>3.5400000000000005</v>
      </c>
      <c r="AU151" s="55" t="str">
        <f t="shared" si="65"/>
        <v>Low</v>
      </c>
      <c r="AV151" s="34" t="s">
        <v>1508</v>
      </c>
      <c r="AW151" s="111"/>
      <c r="AX151" s="30" t="s">
        <v>1493</v>
      </c>
      <c r="AY151" s="30"/>
      <c r="AZ151" s="85" t="str">
        <f>IF(ISERROR(_xlfn.XLOOKUP(CONCATENATE(A151,"_",AV151),'Reference-Proof pt impact flag'!$I$3:$I$1048576,'Reference-Proof pt impact flag'!$G$3:$G$1048576)),"",_xlfn.XLOOKUP(CONCATENATE(A151,"_",AV151),'Reference-Proof pt impact flag'!$I$3:$I$1048576,'Reference-Proof pt impact flag'!$G$3:$G$1048576))</f>
        <v/>
      </c>
      <c r="BA151" s="74"/>
      <c r="BB151" s="74"/>
      <c r="BC151" s="74"/>
      <c r="BD151" s="74"/>
      <c r="BE151" s="74"/>
      <c r="BF151" s="74" t="e">
        <f>_xlfn.XLOOKUP(CONCATENATE(H151,"_",AV151),'Test 2 - Proof points - GPT5'!$T:$T,'Test 2 - Proof points - GPT5'!$S:$S)</f>
        <v>#N/A</v>
      </c>
      <c r="BG151" s="74" t="e">
        <f>_xlfn.XLOOKUP(CONCATENATE(H151,"_",AV151),'Test 2 -Proof points - Sonnet'!$AB:$AB,'Test 2 -Proof points - Sonnet'!$AA:$AA)</f>
        <v>#N/A</v>
      </c>
      <c r="BH151" s="74"/>
      <c r="BI151" s="74"/>
      <c r="BJ151" s="74" t="s">
        <v>1558</v>
      </c>
      <c r="BK151" s="30"/>
      <c r="BL151" s="30"/>
      <c r="BM151" s="30"/>
      <c r="BN151" s="30"/>
      <c r="BO151" s="30"/>
      <c r="BP151" s="30"/>
      <c r="BQ151" s="30"/>
      <c r="BR151" s="30"/>
      <c r="BS151" s="30"/>
      <c r="BT151" s="30"/>
      <c r="BU151" s="30"/>
      <c r="BV151" s="113"/>
    </row>
    <row r="152" spans="1:74" ht="217.5" hidden="1" x14ac:dyDescent="0.35">
      <c r="A152" s="22">
        <v>4</v>
      </c>
      <c r="B152" s="22" t="s">
        <v>1451</v>
      </c>
      <c r="C152" s="22" t="s">
        <v>1452</v>
      </c>
      <c r="D152" s="22" t="s">
        <v>1224</v>
      </c>
      <c r="E152" s="22" t="s">
        <v>1453</v>
      </c>
      <c r="F152" s="22"/>
      <c r="G152" s="22" t="s">
        <v>1274</v>
      </c>
      <c r="H152" s="21" t="s">
        <v>1285</v>
      </c>
      <c r="I152" s="101"/>
      <c r="J152" s="21" t="s">
        <v>1311</v>
      </c>
      <c r="K152" s="30"/>
      <c r="L152" s="35" t="s">
        <v>1290</v>
      </c>
      <c r="M152" s="35" t="str">
        <f>VLOOKUP(H152,'1_Value &amp; risk levers'!$H$9:$O$1048576,2,FALSE)</f>
        <v>Single sourced / reliance on a single supplier forspecialty products</v>
      </c>
      <c r="N152" s="35" t="str">
        <f>VLOOKUP(H152,'1_Value &amp; risk levers'!$H$9:$O$1048576,3,FALSE)</f>
        <v>Largely monopolistic for most specialty products e.g., a pool of 2-3 qualified / approved suppliers to choose from</v>
      </c>
      <c r="O152" s="35" t="str">
        <f>VLOOKUP(H152,'1_Value &amp; risk levers'!$H$9:$O$1048576,4,FALSE)</f>
        <v>Multiple qualified suppliers / preferred supplier list for majoe specialty products</v>
      </c>
      <c r="P152" s="35" t="str">
        <f>VLOOKUP(H152,'1_Value &amp; risk levers'!$H$9:$O$1048576,5,FALSE)</f>
        <v>Diversified sourcing options maintained for all specialties</v>
      </c>
      <c r="Q152" s="77">
        <f>IF(VLOOKUP(H152,'1_Value &amp; risk levers'!$H$9:$T$1048576,13,FALSE)=0,"",VLOOKUP(H152,'1_Value &amp; risk levers'!$H$9:$T$1048576,13,FALSE))</f>
        <v>2</v>
      </c>
      <c r="R152" s="128">
        <f t="shared" si="44"/>
        <v>2</v>
      </c>
      <c r="S152" s="128" t="e">
        <f t="shared" si="45"/>
        <v>#DIV/0!</v>
      </c>
      <c r="T152" s="77"/>
      <c r="U152" s="77"/>
      <c r="V152" s="55"/>
      <c r="W152" s="71">
        <v>0.04</v>
      </c>
      <c r="X152" s="71">
        <v>0.1</v>
      </c>
      <c r="Y152" s="71">
        <f>VLOOKUP(H152,'1_Value &amp; risk levers'!$H$9:$O$1048576,8,FALSE)</f>
        <v>0.8</v>
      </c>
      <c r="Z152" s="51">
        <f t="shared" si="46"/>
        <v>7.0000000000000007E-2</v>
      </c>
      <c r="AA152" s="51">
        <f t="shared" si="48"/>
        <v>8.5000000000000006E-2</v>
      </c>
      <c r="AB152" s="55">
        <f t="shared" si="49"/>
        <v>2800000.0000000005</v>
      </c>
      <c r="AC152" s="55">
        <f t="shared" si="50"/>
        <v>3400000.0000000005</v>
      </c>
      <c r="AD152" s="80">
        <f t="shared" si="51"/>
        <v>7</v>
      </c>
      <c r="AE152" s="84">
        <f t="shared" si="52"/>
        <v>0.48864540816326468</v>
      </c>
      <c r="AF152" s="71" t="str">
        <f t="shared" si="53"/>
        <v>Low</v>
      </c>
      <c r="AG152" s="84">
        <f t="shared" si="54"/>
        <v>5.9772908163265304E-2</v>
      </c>
      <c r="AH152" s="84">
        <f t="shared" si="55"/>
        <v>9.5227091836734709E-2</v>
      </c>
      <c r="AI152" s="73">
        <f t="shared" si="56"/>
        <v>2390916.3265306121</v>
      </c>
      <c r="AJ152" s="73">
        <f t="shared" si="57"/>
        <v>3809083.6734693884</v>
      </c>
      <c r="AK152" s="46">
        <f>VLOOKUP(H152,'1_Value &amp; risk levers'!$H$9:$O$1048576,6,FALSE)</f>
        <v>0.02</v>
      </c>
      <c r="AL152" s="46">
        <f>VLOOKUP(H152,'1_Value &amp; risk levers'!$H$9:$O$1048576,7,FALSE)</f>
        <v>0.05</v>
      </c>
      <c r="AM152" s="50">
        <f t="shared" si="58"/>
        <v>3.5000000000000003E-2</v>
      </c>
      <c r="AN152" s="72">
        <f t="shared" si="59"/>
        <v>0.16279069767441862</v>
      </c>
      <c r="AO152" s="84">
        <f t="shared" si="60"/>
        <v>9.73047342192691E-3</v>
      </c>
      <c r="AP152" s="84">
        <f t="shared" si="61"/>
        <v>1.5502084717607978E-2</v>
      </c>
      <c r="AQ152" s="55">
        <f t="shared" si="62"/>
        <v>455813.95348837221</v>
      </c>
      <c r="AR152" s="55">
        <f t="shared" si="63"/>
        <v>553488.37209302338</v>
      </c>
      <c r="AS152" s="83">
        <f t="shared" si="47"/>
        <v>41</v>
      </c>
      <c r="AT152" s="50">
        <f t="shared" si="64"/>
        <v>3.5400000000000005</v>
      </c>
      <c r="AU152" s="55" t="str">
        <f t="shared" si="65"/>
        <v>Low</v>
      </c>
      <c r="AV152" s="34" t="s">
        <v>1509</v>
      </c>
      <c r="AW152" s="111"/>
      <c r="AX152" s="30" t="s">
        <v>1493</v>
      </c>
      <c r="AY152" s="30"/>
      <c r="AZ152" s="85" t="str">
        <f>IF(ISERROR(_xlfn.XLOOKUP(CONCATENATE(A152,"_",AV152),'Reference-Proof pt impact flag'!$I$3:$I$1048576,'Reference-Proof pt impact flag'!$G$3:$G$1048576)),"",_xlfn.XLOOKUP(CONCATENATE(A152,"_",AV152),'Reference-Proof pt impact flag'!$I$3:$I$1048576,'Reference-Proof pt impact flag'!$G$3:$G$1048576))</f>
        <v/>
      </c>
      <c r="BA152" s="74"/>
      <c r="BB152" s="74"/>
      <c r="BC152" s="74"/>
      <c r="BD152" s="74"/>
      <c r="BE152" s="74"/>
      <c r="BF152" s="74" t="e">
        <f>_xlfn.XLOOKUP(CONCATENATE(H152,"_",AV152),'Test 2 - Proof points - GPT5'!$T:$T,'Test 2 - Proof points - GPT5'!$S:$S)</f>
        <v>#N/A</v>
      </c>
      <c r="BG152" s="74" t="e">
        <f>_xlfn.XLOOKUP(CONCATENATE(H152,"_",AV152),'Test 2 -Proof points - Sonnet'!$AB:$AB,'Test 2 -Proof points - Sonnet'!$AA:$AA)</f>
        <v>#N/A</v>
      </c>
      <c r="BH152" s="74"/>
      <c r="BI152" s="74"/>
      <c r="BJ152" s="74" t="s">
        <v>1558</v>
      </c>
      <c r="BK152" s="30"/>
      <c r="BL152" s="30"/>
      <c r="BM152" s="30"/>
      <c r="BN152" s="30"/>
      <c r="BO152" s="30"/>
      <c r="BP152" s="30"/>
      <c r="BQ152" s="30"/>
      <c r="BR152" s="30"/>
      <c r="BS152" s="30"/>
      <c r="BT152" s="30"/>
      <c r="BU152" s="30"/>
      <c r="BV152" s="113"/>
    </row>
    <row r="153" spans="1:74" ht="217.5" hidden="1" x14ac:dyDescent="0.35">
      <c r="A153" s="22">
        <v>4</v>
      </c>
      <c r="B153" s="22" t="s">
        <v>1451</v>
      </c>
      <c r="C153" s="22" t="s">
        <v>1452</v>
      </c>
      <c r="D153" s="22" t="s">
        <v>1224</v>
      </c>
      <c r="E153" s="22" t="s">
        <v>1453</v>
      </c>
      <c r="F153" s="22"/>
      <c r="G153" s="22" t="s">
        <v>1274</v>
      </c>
      <c r="H153" s="21" t="s">
        <v>1285</v>
      </c>
      <c r="I153" s="101"/>
      <c r="J153" s="21" t="s">
        <v>1311</v>
      </c>
      <c r="K153" s="30"/>
      <c r="L153" s="35" t="s">
        <v>1290</v>
      </c>
      <c r="M153" s="35" t="str">
        <f>VLOOKUP(H153,'1_Value &amp; risk levers'!$H$9:$O$1048576,2,FALSE)</f>
        <v>Single sourced / reliance on a single supplier forspecialty products</v>
      </c>
      <c r="N153" s="35" t="str">
        <f>VLOOKUP(H153,'1_Value &amp; risk levers'!$H$9:$O$1048576,3,FALSE)</f>
        <v>Largely monopolistic for most specialty products e.g., a pool of 2-3 qualified / approved suppliers to choose from</v>
      </c>
      <c r="O153" s="35" t="str">
        <f>VLOOKUP(H153,'1_Value &amp; risk levers'!$H$9:$O$1048576,4,FALSE)</f>
        <v>Multiple qualified suppliers / preferred supplier list for majoe specialty products</v>
      </c>
      <c r="P153" s="35" t="str">
        <f>VLOOKUP(H153,'1_Value &amp; risk levers'!$H$9:$O$1048576,5,FALSE)</f>
        <v>Diversified sourcing options maintained for all specialties</v>
      </c>
      <c r="Q153" s="128">
        <f>IF(VLOOKUP(H153,'1_Value &amp; risk levers'!$H$9:$T$1048576,13,FALSE)=0,"",VLOOKUP(H153,'1_Value &amp; risk levers'!$H$9:$T$1048576,13,FALSE))</f>
        <v>2</v>
      </c>
      <c r="R153" s="128">
        <f t="shared" si="44"/>
        <v>2</v>
      </c>
      <c r="S153" s="128" t="e">
        <f t="shared" si="45"/>
        <v>#DIV/0!</v>
      </c>
      <c r="T153" s="77"/>
      <c r="U153" s="77"/>
      <c r="V153" s="55"/>
      <c r="W153" s="71">
        <v>0.04</v>
      </c>
      <c r="X153" s="71">
        <v>0.1</v>
      </c>
      <c r="Y153" s="71">
        <f>VLOOKUP(H153,'1_Value &amp; risk levers'!$H$9:$O$1048576,8,FALSE)</f>
        <v>0.8</v>
      </c>
      <c r="Z153" s="51">
        <f t="shared" si="46"/>
        <v>7.0000000000000007E-2</v>
      </c>
      <c r="AA153" s="51">
        <f t="shared" si="48"/>
        <v>8.5000000000000006E-2</v>
      </c>
      <c r="AB153" s="55">
        <f t="shared" si="49"/>
        <v>2800000.0000000005</v>
      </c>
      <c r="AC153" s="55">
        <f t="shared" si="50"/>
        <v>3400000.0000000005</v>
      </c>
      <c r="AD153" s="80">
        <f t="shared" si="51"/>
        <v>7</v>
      </c>
      <c r="AE153" s="84">
        <f t="shared" si="52"/>
        <v>0.48864540816326468</v>
      </c>
      <c r="AF153" s="71" t="str">
        <f t="shared" si="53"/>
        <v>Low</v>
      </c>
      <c r="AG153" s="84">
        <f t="shared" si="54"/>
        <v>5.9772908163265304E-2</v>
      </c>
      <c r="AH153" s="84">
        <f t="shared" si="55"/>
        <v>9.5227091836734709E-2</v>
      </c>
      <c r="AI153" s="73">
        <f t="shared" si="56"/>
        <v>2390916.3265306121</v>
      </c>
      <c r="AJ153" s="73">
        <f t="shared" si="57"/>
        <v>3809083.6734693884</v>
      </c>
      <c r="AK153" s="46">
        <f>VLOOKUP(H153,'1_Value &amp; risk levers'!$H$9:$O$1048576,6,FALSE)</f>
        <v>0.02</v>
      </c>
      <c r="AL153" s="46">
        <f>VLOOKUP(H153,'1_Value &amp; risk levers'!$H$9:$O$1048576,7,FALSE)</f>
        <v>0.05</v>
      </c>
      <c r="AM153" s="50">
        <f t="shared" si="58"/>
        <v>3.5000000000000003E-2</v>
      </c>
      <c r="AN153" s="72">
        <f t="shared" si="59"/>
        <v>0.16279069767441862</v>
      </c>
      <c r="AO153" s="84">
        <f t="shared" si="60"/>
        <v>9.73047342192691E-3</v>
      </c>
      <c r="AP153" s="84">
        <f t="shared" si="61"/>
        <v>1.5502084717607978E-2</v>
      </c>
      <c r="AQ153" s="55">
        <f t="shared" si="62"/>
        <v>455813.95348837221</v>
      </c>
      <c r="AR153" s="55">
        <f t="shared" si="63"/>
        <v>553488.37209302338</v>
      </c>
      <c r="AS153" s="83">
        <f t="shared" si="47"/>
        <v>41</v>
      </c>
      <c r="AT153" s="50">
        <f t="shared" si="64"/>
        <v>3.5400000000000005</v>
      </c>
      <c r="AU153" s="55" t="str">
        <f t="shared" si="65"/>
        <v>Low</v>
      </c>
      <c r="AV153" s="34" t="s">
        <v>1510</v>
      </c>
      <c r="AW153" s="111"/>
      <c r="AX153" s="30" t="s">
        <v>1493</v>
      </c>
      <c r="AY153" s="30"/>
      <c r="AZ153" s="85" t="str">
        <f>IF(ISERROR(_xlfn.XLOOKUP(CONCATENATE(A153,"_",AV153),'Reference-Proof pt impact flag'!$I$3:$I$1048576,'Reference-Proof pt impact flag'!$G$3:$G$1048576)),"",_xlfn.XLOOKUP(CONCATENATE(A153,"_",AV153),'Reference-Proof pt impact flag'!$I$3:$I$1048576,'Reference-Proof pt impact flag'!$G$3:$G$1048576))</f>
        <v/>
      </c>
      <c r="BA153" s="74"/>
      <c r="BB153" s="74"/>
      <c r="BC153" s="74"/>
      <c r="BD153" s="74"/>
      <c r="BE153" s="74"/>
      <c r="BF153" s="74" t="e">
        <f>_xlfn.XLOOKUP(CONCATENATE(H153,"_",AV153),'Test 2 - Proof points - GPT5'!$T:$T,'Test 2 - Proof points - GPT5'!$S:$S)</f>
        <v>#N/A</v>
      </c>
      <c r="BG153" s="74" t="e">
        <f>_xlfn.XLOOKUP(CONCATENATE(H153,"_",AV153),'Test 2 -Proof points - Sonnet'!$AB:$AB,'Test 2 -Proof points - Sonnet'!$AA:$AA)</f>
        <v>#N/A</v>
      </c>
      <c r="BH153" s="74"/>
      <c r="BI153" s="74"/>
      <c r="BJ153" s="74" t="s">
        <v>1558</v>
      </c>
      <c r="BK153" s="30"/>
      <c r="BL153" s="30"/>
      <c r="BM153" s="30"/>
      <c r="BN153" s="30"/>
      <c r="BO153" s="30"/>
      <c r="BP153" s="30"/>
      <c r="BQ153" s="30"/>
      <c r="BR153" s="30"/>
      <c r="BS153" s="30"/>
      <c r="BT153" s="30"/>
      <c r="BU153" s="30"/>
      <c r="BV153" s="113"/>
    </row>
    <row r="154" spans="1:74" ht="217.5" hidden="1" x14ac:dyDescent="0.35">
      <c r="A154" s="22">
        <v>4</v>
      </c>
      <c r="B154" s="22" t="s">
        <v>1451</v>
      </c>
      <c r="C154" s="22" t="s">
        <v>1452</v>
      </c>
      <c r="D154" s="22" t="s">
        <v>1224</v>
      </c>
      <c r="E154" s="22" t="s">
        <v>1453</v>
      </c>
      <c r="F154" s="22"/>
      <c r="G154" s="22" t="s">
        <v>1274</v>
      </c>
      <c r="H154" s="21" t="s">
        <v>1285</v>
      </c>
      <c r="I154" s="101"/>
      <c r="J154" s="21" t="s">
        <v>1311</v>
      </c>
      <c r="K154" s="30"/>
      <c r="L154" s="35" t="s">
        <v>1290</v>
      </c>
      <c r="M154" s="35" t="str">
        <f>VLOOKUP(H154,'1_Value &amp; risk levers'!$H$9:$O$1048576,2,FALSE)</f>
        <v>Single sourced / reliance on a single supplier forspecialty products</v>
      </c>
      <c r="N154" s="35" t="str">
        <f>VLOOKUP(H154,'1_Value &amp; risk levers'!$H$9:$O$1048576,3,FALSE)</f>
        <v>Largely monopolistic for most specialty products e.g., a pool of 2-3 qualified / approved suppliers to choose from</v>
      </c>
      <c r="O154" s="35" t="str">
        <f>VLOOKUP(H154,'1_Value &amp; risk levers'!$H$9:$O$1048576,4,FALSE)</f>
        <v>Multiple qualified suppliers / preferred supplier list for majoe specialty products</v>
      </c>
      <c r="P154" s="35" t="str">
        <f>VLOOKUP(H154,'1_Value &amp; risk levers'!$H$9:$O$1048576,5,FALSE)</f>
        <v>Diversified sourcing options maintained for all specialties</v>
      </c>
      <c r="Q154" s="77">
        <f>IF(VLOOKUP(H154,'1_Value &amp; risk levers'!$H$9:$T$1048576,13,FALSE)=0,"",VLOOKUP(H154,'1_Value &amp; risk levers'!$H$9:$T$1048576,13,FALSE))</f>
        <v>2</v>
      </c>
      <c r="R154" s="128">
        <f t="shared" si="44"/>
        <v>2</v>
      </c>
      <c r="S154" s="128" t="e">
        <f t="shared" si="45"/>
        <v>#DIV/0!</v>
      </c>
      <c r="T154" s="77"/>
      <c r="U154" s="77"/>
      <c r="V154" s="55"/>
      <c r="W154" s="71">
        <v>0.04</v>
      </c>
      <c r="X154" s="71">
        <v>0.1</v>
      </c>
      <c r="Y154" s="71">
        <f>VLOOKUP(H154,'1_Value &amp; risk levers'!$H$9:$O$1048576,8,FALSE)</f>
        <v>0.8</v>
      </c>
      <c r="Z154" s="51">
        <f t="shared" si="46"/>
        <v>7.0000000000000007E-2</v>
      </c>
      <c r="AA154" s="51">
        <f t="shared" si="48"/>
        <v>8.5000000000000006E-2</v>
      </c>
      <c r="AB154" s="55">
        <f t="shared" si="49"/>
        <v>2800000.0000000005</v>
      </c>
      <c r="AC154" s="55">
        <f t="shared" si="50"/>
        <v>3400000.0000000005</v>
      </c>
      <c r="AD154" s="80">
        <f t="shared" si="51"/>
        <v>7</v>
      </c>
      <c r="AE154" s="84">
        <f t="shared" si="52"/>
        <v>0.48864540816326468</v>
      </c>
      <c r="AF154" s="71" t="str">
        <f t="shared" si="53"/>
        <v>Low</v>
      </c>
      <c r="AG154" s="84">
        <f t="shared" si="54"/>
        <v>5.9772908163265304E-2</v>
      </c>
      <c r="AH154" s="84">
        <f t="shared" si="55"/>
        <v>9.5227091836734709E-2</v>
      </c>
      <c r="AI154" s="73">
        <f t="shared" si="56"/>
        <v>2390916.3265306121</v>
      </c>
      <c r="AJ154" s="73">
        <f t="shared" si="57"/>
        <v>3809083.6734693884</v>
      </c>
      <c r="AK154" s="46">
        <f>VLOOKUP(H154,'1_Value &amp; risk levers'!$H$9:$O$1048576,6,FALSE)</f>
        <v>0.02</v>
      </c>
      <c r="AL154" s="46">
        <f>VLOOKUP(H154,'1_Value &amp; risk levers'!$H$9:$O$1048576,7,FALSE)</f>
        <v>0.05</v>
      </c>
      <c r="AM154" s="50">
        <f t="shared" si="58"/>
        <v>3.5000000000000003E-2</v>
      </c>
      <c r="AN154" s="72">
        <f t="shared" si="59"/>
        <v>0.16279069767441862</v>
      </c>
      <c r="AO154" s="84">
        <f t="shared" si="60"/>
        <v>9.73047342192691E-3</v>
      </c>
      <c r="AP154" s="84">
        <f t="shared" si="61"/>
        <v>1.5502084717607978E-2</v>
      </c>
      <c r="AQ154" s="55">
        <f t="shared" si="62"/>
        <v>455813.95348837221</v>
      </c>
      <c r="AR154" s="55">
        <f t="shared" si="63"/>
        <v>553488.37209302338</v>
      </c>
      <c r="AS154" s="83">
        <f t="shared" si="47"/>
        <v>41</v>
      </c>
      <c r="AT154" s="50">
        <f t="shared" si="64"/>
        <v>3.5400000000000005</v>
      </c>
      <c r="AU154" s="55" t="str">
        <f t="shared" si="65"/>
        <v>Low</v>
      </c>
      <c r="AV154" s="34" t="s">
        <v>1511</v>
      </c>
      <c r="AW154" s="111"/>
      <c r="AX154" s="30" t="s">
        <v>1493</v>
      </c>
      <c r="AY154" s="30"/>
      <c r="AZ154" s="85" t="str">
        <f>IF(ISERROR(_xlfn.XLOOKUP(CONCATENATE(A154,"_",AV154),'Reference-Proof pt impact flag'!$I$3:$I$1048576,'Reference-Proof pt impact flag'!$G$3:$G$1048576)),"",_xlfn.XLOOKUP(CONCATENATE(A154,"_",AV154),'Reference-Proof pt impact flag'!$I$3:$I$1048576,'Reference-Proof pt impact flag'!$G$3:$G$1048576))</f>
        <v/>
      </c>
      <c r="BA154" s="74"/>
      <c r="BB154" s="74"/>
      <c r="BC154" s="74"/>
      <c r="BD154" s="74"/>
      <c r="BE154" s="74"/>
      <c r="BF154" s="74" t="e">
        <f>_xlfn.XLOOKUP(CONCATENATE(H154,"_",AV154),'Test 2 - Proof points - GPT5'!$T:$T,'Test 2 - Proof points - GPT5'!$S:$S)</f>
        <v>#N/A</v>
      </c>
      <c r="BG154" s="74" t="e">
        <f>_xlfn.XLOOKUP(CONCATENATE(H154,"_",AV154),'Test 2 -Proof points - Sonnet'!$AB:$AB,'Test 2 -Proof points - Sonnet'!$AA:$AA)</f>
        <v>#N/A</v>
      </c>
      <c r="BH154" s="74"/>
      <c r="BI154" s="74"/>
      <c r="BJ154" s="74" t="s">
        <v>1558</v>
      </c>
      <c r="BK154" s="30"/>
      <c r="BL154" s="30"/>
      <c r="BM154" s="30"/>
      <c r="BN154" s="30"/>
      <c r="BO154" s="30"/>
      <c r="BP154" s="30"/>
      <c r="BQ154" s="30"/>
      <c r="BR154" s="30"/>
      <c r="BS154" s="30"/>
      <c r="BT154" s="30"/>
      <c r="BU154" s="30"/>
      <c r="BV154" s="113"/>
    </row>
    <row r="155" spans="1:74" ht="217.5" hidden="1" x14ac:dyDescent="0.35">
      <c r="A155" s="22">
        <v>4</v>
      </c>
      <c r="B155" s="22" t="s">
        <v>1451</v>
      </c>
      <c r="C155" s="22" t="s">
        <v>1452</v>
      </c>
      <c r="D155" s="22" t="s">
        <v>1224</v>
      </c>
      <c r="E155" s="22" t="s">
        <v>1453</v>
      </c>
      <c r="F155" s="22"/>
      <c r="G155" s="22" t="s">
        <v>1274</v>
      </c>
      <c r="H155" s="21" t="s">
        <v>1285</v>
      </c>
      <c r="I155" s="101"/>
      <c r="J155" s="21" t="s">
        <v>1311</v>
      </c>
      <c r="K155" s="30"/>
      <c r="L155" s="35" t="s">
        <v>1290</v>
      </c>
      <c r="M155" s="35" t="str">
        <f>VLOOKUP(H155,'1_Value &amp; risk levers'!$H$9:$O$1048576,2,FALSE)</f>
        <v>Single sourced / reliance on a single supplier forspecialty products</v>
      </c>
      <c r="N155" s="35" t="str">
        <f>VLOOKUP(H155,'1_Value &amp; risk levers'!$H$9:$O$1048576,3,FALSE)</f>
        <v>Largely monopolistic for most specialty products e.g., a pool of 2-3 qualified / approved suppliers to choose from</v>
      </c>
      <c r="O155" s="35" t="str">
        <f>VLOOKUP(H155,'1_Value &amp; risk levers'!$H$9:$O$1048576,4,FALSE)</f>
        <v>Multiple qualified suppliers / preferred supplier list for majoe specialty products</v>
      </c>
      <c r="P155" s="35" t="str">
        <f>VLOOKUP(H155,'1_Value &amp; risk levers'!$H$9:$O$1048576,5,FALSE)</f>
        <v>Diversified sourcing options maintained for all specialties</v>
      </c>
      <c r="Q155" s="77">
        <f>IF(VLOOKUP(H155,'1_Value &amp; risk levers'!$H$9:$T$1048576,13,FALSE)=0,"",VLOOKUP(H155,'1_Value &amp; risk levers'!$H$9:$T$1048576,13,FALSE))</f>
        <v>2</v>
      </c>
      <c r="R155" s="128">
        <f t="shared" si="44"/>
        <v>2</v>
      </c>
      <c r="S155" s="128" t="e">
        <f t="shared" si="45"/>
        <v>#DIV/0!</v>
      </c>
      <c r="T155" s="77"/>
      <c r="U155" s="77"/>
      <c r="V155" s="55"/>
      <c r="W155" s="71">
        <v>0.04</v>
      </c>
      <c r="X155" s="71">
        <v>0.1</v>
      </c>
      <c r="Y155" s="71">
        <f>VLOOKUP(H155,'1_Value &amp; risk levers'!$H$9:$O$1048576,8,FALSE)</f>
        <v>0.8</v>
      </c>
      <c r="Z155" s="51">
        <f t="shared" si="46"/>
        <v>7.0000000000000007E-2</v>
      </c>
      <c r="AA155" s="51">
        <f t="shared" si="48"/>
        <v>8.5000000000000006E-2</v>
      </c>
      <c r="AB155" s="55">
        <f t="shared" si="49"/>
        <v>2800000.0000000005</v>
      </c>
      <c r="AC155" s="55">
        <f t="shared" si="50"/>
        <v>3400000.0000000005</v>
      </c>
      <c r="AD155" s="80">
        <f t="shared" si="51"/>
        <v>7</v>
      </c>
      <c r="AE155" s="84">
        <f t="shared" si="52"/>
        <v>0.48864540816326468</v>
      </c>
      <c r="AF155" s="71" t="str">
        <f t="shared" si="53"/>
        <v>Low</v>
      </c>
      <c r="AG155" s="84">
        <f t="shared" si="54"/>
        <v>5.9772908163265304E-2</v>
      </c>
      <c r="AH155" s="84">
        <f t="shared" si="55"/>
        <v>9.5227091836734709E-2</v>
      </c>
      <c r="AI155" s="73">
        <f t="shared" si="56"/>
        <v>2390916.3265306121</v>
      </c>
      <c r="AJ155" s="73">
        <f t="shared" si="57"/>
        <v>3809083.6734693884</v>
      </c>
      <c r="AK155" s="46">
        <f>VLOOKUP(H155,'1_Value &amp; risk levers'!$H$9:$O$1048576,6,FALSE)</f>
        <v>0.02</v>
      </c>
      <c r="AL155" s="46">
        <f>VLOOKUP(H155,'1_Value &amp; risk levers'!$H$9:$O$1048576,7,FALSE)</f>
        <v>0.05</v>
      </c>
      <c r="AM155" s="50">
        <f t="shared" si="58"/>
        <v>3.5000000000000003E-2</v>
      </c>
      <c r="AN155" s="72">
        <f t="shared" si="59"/>
        <v>0.16279069767441862</v>
      </c>
      <c r="AO155" s="84">
        <f t="shared" si="60"/>
        <v>9.73047342192691E-3</v>
      </c>
      <c r="AP155" s="84">
        <f t="shared" si="61"/>
        <v>1.5502084717607978E-2</v>
      </c>
      <c r="AQ155" s="55">
        <f t="shared" si="62"/>
        <v>455813.95348837221</v>
      </c>
      <c r="AR155" s="55">
        <f t="shared" si="63"/>
        <v>553488.37209302338</v>
      </c>
      <c r="AS155" s="83">
        <f t="shared" si="47"/>
        <v>41</v>
      </c>
      <c r="AT155" s="50">
        <f t="shared" si="64"/>
        <v>3.5400000000000005</v>
      </c>
      <c r="AU155" s="55" t="str">
        <f t="shared" si="65"/>
        <v>Low</v>
      </c>
      <c r="AV155" s="34" t="s">
        <v>1512</v>
      </c>
      <c r="AW155" s="111"/>
      <c r="AX155" s="30" t="s">
        <v>1493</v>
      </c>
      <c r="AY155" s="30"/>
      <c r="AZ155" s="85" t="str">
        <f>IF(ISERROR(_xlfn.XLOOKUP(CONCATENATE(A155,"_",AV155),'Reference-Proof pt impact flag'!$I$3:$I$1048576,'Reference-Proof pt impact flag'!$G$3:$G$1048576)),"",_xlfn.XLOOKUP(CONCATENATE(A155,"_",AV155),'Reference-Proof pt impact flag'!$I$3:$I$1048576,'Reference-Proof pt impact flag'!$G$3:$G$1048576))</f>
        <v/>
      </c>
      <c r="BA155" s="74"/>
      <c r="BB155" s="74"/>
      <c r="BC155" s="74"/>
      <c r="BD155" s="74"/>
      <c r="BE155" s="74"/>
      <c r="BF155" s="74" t="e">
        <f>_xlfn.XLOOKUP(CONCATENATE(H155,"_",AV155),'Test 2 - Proof points - GPT5'!$T:$T,'Test 2 - Proof points - GPT5'!$S:$S)</f>
        <v>#N/A</v>
      </c>
      <c r="BG155" s="74" t="e">
        <f>_xlfn.XLOOKUP(CONCATENATE(H155,"_",AV155),'Test 2 -Proof points - Sonnet'!$AB:$AB,'Test 2 -Proof points - Sonnet'!$AA:$AA)</f>
        <v>#N/A</v>
      </c>
      <c r="BH155" s="74"/>
      <c r="BI155" s="74"/>
      <c r="BJ155" s="74" t="s">
        <v>1558</v>
      </c>
      <c r="BK155" s="30"/>
      <c r="BL155" s="30"/>
      <c r="BM155" s="30"/>
      <c r="BN155" s="30"/>
      <c r="BO155" s="30"/>
      <c r="BP155" s="30"/>
      <c r="BQ155" s="30"/>
      <c r="BR155" s="30"/>
      <c r="BS155" s="30"/>
      <c r="BT155" s="30"/>
      <c r="BU155" s="30"/>
      <c r="BV155" s="113"/>
    </row>
    <row r="156" spans="1:74" ht="217.5" hidden="1" x14ac:dyDescent="0.35">
      <c r="A156" s="22">
        <v>4</v>
      </c>
      <c r="B156" s="22" t="s">
        <v>1451</v>
      </c>
      <c r="C156" s="22" t="s">
        <v>1452</v>
      </c>
      <c r="D156" s="22" t="s">
        <v>1224</v>
      </c>
      <c r="E156" s="22" t="s">
        <v>1453</v>
      </c>
      <c r="F156" s="22"/>
      <c r="G156" s="22" t="s">
        <v>1274</v>
      </c>
      <c r="H156" s="21" t="s">
        <v>1285</v>
      </c>
      <c r="I156" s="101"/>
      <c r="J156" s="21" t="s">
        <v>1311</v>
      </c>
      <c r="K156" s="30"/>
      <c r="L156" s="35" t="s">
        <v>1290</v>
      </c>
      <c r="M156" s="35" t="str">
        <f>VLOOKUP(H156,'1_Value &amp; risk levers'!$H$9:$O$1048576,2,FALSE)</f>
        <v>Single sourced / reliance on a single supplier forspecialty products</v>
      </c>
      <c r="N156" s="35" t="str">
        <f>VLOOKUP(H156,'1_Value &amp; risk levers'!$H$9:$O$1048576,3,FALSE)</f>
        <v>Largely monopolistic for most specialty products e.g., a pool of 2-3 qualified / approved suppliers to choose from</v>
      </c>
      <c r="O156" s="35" t="str">
        <f>VLOOKUP(H156,'1_Value &amp; risk levers'!$H$9:$O$1048576,4,FALSE)</f>
        <v>Multiple qualified suppliers / preferred supplier list for majoe specialty products</v>
      </c>
      <c r="P156" s="35" t="str">
        <f>VLOOKUP(H156,'1_Value &amp; risk levers'!$H$9:$O$1048576,5,FALSE)</f>
        <v>Diversified sourcing options maintained for all specialties</v>
      </c>
      <c r="Q156" s="77">
        <f>IF(VLOOKUP(H156,'1_Value &amp; risk levers'!$H$9:$T$1048576,13,FALSE)=0,"",VLOOKUP(H156,'1_Value &amp; risk levers'!$H$9:$T$1048576,13,FALSE))</f>
        <v>2</v>
      </c>
      <c r="R156" s="128">
        <f t="shared" si="44"/>
        <v>2</v>
      </c>
      <c r="S156" s="128" t="e">
        <f t="shared" si="45"/>
        <v>#DIV/0!</v>
      </c>
      <c r="T156" s="77"/>
      <c r="U156" s="77"/>
      <c r="V156" s="55"/>
      <c r="W156" s="71">
        <v>0.04</v>
      </c>
      <c r="X156" s="71">
        <v>0.1</v>
      </c>
      <c r="Y156" s="71">
        <f>VLOOKUP(H156,'1_Value &amp; risk levers'!$H$9:$O$1048576,8,FALSE)</f>
        <v>0.8</v>
      </c>
      <c r="Z156" s="51">
        <f t="shared" si="46"/>
        <v>7.0000000000000007E-2</v>
      </c>
      <c r="AA156" s="51">
        <f t="shared" si="48"/>
        <v>8.5000000000000006E-2</v>
      </c>
      <c r="AB156" s="55">
        <f t="shared" si="49"/>
        <v>2800000.0000000005</v>
      </c>
      <c r="AC156" s="55">
        <f t="shared" si="50"/>
        <v>3400000.0000000005</v>
      </c>
      <c r="AD156" s="80">
        <f t="shared" si="51"/>
        <v>7</v>
      </c>
      <c r="AE156" s="84">
        <f t="shared" si="52"/>
        <v>0.48864540816326468</v>
      </c>
      <c r="AF156" s="71" t="str">
        <f t="shared" si="53"/>
        <v>Low</v>
      </c>
      <c r="AG156" s="84">
        <f t="shared" si="54"/>
        <v>5.9772908163265304E-2</v>
      </c>
      <c r="AH156" s="84">
        <f t="shared" si="55"/>
        <v>9.5227091836734709E-2</v>
      </c>
      <c r="AI156" s="73">
        <f t="shared" si="56"/>
        <v>2390916.3265306121</v>
      </c>
      <c r="AJ156" s="73">
        <f t="shared" si="57"/>
        <v>3809083.6734693884</v>
      </c>
      <c r="AK156" s="46">
        <f>VLOOKUP(H156,'1_Value &amp; risk levers'!$H$9:$O$1048576,6,FALSE)</f>
        <v>0.02</v>
      </c>
      <c r="AL156" s="46">
        <f>VLOOKUP(H156,'1_Value &amp; risk levers'!$H$9:$O$1048576,7,FALSE)</f>
        <v>0.05</v>
      </c>
      <c r="AM156" s="50">
        <f t="shared" si="58"/>
        <v>3.5000000000000003E-2</v>
      </c>
      <c r="AN156" s="72">
        <f t="shared" si="59"/>
        <v>0.16279069767441862</v>
      </c>
      <c r="AO156" s="84">
        <f t="shared" si="60"/>
        <v>9.73047342192691E-3</v>
      </c>
      <c r="AP156" s="84">
        <f t="shared" si="61"/>
        <v>1.5502084717607978E-2</v>
      </c>
      <c r="AQ156" s="55">
        <f t="shared" si="62"/>
        <v>455813.95348837221</v>
      </c>
      <c r="AR156" s="55">
        <f t="shared" si="63"/>
        <v>553488.37209302338</v>
      </c>
      <c r="AS156" s="83">
        <f t="shared" si="47"/>
        <v>41</v>
      </c>
      <c r="AT156" s="50">
        <f t="shared" si="64"/>
        <v>3.5400000000000005</v>
      </c>
      <c r="AU156" s="55" t="str">
        <f t="shared" si="65"/>
        <v>Low</v>
      </c>
      <c r="AV156" s="34" t="s">
        <v>1513</v>
      </c>
      <c r="AW156" s="111"/>
      <c r="AX156" s="30" t="s">
        <v>1493</v>
      </c>
      <c r="AY156" s="30"/>
      <c r="AZ156" s="85" t="str">
        <f>IF(ISERROR(_xlfn.XLOOKUP(CONCATENATE(A156,"_",AV156),'Reference-Proof pt impact flag'!$I$3:$I$1048576,'Reference-Proof pt impact flag'!$G$3:$G$1048576)),"",_xlfn.XLOOKUP(CONCATENATE(A156,"_",AV156),'Reference-Proof pt impact flag'!$I$3:$I$1048576,'Reference-Proof pt impact flag'!$G$3:$G$1048576))</f>
        <v/>
      </c>
      <c r="BA156" s="74"/>
      <c r="BB156" s="74"/>
      <c r="BC156" s="74"/>
      <c r="BD156" s="74"/>
      <c r="BE156" s="74"/>
      <c r="BF156" s="74" t="e">
        <f>_xlfn.XLOOKUP(CONCATENATE(H156,"_",AV156),'Test 2 - Proof points - GPT5'!$T:$T,'Test 2 - Proof points - GPT5'!$S:$S)</f>
        <v>#N/A</v>
      </c>
      <c r="BG156" s="74" t="e">
        <f>_xlfn.XLOOKUP(CONCATENATE(H156,"_",AV156),'Test 2 -Proof points - Sonnet'!$AB:$AB,'Test 2 -Proof points - Sonnet'!$AA:$AA)</f>
        <v>#N/A</v>
      </c>
      <c r="BH156" s="74"/>
      <c r="BI156" s="74"/>
      <c r="BJ156" s="74" t="s">
        <v>1558</v>
      </c>
      <c r="BK156" s="30"/>
      <c r="BL156" s="30"/>
      <c r="BM156" s="30"/>
      <c r="BN156" s="30"/>
      <c r="BO156" s="30"/>
      <c r="BP156" s="30"/>
      <c r="BQ156" s="30"/>
      <c r="BR156" s="30"/>
      <c r="BS156" s="30"/>
      <c r="BT156" s="30"/>
      <c r="BU156" s="30"/>
      <c r="BV156" s="113"/>
    </row>
    <row r="157" spans="1:74" ht="217.5" hidden="1" x14ac:dyDescent="0.35">
      <c r="A157" s="22">
        <v>4</v>
      </c>
      <c r="B157" s="22" t="s">
        <v>1451</v>
      </c>
      <c r="C157" s="22" t="s">
        <v>1452</v>
      </c>
      <c r="D157" s="22" t="s">
        <v>1224</v>
      </c>
      <c r="E157" s="22" t="s">
        <v>1453</v>
      </c>
      <c r="F157" s="22"/>
      <c r="G157" s="22" t="s">
        <v>1274</v>
      </c>
      <c r="H157" s="21" t="s">
        <v>1285</v>
      </c>
      <c r="I157" s="101"/>
      <c r="J157" s="21" t="s">
        <v>1311</v>
      </c>
      <c r="K157" s="30"/>
      <c r="L157" s="35" t="s">
        <v>1290</v>
      </c>
      <c r="M157" s="35" t="str">
        <f>VLOOKUP(H157,'1_Value &amp; risk levers'!$H$9:$O$1048576,2,FALSE)</f>
        <v>Single sourced / reliance on a single supplier forspecialty products</v>
      </c>
      <c r="N157" s="35" t="str">
        <f>VLOOKUP(H157,'1_Value &amp; risk levers'!$H$9:$O$1048576,3,FALSE)</f>
        <v>Largely monopolistic for most specialty products e.g., a pool of 2-3 qualified / approved suppliers to choose from</v>
      </c>
      <c r="O157" s="35" t="str">
        <f>VLOOKUP(H157,'1_Value &amp; risk levers'!$H$9:$O$1048576,4,FALSE)</f>
        <v>Multiple qualified suppliers / preferred supplier list for majoe specialty products</v>
      </c>
      <c r="P157" s="35" t="str">
        <f>VLOOKUP(H157,'1_Value &amp; risk levers'!$H$9:$O$1048576,5,FALSE)</f>
        <v>Diversified sourcing options maintained for all specialties</v>
      </c>
      <c r="Q157" s="77">
        <f>IF(VLOOKUP(H157,'1_Value &amp; risk levers'!$H$9:$T$1048576,13,FALSE)=0,"",VLOOKUP(H157,'1_Value &amp; risk levers'!$H$9:$T$1048576,13,FALSE))</f>
        <v>2</v>
      </c>
      <c r="R157" s="128">
        <f t="shared" si="44"/>
        <v>2</v>
      </c>
      <c r="S157" s="128" t="e">
        <f t="shared" si="45"/>
        <v>#DIV/0!</v>
      </c>
      <c r="T157" s="77"/>
      <c r="U157" s="77"/>
      <c r="V157" s="55"/>
      <c r="W157" s="71">
        <v>0.04</v>
      </c>
      <c r="X157" s="71">
        <v>0.1</v>
      </c>
      <c r="Y157" s="71">
        <f>VLOOKUP(H157,'1_Value &amp; risk levers'!$H$9:$O$1048576,8,FALSE)</f>
        <v>0.8</v>
      </c>
      <c r="Z157" s="51">
        <f t="shared" si="46"/>
        <v>7.0000000000000007E-2</v>
      </c>
      <c r="AA157" s="51">
        <f t="shared" si="48"/>
        <v>8.5000000000000006E-2</v>
      </c>
      <c r="AB157" s="55">
        <f t="shared" si="49"/>
        <v>2800000.0000000005</v>
      </c>
      <c r="AC157" s="55">
        <f t="shared" si="50"/>
        <v>3400000.0000000005</v>
      </c>
      <c r="AD157" s="80">
        <f t="shared" si="51"/>
        <v>7</v>
      </c>
      <c r="AE157" s="84">
        <f t="shared" si="52"/>
        <v>0.48864540816326468</v>
      </c>
      <c r="AF157" s="71" t="str">
        <f t="shared" si="53"/>
        <v>Low</v>
      </c>
      <c r="AG157" s="84">
        <f t="shared" si="54"/>
        <v>5.9772908163265304E-2</v>
      </c>
      <c r="AH157" s="84">
        <f t="shared" si="55"/>
        <v>9.5227091836734709E-2</v>
      </c>
      <c r="AI157" s="73">
        <f t="shared" si="56"/>
        <v>2390916.3265306121</v>
      </c>
      <c r="AJ157" s="73">
        <f t="shared" si="57"/>
        <v>3809083.6734693884</v>
      </c>
      <c r="AK157" s="46">
        <f>VLOOKUP(H157,'1_Value &amp; risk levers'!$H$9:$O$1048576,6,FALSE)</f>
        <v>0.02</v>
      </c>
      <c r="AL157" s="46">
        <f>VLOOKUP(H157,'1_Value &amp; risk levers'!$H$9:$O$1048576,7,FALSE)</f>
        <v>0.05</v>
      </c>
      <c r="AM157" s="50">
        <f t="shared" si="58"/>
        <v>3.5000000000000003E-2</v>
      </c>
      <c r="AN157" s="72">
        <f t="shared" si="59"/>
        <v>0.16279069767441862</v>
      </c>
      <c r="AO157" s="84">
        <f t="shared" si="60"/>
        <v>9.73047342192691E-3</v>
      </c>
      <c r="AP157" s="84">
        <f t="shared" si="61"/>
        <v>1.5502084717607978E-2</v>
      </c>
      <c r="AQ157" s="55">
        <f t="shared" si="62"/>
        <v>455813.95348837221</v>
      </c>
      <c r="AR157" s="55">
        <f t="shared" si="63"/>
        <v>553488.37209302338</v>
      </c>
      <c r="AS157" s="83">
        <f t="shared" si="47"/>
        <v>41</v>
      </c>
      <c r="AT157" s="50">
        <f t="shared" si="64"/>
        <v>3.5400000000000005</v>
      </c>
      <c r="AU157" s="55" t="str">
        <f t="shared" si="65"/>
        <v>Low</v>
      </c>
      <c r="AV157" s="34" t="s">
        <v>1514</v>
      </c>
      <c r="AW157" s="111"/>
      <c r="AX157" s="30" t="s">
        <v>1493</v>
      </c>
      <c r="AY157" s="30"/>
      <c r="AZ157" s="85" t="str">
        <f>IF(ISERROR(_xlfn.XLOOKUP(CONCATENATE(A157,"_",AV157),'Reference-Proof pt impact flag'!$I$3:$I$1048576,'Reference-Proof pt impact flag'!$G$3:$G$1048576)),"",_xlfn.XLOOKUP(CONCATENATE(A157,"_",AV157),'Reference-Proof pt impact flag'!$I$3:$I$1048576,'Reference-Proof pt impact flag'!$G$3:$G$1048576))</f>
        <v/>
      </c>
      <c r="BA157" s="74"/>
      <c r="BB157" s="74"/>
      <c r="BC157" s="74"/>
      <c r="BD157" s="74"/>
      <c r="BE157" s="74"/>
      <c r="BF157" s="74" t="e">
        <f>_xlfn.XLOOKUP(CONCATENATE(H157,"_",AV157),'Test 2 - Proof points - GPT5'!$T:$T,'Test 2 - Proof points - GPT5'!$S:$S)</f>
        <v>#N/A</v>
      </c>
      <c r="BG157" s="74" t="e">
        <f>_xlfn.XLOOKUP(CONCATENATE(H157,"_",AV157),'Test 2 -Proof points - Sonnet'!$AB:$AB,'Test 2 -Proof points - Sonnet'!$AA:$AA)</f>
        <v>#N/A</v>
      </c>
      <c r="BH157" s="74"/>
      <c r="BI157" s="74"/>
      <c r="BJ157" s="74" t="s">
        <v>1558</v>
      </c>
      <c r="BK157" s="30"/>
      <c r="BL157" s="30"/>
      <c r="BM157" s="30"/>
      <c r="BN157" s="30"/>
      <c r="BO157" s="30"/>
      <c r="BP157" s="30"/>
      <c r="BQ157" s="30"/>
      <c r="BR157" s="30"/>
      <c r="BS157" s="30"/>
      <c r="BT157" s="30"/>
      <c r="BU157" s="30"/>
      <c r="BV157" s="113"/>
    </row>
    <row r="158" spans="1:74" ht="217.5" hidden="1" x14ac:dyDescent="0.35">
      <c r="A158" s="22">
        <v>4</v>
      </c>
      <c r="B158" s="22" t="s">
        <v>1451</v>
      </c>
      <c r="C158" s="22" t="s">
        <v>1452</v>
      </c>
      <c r="D158" s="22" t="s">
        <v>1224</v>
      </c>
      <c r="E158" s="22" t="s">
        <v>1453</v>
      </c>
      <c r="F158" s="22"/>
      <c r="G158" s="22" t="s">
        <v>1274</v>
      </c>
      <c r="H158" s="21" t="s">
        <v>1285</v>
      </c>
      <c r="I158" s="101"/>
      <c r="J158" s="21" t="s">
        <v>1311</v>
      </c>
      <c r="K158" s="30"/>
      <c r="L158" s="35" t="s">
        <v>1290</v>
      </c>
      <c r="M158" s="35" t="str">
        <f>VLOOKUP(H158,'1_Value &amp; risk levers'!$H$9:$O$1048576,2,FALSE)</f>
        <v>Single sourced / reliance on a single supplier forspecialty products</v>
      </c>
      <c r="N158" s="35" t="str">
        <f>VLOOKUP(H158,'1_Value &amp; risk levers'!$H$9:$O$1048576,3,FALSE)</f>
        <v>Largely monopolistic for most specialty products e.g., a pool of 2-3 qualified / approved suppliers to choose from</v>
      </c>
      <c r="O158" s="35" t="str">
        <f>VLOOKUP(H158,'1_Value &amp; risk levers'!$H$9:$O$1048576,4,FALSE)</f>
        <v>Multiple qualified suppliers / preferred supplier list for majoe specialty products</v>
      </c>
      <c r="P158" s="35" t="str">
        <f>VLOOKUP(H158,'1_Value &amp; risk levers'!$H$9:$O$1048576,5,FALSE)</f>
        <v>Diversified sourcing options maintained for all specialties</v>
      </c>
      <c r="Q158" s="77">
        <f>IF(VLOOKUP(H158,'1_Value &amp; risk levers'!$H$9:$T$1048576,13,FALSE)=0,"",VLOOKUP(H158,'1_Value &amp; risk levers'!$H$9:$T$1048576,13,FALSE))</f>
        <v>2</v>
      </c>
      <c r="R158" s="128">
        <f t="shared" si="44"/>
        <v>2</v>
      </c>
      <c r="S158" s="128" t="e">
        <f t="shared" si="45"/>
        <v>#DIV/0!</v>
      </c>
      <c r="T158" s="77"/>
      <c r="U158" s="77"/>
      <c r="V158" s="55"/>
      <c r="W158" s="71">
        <v>0.04</v>
      </c>
      <c r="X158" s="71">
        <v>0.1</v>
      </c>
      <c r="Y158" s="71">
        <f>VLOOKUP(H158,'1_Value &amp; risk levers'!$H$9:$O$1048576,8,FALSE)</f>
        <v>0.8</v>
      </c>
      <c r="Z158" s="51">
        <f t="shared" si="46"/>
        <v>7.0000000000000007E-2</v>
      </c>
      <c r="AA158" s="51">
        <f t="shared" si="48"/>
        <v>8.5000000000000006E-2</v>
      </c>
      <c r="AB158" s="55">
        <f t="shared" si="49"/>
        <v>2800000.0000000005</v>
      </c>
      <c r="AC158" s="55">
        <f t="shared" si="50"/>
        <v>3400000.0000000005</v>
      </c>
      <c r="AD158" s="80">
        <f t="shared" si="51"/>
        <v>7</v>
      </c>
      <c r="AE158" s="84">
        <f t="shared" si="52"/>
        <v>0.48864540816326468</v>
      </c>
      <c r="AF158" s="71" t="str">
        <f t="shared" si="53"/>
        <v>Low</v>
      </c>
      <c r="AG158" s="84">
        <f t="shared" si="54"/>
        <v>5.9772908163265304E-2</v>
      </c>
      <c r="AH158" s="84">
        <f t="shared" si="55"/>
        <v>9.5227091836734709E-2</v>
      </c>
      <c r="AI158" s="73">
        <f t="shared" si="56"/>
        <v>2390916.3265306121</v>
      </c>
      <c r="AJ158" s="73">
        <f t="shared" si="57"/>
        <v>3809083.6734693884</v>
      </c>
      <c r="AK158" s="46">
        <f>VLOOKUP(H158,'1_Value &amp; risk levers'!$H$9:$O$1048576,6,FALSE)</f>
        <v>0.02</v>
      </c>
      <c r="AL158" s="46">
        <f>VLOOKUP(H158,'1_Value &amp; risk levers'!$H$9:$O$1048576,7,FALSE)</f>
        <v>0.05</v>
      </c>
      <c r="AM158" s="50">
        <f t="shared" si="58"/>
        <v>3.5000000000000003E-2</v>
      </c>
      <c r="AN158" s="72">
        <f t="shared" si="59"/>
        <v>0.16279069767441862</v>
      </c>
      <c r="AO158" s="84">
        <f t="shared" si="60"/>
        <v>9.73047342192691E-3</v>
      </c>
      <c r="AP158" s="84">
        <f t="shared" si="61"/>
        <v>1.5502084717607978E-2</v>
      </c>
      <c r="AQ158" s="55">
        <f t="shared" si="62"/>
        <v>455813.95348837221</v>
      </c>
      <c r="AR158" s="55">
        <f t="shared" si="63"/>
        <v>553488.37209302338</v>
      </c>
      <c r="AS158" s="83">
        <f t="shared" si="47"/>
        <v>41</v>
      </c>
      <c r="AT158" s="50">
        <f t="shared" si="64"/>
        <v>3.5400000000000005</v>
      </c>
      <c r="AU158" s="55" t="str">
        <f t="shared" si="65"/>
        <v>Low</v>
      </c>
      <c r="AV158" s="34" t="s">
        <v>1515</v>
      </c>
      <c r="AW158" s="111"/>
      <c r="AX158" s="30" t="s">
        <v>1493</v>
      </c>
      <c r="AY158" s="30"/>
      <c r="AZ158" s="85" t="str">
        <f>IF(ISERROR(_xlfn.XLOOKUP(CONCATENATE(A158,"_",AV158),'Reference-Proof pt impact flag'!$I$3:$I$1048576,'Reference-Proof pt impact flag'!$G$3:$G$1048576)),"",_xlfn.XLOOKUP(CONCATENATE(A158,"_",AV158),'Reference-Proof pt impact flag'!$I$3:$I$1048576,'Reference-Proof pt impact flag'!$G$3:$G$1048576))</f>
        <v/>
      </c>
      <c r="BA158" s="74"/>
      <c r="BB158" s="74"/>
      <c r="BC158" s="74"/>
      <c r="BD158" s="74"/>
      <c r="BE158" s="74"/>
      <c r="BF158" s="74" t="e">
        <f>_xlfn.XLOOKUP(CONCATENATE(H158,"_",AV158),'Test 2 - Proof points - GPT5'!$T:$T,'Test 2 - Proof points - GPT5'!$S:$S)</f>
        <v>#N/A</v>
      </c>
      <c r="BG158" s="74" t="e">
        <f>_xlfn.XLOOKUP(CONCATENATE(H158,"_",AV158),'Test 2 -Proof points - Sonnet'!$AB:$AB,'Test 2 -Proof points - Sonnet'!$AA:$AA)</f>
        <v>#N/A</v>
      </c>
      <c r="BH158" s="74"/>
      <c r="BI158" s="74"/>
      <c r="BJ158" s="74" t="s">
        <v>1558</v>
      </c>
      <c r="BK158" s="30"/>
      <c r="BL158" s="30"/>
      <c r="BM158" s="30"/>
      <c r="BN158" s="30"/>
      <c r="BO158" s="30"/>
      <c r="BP158" s="30"/>
      <c r="BQ158" s="30"/>
      <c r="BR158" s="30"/>
      <c r="BS158" s="30"/>
      <c r="BT158" s="30"/>
      <c r="BU158" s="30"/>
      <c r="BV158" s="113"/>
    </row>
    <row r="159" spans="1:74" ht="217.5" hidden="1" x14ac:dyDescent="0.35">
      <c r="A159" s="22">
        <v>4</v>
      </c>
      <c r="B159" s="22" t="s">
        <v>1451</v>
      </c>
      <c r="C159" s="22" t="s">
        <v>1452</v>
      </c>
      <c r="D159" s="22" t="s">
        <v>1224</v>
      </c>
      <c r="E159" s="22" t="s">
        <v>1453</v>
      </c>
      <c r="F159" s="22"/>
      <c r="G159" s="22" t="s">
        <v>1274</v>
      </c>
      <c r="H159" s="21" t="s">
        <v>1285</v>
      </c>
      <c r="I159" s="101"/>
      <c r="J159" s="21" t="s">
        <v>1311</v>
      </c>
      <c r="K159" s="30"/>
      <c r="L159" s="35" t="s">
        <v>1290</v>
      </c>
      <c r="M159" s="35" t="str">
        <f>VLOOKUP(H159,'1_Value &amp; risk levers'!$H$9:$O$1048576,2,FALSE)</f>
        <v>Single sourced / reliance on a single supplier forspecialty products</v>
      </c>
      <c r="N159" s="35" t="str">
        <f>VLOOKUP(H159,'1_Value &amp; risk levers'!$H$9:$O$1048576,3,FALSE)</f>
        <v>Largely monopolistic for most specialty products e.g., a pool of 2-3 qualified / approved suppliers to choose from</v>
      </c>
      <c r="O159" s="35" t="str">
        <f>VLOOKUP(H159,'1_Value &amp; risk levers'!$H$9:$O$1048576,4,FALSE)</f>
        <v>Multiple qualified suppliers / preferred supplier list for majoe specialty products</v>
      </c>
      <c r="P159" s="35" t="str">
        <f>VLOOKUP(H159,'1_Value &amp; risk levers'!$H$9:$O$1048576,5,FALSE)</f>
        <v>Diversified sourcing options maintained for all specialties</v>
      </c>
      <c r="Q159" s="77">
        <f>IF(VLOOKUP(H159,'1_Value &amp; risk levers'!$H$9:$T$1048576,13,FALSE)=0,"",VLOOKUP(H159,'1_Value &amp; risk levers'!$H$9:$T$1048576,13,FALSE))</f>
        <v>2</v>
      </c>
      <c r="R159" s="128">
        <f t="shared" si="44"/>
        <v>2</v>
      </c>
      <c r="S159" s="128" t="e">
        <f t="shared" si="45"/>
        <v>#DIV/0!</v>
      </c>
      <c r="T159" s="77"/>
      <c r="U159" s="77"/>
      <c r="V159" s="55"/>
      <c r="W159" s="71">
        <v>0.04</v>
      </c>
      <c r="X159" s="71">
        <v>0.1</v>
      </c>
      <c r="Y159" s="71">
        <f>VLOOKUP(H159,'1_Value &amp; risk levers'!$H$9:$O$1048576,8,FALSE)</f>
        <v>0.8</v>
      </c>
      <c r="Z159" s="51">
        <f t="shared" si="46"/>
        <v>7.0000000000000007E-2</v>
      </c>
      <c r="AA159" s="51">
        <f t="shared" si="48"/>
        <v>8.5000000000000006E-2</v>
      </c>
      <c r="AB159" s="55">
        <f t="shared" si="49"/>
        <v>2800000.0000000005</v>
      </c>
      <c r="AC159" s="55">
        <f t="shared" si="50"/>
        <v>3400000.0000000005</v>
      </c>
      <c r="AD159" s="80">
        <f t="shared" si="51"/>
        <v>7</v>
      </c>
      <c r="AE159" s="84">
        <f t="shared" si="52"/>
        <v>0.48864540816326468</v>
      </c>
      <c r="AF159" s="71" t="str">
        <f t="shared" si="53"/>
        <v>Low</v>
      </c>
      <c r="AG159" s="84">
        <f t="shared" si="54"/>
        <v>5.9772908163265304E-2</v>
      </c>
      <c r="AH159" s="84">
        <f t="shared" si="55"/>
        <v>9.5227091836734709E-2</v>
      </c>
      <c r="AI159" s="73">
        <f t="shared" si="56"/>
        <v>2390916.3265306121</v>
      </c>
      <c r="AJ159" s="73">
        <f t="shared" si="57"/>
        <v>3809083.6734693884</v>
      </c>
      <c r="AK159" s="46">
        <f>VLOOKUP(H159,'1_Value &amp; risk levers'!$H$9:$O$1048576,6,FALSE)</f>
        <v>0.02</v>
      </c>
      <c r="AL159" s="46">
        <f>VLOOKUP(H159,'1_Value &amp; risk levers'!$H$9:$O$1048576,7,FALSE)</f>
        <v>0.05</v>
      </c>
      <c r="AM159" s="50">
        <f t="shared" si="58"/>
        <v>3.5000000000000003E-2</v>
      </c>
      <c r="AN159" s="72">
        <f t="shared" si="59"/>
        <v>0.16279069767441862</v>
      </c>
      <c r="AO159" s="84">
        <f t="shared" si="60"/>
        <v>9.73047342192691E-3</v>
      </c>
      <c r="AP159" s="84">
        <f t="shared" si="61"/>
        <v>1.5502084717607978E-2</v>
      </c>
      <c r="AQ159" s="55">
        <f t="shared" si="62"/>
        <v>455813.95348837221</v>
      </c>
      <c r="AR159" s="55">
        <f t="shared" si="63"/>
        <v>553488.37209302338</v>
      </c>
      <c r="AS159" s="83">
        <f t="shared" si="47"/>
        <v>41</v>
      </c>
      <c r="AT159" s="50">
        <f t="shared" si="64"/>
        <v>3.5400000000000005</v>
      </c>
      <c r="AU159" s="55" t="str">
        <f t="shared" si="65"/>
        <v>Low</v>
      </c>
      <c r="AV159" s="34" t="s">
        <v>1516</v>
      </c>
      <c r="AW159" s="111"/>
      <c r="AX159" s="30" t="s">
        <v>1493</v>
      </c>
      <c r="AY159" s="30"/>
      <c r="AZ159" s="85" t="str">
        <f>IF(ISERROR(_xlfn.XLOOKUP(CONCATENATE(A159,"_",AV159),'Reference-Proof pt impact flag'!$I$3:$I$1048576,'Reference-Proof pt impact flag'!$G$3:$G$1048576)),"",_xlfn.XLOOKUP(CONCATENATE(A159,"_",AV159),'Reference-Proof pt impact flag'!$I$3:$I$1048576,'Reference-Proof pt impact flag'!$G$3:$G$1048576))</f>
        <v/>
      </c>
      <c r="BA159" s="74"/>
      <c r="BB159" s="74"/>
      <c r="BC159" s="74"/>
      <c r="BD159" s="74"/>
      <c r="BE159" s="74"/>
      <c r="BF159" s="74" t="e">
        <f>_xlfn.XLOOKUP(CONCATENATE(H159,"_",AV159),'Test 2 - Proof points - GPT5'!$T:$T,'Test 2 - Proof points - GPT5'!$S:$S)</f>
        <v>#N/A</v>
      </c>
      <c r="BG159" s="74" t="e">
        <f>_xlfn.XLOOKUP(CONCATENATE(H159,"_",AV159),'Test 2 -Proof points - Sonnet'!$AB:$AB,'Test 2 -Proof points - Sonnet'!$AA:$AA)</f>
        <v>#N/A</v>
      </c>
      <c r="BH159" s="74"/>
      <c r="BI159" s="74"/>
      <c r="BJ159" s="74" t="s">
        <v>1558</v>
      </c>
      <c r="BK159" s="30"/>
      <c r="BL159" s="30"/>
      <c r="BM159" s="30"/>
      <c r="BN159" s="30"/>
      <c r="BO159" s="30"/>
      <c r="BP159" s="30"/>
      <c r="BQ159" s="30"/>
      <c r="BR159" s="30"/>
      <c r="BS159" s="30"/>
      <c r="BT159" s="30"/>
      <c r="BU159" s="30"/>
      <c r="BV159" s="113"/>
    </row>
    <row r="160" spans="1:74" ht="217.5" hidden="1" x14ac:dyDescent="0.35">
      <c r="A160" s="22">
        <v>4</v>
      </c>
      <c r="B160" s="22" t="s">
        <v>1451</v>
      </c>
      <c r="C160" s="22" t="s">
        <v>1452</v>
      </c>
      <c r="D160" s="22" t="s">
        <v>1224</v>
      </c>
      <c r="E160" s="22" t="s">
        <v>1453</v>
      </c>
      <c r="F160" s="22"/>
      <c r="G160" s="22" t="s">
        <v>1274</v>
      </c>
      <c r="H160" s="21" t="s">
        <v>1285</v>
      </c>
      <c r="I160" s="101"/>
      <c r="J160" s="21" t="s">
        <v>1311</v>
      </c>
      <c r="K160" s="30"/>
      <c r="L160" s="35" t="s">
        <v>1290</v>
      </c>
      <c r="M160" s="35" t="str">
        <f>VLOOKUP(H160,'1_Value &amp; risk levers'!$H$9:$O$1048576,2,FALSE)</f>
        <v>Single sourced / reliance on a single supplier forspecialty products</v>
      </c>
      <c r="N160" s="35" t="str">
        <f>VLOOKUP(H160,'1_Value &amp; risk levers'!$H$9:$O$1048576,3,FALSE)</f>
        <v>Largely monopolistic for most specialty products e.g., a pool of 2-3 qualified / approved suppliers to choose from</v>
      </c>
      <c r="O160" s="35" t="str">
        <f>VLOOKUP(H160,'1_Value &amp; risk levers'!$H$9:$O$1048576,4,FALSE)</f>
        <v>Multiple qualified suppliers / preferred supplier list for majoe specialty products</v>
      </c>
      <c r="P160" s="35" t="str">
        <f>VLOOKUP(H160,'1_Value &amp; risk levers'!$H$9:$O$1048576,5,FALSE)</f>
        <v>Diversified sourcing options maintained for all specialties</v>
      </c>
      <c r="Q160" s="77">
        <f>IF(VLOOKUP(H160,'1_Value &amp; risk levers'!$H$9:$T$1048576,13,FALSE)=0,"",VLOOKUP(H160,'1_Value &amp; risk levers'!$H$9:$T$1048576,13,FALSE))</f>
        <v>2</v>
      </c>
      <c r="R160" s="128">
        <f t="shared" si="44"/>
        <v>2</v>
      </c>
      <c r="S160" s="128" t="e">
        <f t="shared" si="45"/>
        <v>#DIV/0!</v>
      </c>
      <c r="T160" s="77"/>
      <c r="U160" s="77"/>
      <c r="V160" s="55"/>
      <c r="W160" s="71">
        <v>0.04</v>
      </c>
      <c r="X160" s="71">
        <v>0.1</v>
      </c>
      <c r="Y160" s="71">
        <f>VLOOKUP(H160,'1_Value &amp; risk levers'!$H$9:$O$1048576,8,FALSE)</f>
        <v>0.8</v>
      </c>
      <c r="Z160" s="51">
        <f t="shared" si="46"/>
        <v>7.0000000000000007E-2</v>
      </c>
      <c r="AA160" s="51">
        <f t="shared" si="48"/>
        <v>8.5000000000000006E-2</v>
      </c>
      <c r="AB160" s="55">
        <f t="shared" si="49"/>
        <v>2800000.0000000005</v>
      </c>
      <c r="AC160" s="55">
        <f t="shared" si="50"/>
        <v>3400000.0000000005</v>
      </c>
      <c r="AD160" s="80">
        <f t="shared" si="51"/>
        <v>7</v>
      </c>
      <c r="AE160" s="84">
        <f t="shared" si="52"/>
        <v>0.48864540816326468</v>
      </c>
      <c r="AF160" s="71" t="str">
        <f t="shared" si="53"/>
        <v>Low</v>
      </c>
      <c r="AG160" s="84">
        <f t="shared" si="54"/>
        <v>5.9772908163265304E-2</v>
      </c>
      <c r="AH160" s="84">
        <f t="shared" si="55"/>
        <v>9.5227091836734709E-2</v>
      </c>
      <c r="AI160" s="73">
        <f t="shared" si="56"/>
        <v>2390916.3265306121</v>
      </c>
      <c r="AJ160" s="73">
        <f t="shared" si="57"/>
        <v>3809083.6734693884</v>
      </c>
      <c r="AK160" s="46">
        <f>VLOOKUP(H160,'1_Value &amp; risk levers'!$H$9:$O$1048576,6,FALSE)</f>
        <v>0.02</v>
      </c>
      <c r="AL160" s="46">
        <f>VLOOKUP(H160,'1_Value &amp; risk levers'!$H$9:$O$1048576,7,FALSE)</f>
        <v>0.05</v>
      </c>
      <c r="AM160" s="50">
        <f t="shared" si="58"/>
        <v>3.5000000000000003E-2</v>
      </c>
      <c r="AN160" s="72">
        <f t="shared" si="59"/>
        <v>0.16279069767441862</v>
      </c>
      <c r="AO160" s="84">
        <f t="shared" si="60"/>
        <v>9.73047342192691E-3</v>
      </c>
      <c r="AP160" s="84">
        <f t="shared" si="61"/>
        <v>1.5502084717607978E-2</v>
      </c>
      <c r="AQ160" s="55">
        <f t="shared" si="62"/>
        <v>455813.95348837221</v>
      </c>
      <c r="AR160" s="55">
        <f t="shared" si="63"/>
        <v>553488.37209302338</v>
      </c>
      <c r="AS160" s="83">
        <f t="shared" si="47"/>
        <v>41</v>
      </c>
      <c r="AT160" s="50">
        <f t="shared" si="64"/>
        <v>3.5400000000000005</v>
      </c>
      <c r="AU160" s="55" t="str">
        <f t="shared" si="65"/>
        <v>Low</v>
      </c>
      <c r="AV160" s="34" t="s">
        <v>1517</v>
      </c>
      <c r="AW160" s="111"/>
      <c r="AX160" s="30" t="s">
        <v>1493</v>
      </c>
      <c r="AY160" s="30"/>
      <c r="AZ160" s="85" t="str">
        <f>IF(ISERROR(_xlfn.XLOOKUP(CONCATENATE(A160,"_",AV160),'Reference-Proof pt impact flag'!$I$3:$I$1048576,'Reference-Proof pt impact flag'!$G$3:$G$1048576)),"",_xlfn.XLOOKUP(CONCATENATE(A160,"_",AV160),'Reference-Proof pt impact flag'!$I$3:$I$1048576,'Reference-Proof pt impact flag'!$G$3:$G$1048576))</f>
        <v/>
      </c>
      <c r="BA160" s="74"/>
      <c r="BB160" s="74"/>
      <c r="BC160" s="74"/>
      <c r="BD160" s="74"/>
      <c r="BE160" s="74"/>
      <c r="BF160" s="74" t="e">
        <f>_xlfn.XLOOKUP(CONCATENATE(H160,"_",AV160),'Test 2 - Proof points - GPT5'!$T:$T,'Test 2 - Proof points - GPT5'!$S:$S)</f>
        <v>#N/A</v>
      </c>
      <c r="BG160" s="74" t="e">
        <f>_xlfn.XLOOKUP(CONCATENATE(H160,"_",AV160),'Test 2 -Proof points - Sonnet'!$AB:$AB,'Test 2 -Proof points - Sonnet'!$AA:$AA)</f>
        <v>#N/A</v>
      </c>
      <c r="BH160" s="74"/>
      <c r="BI160" s="74"/>
      <c r="BJ160" s="74" t="s">
        <v>1558</v>
      </c>
      <c r="BK160" s="30"/>
      <c r="BL160" s="30"/>
      <c r="BM160" s="30"/>
      <c r="BN160" s="30"/>
      <c r="BO160" s="30"/>
      <c r="BP160" s="30"/>
      <c r="BQ160" s="30"/>
      <c r="BR160" s="30"/>
      <c r="BS160" s="30"/>
      <c r="BT160" s="30"/>
      <c r="BU160" s="30"/>
      <c r="BV160" s="113"/>
    </row>
    <row r="161" spans="1:74" ht="217.5" hidden="1" x14ac:dyDescent="0.35">
      <c r="A161" s="22">
        <v>4</v>
      </c>
      <c r="B161" s="22" t="s">
        <v>1451</v>
      </c>
      <c r="C161" s="22" t="s">
        <v>1452</v>
      </c>
      <c r="D161" s="22" t="s">
        <v>1224</v>
      </c>
      <c r="E161" s="22" t="s">
        <v>1453</v>
      </c>
      <c r="F161" s="22"/>
      <c r="G161" s="22" t="s">
        <v>1274</v>
      </c>
      <c r="H161" s="21" t="s">
        <v>1285</v>
      </c>
      <c r="I161" s="101"/>
      <c r="J161" s="21" t="s">
        <v>1311</v>
      </c>
      <c r="K161" s="30"/>
      <c r="L161" s="35" t="s">
        <v>1290</v>
      </c>
      <c r="M161" s="35" t="str">
        <f>VLOOKUP(H161,'1_Value &amp; risk levers'!$H$9:$O$1048576,2,FALSE)</f>
        <v>Single sourced / reliance on a single supplier forspecialty products</v>
      </c>
      <c r="N161" s="35" t="str">
        <f>VLOOKUP(H161,'1_Value &amp; risk levers'!$H$9:$O$1048576,3,FALSE)</f>
        <v>Largely monopolistic for most specialty products e.g., a pool of 2-3 qualified / approved suppliers to choose from</v>
      </c>
      <c r="O161" s="35" t="str">
        <f>VLOOKUP(H161,'1_Value &amp; risk levers'!$H$9:$O$1048576,4,FALSE)</f>
        <v>Multiple qualified suppliers / preferred supplier list for majoe specialty products</v>
      </c>
      <c r="P161" s="35" t="str">
        <f>VLOOKUP(H161,'1_Value &amp; risk levers'!$H$9:$O$1048576,5,FALSE)</f>
        <v>Diversified sourcing options maintained for all specialties</v>
      </c>
      <c r="Q161" s="77">
        <f>IF(VLOOKUP(H161,'1_Value &amp; risk levers'!$H$9:$T$1048576,13,FALSE)=0,"",VLOOKUP(H161,'1_Value &amp; risk levers'!$H$9:$T$1048576,13,FALSE))</f>
        <v>2</v>
      </c>
      <c r="R161" s="128">
        <f t="shared" si="44"/>
        <v>2</v>
      </c>
      <c r="S161" s="128" t="e">
        <f t="shared" si="45"/>
        <v>#DIV/0!</v>
      </c>
      <c r="T161" s="77"/>
      <c r="U161" s="77"/>
      <c r="V161" s="55"/>
      <c r="W161" s="71">
        <v>0.04</v>
      </c>
      <c r="X161" s="71">
        <v>0.1</v>
      </c>
      <c r="Y161" s="71">
        <f>VLOOKUP(H161,'1_Value &amp; risk levers'!$H$9:$O$1048576,8,FALSE)</f>
        <v>0.8</v>
      </c>
      <c r="Z161" s="51">
        <f t="shared" si="46"/>
        <v>7.0000000000000007E-2</v>
      </c>
      <c r="AA161" s="51">
        <f t="shared" si="48"/>
        <v>8.5000000000000006E-2</v>
      </c>
      <c r="AB161" s="55">
        <f t="shared" si="49"/>
        <v>2800000.0000000005</v>
      </c>
      <c r="AC161" s="55">
        <f t="shared" si="50"/>
        <v>3400000.0000000005</v>
      </c>
      <c r="AD161" s="80">
        <f t="shared" si="51"/>
        <v>7</v>
      </c>
      <c r="AE161" s="84">
        <f t="shared" si="52"/>
        <v>0.48864540816326468</v>
      </c>
      <c r="AF161" s="71" t="str">
        <f t="shared" si="53"/>
        <v>Low</v>
      </c>
      <c r="AG161" s="84">
        <f t="shared" si="54"/>
        <v>5.9772908163265304E-2</v>
      </c>
      <c r="AH161" s="84">
        <f t="shared" si="55"/>
        <v>9.5227091836734709E-2</v>
      </c>
      <c r="AI161" s="73">
        <f t="shared" si="56"/>
        <v>2390916.3265306121</v>
      </c>
      <c r="AJ161" s="73">
        <f t="shared" si="57"/>
        <v>3809083.6734693884</v>
      </c>
      <c r="AK161" s="46">
        <f>VLOOKUP(H161,'1_Value &amp; risk levers'!$H$9:$O$1048576,6,FALSE)</f>
        <v>0.02</v>
      </c>
      <c r="AL161" s="46">
        <f>VLOOKUP(H161,'1_Value &amp; risk levers'!$H$9:$O$1048576,7,FALSE)</f>
        <v>0.05</v>
      </c>
      <c r="AM161" s="50">
        <f t="shared" si="58"/>
        <v>3.5000000000000003E-2</v>
      </c>
      <c r="AN161" s="72">
        <f t="shared" si="59"/>
        <v>0.16279069767441862</v>
      </c>
      <c r="AO161" s="84">
        <f t="shared" si="60"/>
        <v>9.73047342192691E-3</v>
      </c>
      <c r="AP161" s="84">
        <f t="shared" si="61"/>
        <v>1.5502084717607978E-2</v>
      </c>
      <c r="AQ161" s="55">
        <f t="shared" si="62"/>
        <v>455813.95348837221</v>
      </c>
      <c r="AR161" s="55">
        <f t="shared" si="63"/>
        <v>553488.37209302338</v>
      </c>
      <c r="AS161" s="83">
        <f t="shared" si="47"/>
        <v>41</v>
      </c>
      <c r="AT161" s="50">
        <f t="shared" si="64"/>
        <v>3.5400000000000005</v>
      </c>
      <c r="AU161" s="55" t="str">
        <f t="shared" si="65"/>
        <v>Low</v>
      </c>
      <c r="AV161" s="34" t="s">
        <v>1524</v>
      </c>
      <c r="AW161" s="111"/>
      <c r="AX161" s="30" t="s">
        <v>1493</v>
      </c>
      <c r="AY161" s="30" t="s">
        <v>1570</v>
      </c>
      <c r="AZ161" s="85" t="str">
        <f>IF(ISERROR(_xlfn.XLOOKUP(CONCATENATE(A161,"_",AV161),'Reference-Proof pt impact flag'!$I$3:$I$1048576,'Reference-Proof pt impact flag'!$G$3:$G$1048576)),"",_xlfn.XLOOKUP(CONCATENATE(A161,"_",AV161),'Reference-Proof pt impact flag'!$I$3:$I$1048576,'Reference-Proof pt impact flag'!$G$3:$G$1048576))</f>
        <v>Low</v>
      </c>
      <c r="BA161" s="27" t="s">
        <v>1458</v>
      </c>
      <c r="BB161" s="27"/>
      <c r="BC161" s="74"/>
      <c r="BD161" s="74"/>
      <c r="BE161" s="74"/>
      <c r="BF161" s="74" t="str">
        <f>_xlfn.XLOOKUP(CONCATENATE(H161,"_",AV161),'Test 2 - Proof points - GPT5'!$T:$T,'Test 2 - Proof points - GPT5'!$S:$S)</f>
        <v>Approach: Enrich vendor master with financial health, sanctions, ESG, and delivery performance scores; apply dual-trigger risk limits by spend and criticality. Actions: offboard any vendor below threshold; substitute with pre-qualified alternates; put CapEx-dependent suppliers under quarterly monitoring.</v>
      </c>
      <c r="BG161" s="74" t="e">
        <f>_xlfn.XLOOKUP(CONCATENATE(H161,"_",AV161),'Test 2 -Proof points - Sonnet'!$AB:$AB,'Test 2 -Proof points - Sonnet'!$AA:$AA)</f>
        <v>#N/A</v>
      </c>
      <c r="BH161" s="74" t="s">
        <v>1560</v>
      </c>
      <c r="BI161" s="74"/>
      <c r="BJ161" s="74" t="s">
        <v>1558</v>
      </c>
      <c r="BK161" s="30"/>
      <c r="BL161" s="30"/>
      <c r="BM161" s="30"/>
      <c r="BN161" s="30"/>
      <c r="BO161" s="30"/>
      <c r="BP161" s="30"/>
      <c r="BQ161" s="30"/>
      <c r="BR161" s="30"/>
      <c r="BS161" s="30"/>
      <c r="BT161" s="30"/>
      <c r="BU161" s="30"/>
      <c r="BV161" s="113" t="s">
        <v>132</v>
      </c>
    </row>
    <row r="162" spans="1:74" ht="217.5" hidden="1" x14ac:dyDescent="0.35">
      <c r="A162" s="22">
        <v>4</v>
      </c>
      <c r="B162" s="22" t="s">
        <v>1451</v>
      </c>
      <c r="C162" s="22" t="s">
        <v>1452</v>
      </c>
      <c r="D162" s="22" t="s">
        <v>1224</v>
      </c>
      <c r="E162" s="22" t="s">
        <v>1453</v>
      </c>
      <c r="F162" s="22"/>
      <c r="G162" s="22" t="s">
        <v>1274</v>
      </c>
      <c r="H162" s="21" t="s">
        <v>1285</v>
      </c>
      <c r="I162" s="101"/>
      <c r="J162" s="21" t="s">
        <v>1311</v>
      </c>
      <c r="K162" s="30"/>
      <c r="L162" s="35" t="s">
        <v>1290</v>
      </c>
      <c r="M162" s="35" t="str">
        <f>VLOOKUP(H162,'1_Value &amp; risk levers'!$H$9:$O$1048576,2,FALSE)</f>
        <v>Single sourced / reliance on a single supplier forspecialty products</v>
      </c>
      <c r="N162" s="35" t="str">
        <f>VLOOKUP(H162,'1_Value &amp; risk levers'!$H$9:$O$1048576,3,FALSE)</f>
        <v>Largely monopolistic for most specialty products e.g., a pool of 2-3 qualified / approved suppliers to choose from</v>
      </c>
      <c r="O162" s="35" t="str">
        <f>VLOOKUP(H162,'1_Value &amp; risk levers'!$H$9:$O$1048576,4,FALSE)</f>
        <v>Multiple qualified suppliers / preferred supplier list for majoe specialty products</v>
      </c>
      <c r="P162" s="35" t="str">
        <f>VLOOKUP(H162,'1_Value &amp; risk levers'!$H$9:$O$1048576,5,FALSE)</f>
        <v>Diversified sourcing options maintained for all specialties</v>
      </c>
      <c r="Q162" s="77">
        <f>IF(VLOOKUP(H162,'1_Value &amp; risk levers'!$H$9:$T$1048576,13,FALSE)=0,"",VLOOKUP(H162,'1_Value &amp; risk levers'!$H$9:$T$1048576,13,FALSE))</f>
        <v>2</v>
      </c>
      <c r="R162" s="128">
        <f t="shared" si="44"/>
        <v>2</v>
      </c>
      <c r="S162" s="128" t="e">
        <f t="shared" si="45"/>
        <v>#DIV/0!</v>
      </c>
      <c r="T162" s="77"/>
      <c r="U162" s="77"/>
      <c r="V162" s="55"/>
      <c r="W162" s="71">
        <v>0.04</v>
      </c>
      <c r="X162" s="71">
        <v>0.1</v>
      </c>
      <c r="Y162" s="71">
        <f>VLOOKUP(H162,'1_Value &amp; risk levers'!$H$9:$O$1048576,8,FALSE)</f>
        <v>0.8</v>
      </c>
      <c r="Z162" s="51">
        <f t="shared" si="46"/>
        <v>7.0000000000000007E-2</v>
      </c>
      <c r="AA162" s="51">
        <f t="shared" si="48"/>
        <v>8.5000000000000006E-2</v>
      </c>
      <c r="AB162" s="55">
        <f t="shared" si="49"/>
        <v>2800000.0000000005</v>
      </c>
      <c r="AC162" s="55">
        <f t="shared" si="50"/>
        <v>3400000.0000000005</v>
      </c>
      <c r="AD162" s="80">
        <f t="shared" si="51"/>
        <v>7</v>
      </c>
      <c r="AE162" s="84">
        <f t="shared" si="52"/>
        <v>0.48864540816326468</v>
      </c>
      <c r="AF162" s="71" t="str">
        <f t="shared" si="53"/>
        <v>Low</v>
      </c>
      <c r="AG162" s="84">
        <f t="shared" si="54"/>
        <v>5.9772908163265304E-2</v>
      </c>
      <c r="AH162" s="84">
        <f t="shared" si="55"/>
        <v>9.5227091836734709E-2</v>
      </c>
      <c r="AI162" s="73">
        <f t="shared" si="56"/>
        <v>2390916.3265306121</v>
      </c>
      <c r="AJ162" s="73">
        <f t="shared" si="57"/>
        <v>3809083.6734693884</v>
      </c>
      <c r="AK162" s="46">
        <f>VLOOKUP(H162,'1_Value &amp; risk levers'!$H$9:$O$1048576,6,FALSE)</f>
        <v>0.02</v>
      </c>
      <c r="AL162" s="46">
        <f>VLOOKUP(H162,'1_Value &amp; risk levers'!$H$9:$O$1048576,7,FALSE)</f>
        <v>0.05</v>
      </c>
      <c r="AM162" s="50">
        <f t="shared" si="58"/>
        <v>3.5000000000000003E-2</v>
      </c>
      <c r="AN162" s="72">
        <f t="shared" si="59"/>
        <v>0.16279069767441862</v>
      </c>
      <c r="AO162" s="84">
        <f t="shared" si="60"/>
        <v>9.73047342192691E-3</v>
      </c>
      <c r="AP162" s="84">
        <f t="shared" si="61"/>
        <v>1.5502084717607978E-2</v>
      </c>
      <c r="AQ162" s="55">
        <f t="shared" si="62"/>
        <v>455813.95348837221</v>
      </c>
      <c r="AR162" s="55">
        <f t="shared" si="63"/>
        <v>553488.37209302338</v>
      </c>
      <c r="AS162" s="83">
        <f t="shared" si="47"/>
        <v>41</v>
      </c>
      <c r="AT162" s="50">
        <f t="shared" si="64"/>
        <v>3.5400000000000005</v>
      </c>
      <c r="AU162" s="55" t="str">
        <f t="shared" si="65"/>
        <v>Low</v>
      </c>
      <c r="AV162" s="34" t="s">
        <v>1528</v>
      </c>
      <c r="AW162" s="111"/>
      <c r="AX162" s="30" t="s">
        <v>1493</v>
      </c>
      <c r="AY162" s="30"/>
      <c r="AZ162" s="85" t="str">
        <f>IF(ISERROR(_xlfn.XLOOKUP(CONCATENATE(A162,"_",AV162),'Reference-Proof pt impact flag'!$I$3:$I$1048576,'Reference-Proof pt impact flag'!$G$3:$G$1048576)),"",_xlfn.XLOOKUP(CONCATENATE(A162,"_",AV162),'Reference-Proof pt impact flag'!$I$3:$I$1048576,'Reference-Proof pt impact flag'!$G$3:$G$1048576))</f>
        <v/>
      </c>
      <c r="BA162" s="74"/>
      <c r="BB162" s="74"/>
      <c r="BC162" s="74"/>
      <c r="BD162" s="74"/>
      <c r="BE162" s="74"/>
      <c r="BF162" s="74" t="e">
        <f>_xlfn.XLOOKUP(CONCATENATE(H162,"_",AV162),'Test 2 - Proof points - GPT5'!$T:$T,'Test 2 - Proof points - GPT5'!$S:$S)</f>
        <v>#N/A</v>
      </c>
      <c r="BG162" s="74" t="e">
        <f>_xlfn.XLOOKUP(CONCATENATE(H162,"_",AV162),'Test 2 -Proof points - Sonnet'!$AB:$AB,'Test 2 -Proof points - Sonnet'!$AA:$AA)</f>
        <v>#N/A</v>
      </c>
      <c r="BH162" s="74"/>
      <c r="BI162" s="74"/>
      <c r="BJ162" s="74" t="s">
        <v>1558</v>
      </c>
      <c r="BK162" s="30"/>
      <c r="BL162" s="30"/>
      <c r="BM162" s="30"/>
      <c r="BN162" s="30"/>
      <c r="BO162" s="30"/>
      <c r="BP162" s="30"/>
      <c r="BQ162" s="30"/>
      <c r="BR162" s="30"/>
      <c r="BS162" s="30"/>
      <c r="BT162" s="30"/>
      <c r="BU162" s="30"/>
      <c r="BV162" s="113"/>
    </row>
    <row r="163" spans="1:74" ht="217.5" hidden="1" x14ac:dyDescent="0.35">
      <c r="A163" s="22">
        <v>4</v>
      </c>
      <c r="B163" s="22" t="s">
        <v>1451</v>
      </c>
      <c r="C163" s="22" t="s">
        <v>1452</v>
      </c>
      <c r="D163" s="22" t="s">
        <v>1224</v>
      </c>
      <c r="E163" s="22" t="s">
        <v>1453</v>
      </c>
      <c r="F163" s="22"/>
      <c r="G163" s="22" t="s">
        <v>1274</v>
      </c>
      <c r="H163" s="21" t="s">
        <v>1285</v>
      </c>
      <c r="I163" s="101"/>
      <c r="J163" s="21" t="s">
        <v>1311</v>
      </c>
      <c r="K163" s="30"/>
      <c r="L163" s="35" t="s">
        <v>1290</v>
      </c>
      <c r="M163" s="35" t="str">
        <f>VLOOKUP(H163,'1_Value &amp; risk levers'!$H$9:$O$1048576,2,FALSE)</f>
        <v>Single sourced / reliance on a single supplier forspecialty products</v>
      </c>
      <c r="N163" s="35" t="str">
        <f>VLOOKUP(H163,'1_Value &amp; risk levers'!$H$9:$O$1048576,3,FALSE)</f>
        <v>Largely monopolistic for most specialty products e.g., a pool of 2-3 qualified / approved suppliers to choose from</v>
      </c>
      <c r="O163" s="35" t="str">
        <f>VLOOKUP(H163,'1_Value &amp; risk levers'!$H$9:$O$1048576,4,FALSE)</f>
        <v>Multiple qualified suppliers / preferred supplier list for majoe specialty products</v>
      </c>
      <c r="P163" s="35" t="str">
        <f>VLOOKUP(H163,'1_Value &amp; risk levers'!$H$9:$O$1048576,5,FALSE)</f>
        <v>Diversified sourcing options maintained for all specialties</v>
      </c>
      <c r="Q163" s="77">
        <f>IF(VLOOKUP(H163,'1_Value &amp; risk levers'!$H$9:$T$1048576,13,FALSE)=0,"",VLOOKUP(H163,'1_Value &amp; risk levers'!$H$9:$T$1048576,13,FALSE))</f>
        <v>2</v>
      </c>
      <c r="R163" s="128">
        <f t="shared" si="44"/>
        <v>2</v>
      </c>
      <c r="S163" s="128" t="e">
        <f t="shared" si="45"/>
        <v>#DIV/0!</v>
      </c>
      <c r="T163" s="77"/>
      <c r="U163" s="77"/>
      <c r="V163" s="55"/>
      <c r="W163" s="71">
        <v>0.04</v>
      </c>
      <c r="X163" s="71">
        <v>0.1</v>
      </c>
      <c r="Y163" s="71">
        <f>VLOOKUP(H163,'1_Value &amp; risk levers'!$H$9:$O$1048576,8,FALSE)</f>
        <v>0.8</v>
      </c>
      <c r="Z163" s="51">
        <f t="shared" si="46"/>
        <v>7.0000000000000007E-2</v>
      </c>
      <c r="AA163" s="51">
        <f t="shared" si="48"/>
        <v>8.5000000000000006E-2</v>
      </c>
      <c r="AB163" s="55">
        <f t="shared" si="49"/>
        <v>2800000.0000000005</v>
      </c>
      <c r="AC163" s="55">
        <f t="shared" si="50"/>
        <v>3400000.0000000005</v>
      </c>
      <c r="AD163" s="80">
        <f t="shared" si="51"/>
        <v>7</v>
      </c>
      <c r="AE163" s="84">
        <f t="shared" si="52"/>
        <v>0.48864540816326468</v>
      </c>
      <c r="AF163" s="71" t="str">
        <f t="shared" si="53"/>
        <v>Low</v>
      </c>
      <c r="AG163" s="84">
        <f t="shared" si="54"/>
        <v>5.9772908163265304E-2</v>
      </c>
      <c r="AH163" s="84">
        <f t="shared" si="55"/>
        <v>9.5227091836734709E-2</v>
      </c>
      <c r="AI163" s="73">
        <f t="shared" si="56"/>
        <v>2390916.3265306121</v>
      </c>
      <c r="AJ163" s="73">
        <f t="shared" si="57"/>
        <v>3809083.6734693884</v>
      </c>
      <c r="AK163" s="46">
        <f>VLOOKUP(H163,'1_Value &amp; risk levers'!$H$9:$O$1048576,6,FALSE)</f>
        <v>0.02</v>
      </c>
      <c r="AL163" s="46">
        <f>VLOOKUP(H163,'1_Value &amp; risk levers'!$H$9:$O$1048576,7,FALSE)</f>
        <v>0.05</v>
      </c>
      <c r="AM163" s="50">
        <f t="shared" si="58"/>
        <v>3.5000000000000003E-2</v>
      </c>
      <c r="AN163" s="72">
        <f t="shared" si="59"/>
        <v>0.16279069767441862</v>
      </c>
      <c r="AO163" s="84">
        <f t="shared" si="60"/>
        <v>9.73047342192691E-3</v>
      </c>
      <c r="AP163" s="84">
        <f t="shared" si="61"/>
        <v>1.5502084717607978E-2</v>
      </c>
      <c r="AQ163" s="55">
        <f t="shared" si="62"/>
        <v>455813.95348837221</v>
      </c>
      <c r="AR163" s="55">
        <f t="shared" si="63"/>
        <v>553488.37209302338</v>
      </c>
      <c r="AS163" s="83">
        <f t="shared" si="47"/>
        <v>41</v>
      </c>
      <c r="AT163" s="50">
        <f t="shared" si="64"/>
        <v>3.5400000000000005</v>
      </c>
      <c r="AU163" s="55" t="str">
        <f t="shared" si="65"/>
        <v>Low</v>
      </c>
      <c r="AV163" s="34" t="s">
        <v>1529</v>
      </c>
      <c r="AW163" s="111"/>
      <c r="AX163" s="30" t="s">
        <v>1493</v>
      </c>
      <c r="AY163" s="30"/>
      <c r="AZ163" s="85" t="str">
        <f>IF(ISERROR(_xlfn.XLOOKUP(CONCATENATE(A163,"_",AV163),'Reference-Proof pt impact flag'!$I$3:$I$1048576,'Reference-Proof pt impact flag'!$G$3:$G$1048576)),"",_xlfn.XLOOKUP(CONCATENATE(A163,"_",AV163),'Reference-Proof pt impact flag'!$I$3:$I$1048576,'Reference-Proof pt impact flag'!$G$3:$G$1048576))</f>
        <v/>
      </c>
      <c r="BA163" s="74"/>
      <c r="BB163" s="74"/>
      <c r="BC163" s="74"/>
      <c r="BD163" s="74"/>
      <c r="BE163" s="74"/>
      <c r="BF163" s="74" t="e">
        <f>_xlfn.XLOOKUP(CONCATENATE(H163,"_",AV163),'Test 2 - Proof points - GPT5'!$T:$T,'Test 2 - Proof points - GPT5'!$S:$S)</f>
        <v>#N/A</v>
      </c>
      <c r="BG163" s="74" t="e">
        <f>_xlfn.XLOOKUP(CONCATENATE(H163,"_",AV163),'Test 2 -Proof points - Sonnet'!$AB:$AB,'Test 2 -Proof points - Sonnet'!$AA:$AA)</f>
        <v>#N/A</v>
      </c>
      <c r="BH163" s="74"/>
      <c r="BI163" s="74"/>
      <c r="BJ163" s="74" t="s">
        <v>1558</v>
      </c>
      <c r="BK163" s="30"/>
      <c r="BL163" s="30"/>
      <c r="BM163" s="30"/>
      <c r="BN163" s="30"/>
      <c r="BO163" s="30"/>
      <c r="BP163" s="30"/>
      <c r="BQ163" s="30"/>
      <c r="BR163" s="30"/>
      <c r="BS163" s="30"/>
      <c r="BT163" s="30"/>
      <c r="BU163" s="30"/>
      <c r="BV163" s="113"/>
    </row>
    <row r="164" spans="1:74" ht="217.5" hidden="1" x14ac:dyDescent="0.35">
      <c r="A164" s="22">
        <v>4</v>
      </c>
      <c r="B164" s="22" t="s">
        <v>1451</v>
      </c>
      <c r="C164" s="22" t="s">
        <v>1452</v>
      </c>
      <c r="D164" s="22" t="s">
        <v>1224</v>
      </c>
      <c r="E164" s="22" t="s">
        <v>1453</v>
      </c>
      <c r="F164" s="22"/>
      <c r="G164" s="22" t="s">
        <v>1274</v>
      </c>
      <c r="H164" s="21" t="s">
        <v>1285</v>
      </c>
      <c r="I164" s="101"/>
      <c r="J164" s="21" t="s">
        <v>1311</v>
      </c>
      <c r="K164" s="30"/>
      <c r="L164" s="35" t="s">
        <v>1290</v>
      </c>
      <c r="M164" s="35" t="str">
        <f>VLOOKUP(H164,'1_Value &amp; risk levers'!$H$9:$O$1048576,2,FALSE)</f>
        <v>Single sourced / reliance on a single supplier forspecialty products</v>
      </c>
      <c r="N164" s="35" t="str">
        <f>VLOOKUP(H164,'1_Value &amp; risk levers'!$H$9:$O$1048576,3,FALSE)</f>
        <v>Largely monopolistic for most specialty products e.g., a pool of 2-3 qualified / approved suppliers to choose from</v>
      </c>
      <c r="O164" s="35" t="str">
        <f>VLOOKUP(H164,'1_Value &amp; risk levers'!$H$9:$O$1048576,4,FALSE)</f>
        <v>Multiple qualified suppliers / preferred supplier list for majoe specialty products</v>
      </c>
      <c r="P164" s="35" t="str">
        <f>VLOOKUP(H164,'1_Value &amp; risk levers'!$H$9:$O$1048576,5,FALSE)</f>
        <v>Diversified sourcing options maintained for all specialties</v>
      </c>
      <c r="Q164" s="77">
        <f>IF(VLOOKUP(H164,'1_Value &amp; risk levers'!$H$9:$T$1048576,13,FALSE)=0,"",VLOOKUP(H164,'1_Value &amp; risk levers'!$H$9:$T$1048576,13,FALSE))</f>
        <v>2</v>
      </c>
      <c r="R164" s="128">
        <f t="shared" si="44"/>
        <v>2</v>
      </c>
      <c r="S164" s="128" t="e">
        <f t="shared" si="45"/>
        <v>#DIV/0!</v>
      </c>
      <c r="T164" s="77"/>
      <c r="U164" s="77"/>
      <c r="V164" s="55"/>
      <c r="W164" s="71">
        <v>0.04</v>
      </c>
      <c r="X164" s="71">
        <v>0.1</v>
      </c>
      <c r="Y164" s="71">
        <f>VLOOKUP(H164,'1_Value &amp; risk levers'!$H$9:$O$1048576,8,FALSE)</f>
        <v>0.8</v>
      </c>
      <c r="Z164" s="51">
        <f t="shared" si="46"/>
        <v>7.0000000000000007E-2</v>
      </c>
      <c r="AA164" s="51">
        <f t="shared" si="48"/>
        <v>8.5000000000000006E-2</v>
      </c>
      <c r="AB164" s="55">
        <f t="shared" si="49"/>
        <v>2800000.0000000005</v>
      </c>
      <c r="AC164" s="55">
        <f t="shared" si="50"/>
        <v>3400000.0000000005</v>
      </c>
      <c r="AD164" s="80">
        <f t="shared" si="51"/>
        <v>7</v>
      </c>
      <c r="AE164" s="84">
        <f t="shared" si="52"/>
        <v>0.48864540816326468</v>
      </c>
      <c r="AF164" s="71" t="str">
        <f t="shared" si="53"/>
        <v>Low</v>
      </c>
      <c r="AG164" s="84">
        <f t="shared" si="54"/>
        <v>5.9772908163265304E-2</v>
      </c>
      <c r="AH164" s="84">
        <f t="shared" si="55"/>
        <v>9.5227091836734709E-2</v>
      </c>
      <c r="AI164" s="73">
        <f t="shared" si="56"/>
        <v>2390916.3265306121</v>
      </c>
      <c r="AJ164" s="73">
        <f t="shared" si="57"/>
        <v>3809083.6734693884</v>
      </c>
      <c r="AK164" s="46">
        <f>VLOOKUP(H164,'1_Value &amp; risk levers'!$H$9:$O$1048576,6,FALSE)</f>
        <v>0.02</v>
      </c>
      <c r="AL164" s="46">
        <f>VLOOKUP(H164,'1_Value &amp; risk levers'!$H$9:$O$1048576,7,FALSE)</f>
        <v>0.05</v>
      </c>
      <c r="AM164" s="50">
        <f t="shared" si="58"/>
        <v>3.5000000000000003E-2</v>
      </c>
      <c r="AN164" s="72">
        <f t="shared" si="59"/>
        <v>0.16279069767441862</v>
      </c>
      <c r="AO164" s="84">
        <f t="shared" si="60"/>
        <v>9.73047342192691E-3</v>
      </c>
      <c r="AP164" s="84">
        <f t="shared" si="61"/>
        <v>1.5502084717607978E-2</v>
      </c>
      <c r="AQ164" s="55">
        <f t="shared" si="62"/>
        <v>455813.95348837221</v>
      </c>
      <c r="AR164" s="55">
        <f t="shared" si="63"/>
        <v>553488.37209302338</v>
      </c>
      <c r="AS164" s="83">
        <f t="shared" si="47"/>
        <v>41</v>
      </c>
      <c r="AT164" s="50">
        <f t="shared" si="64"/>
        <v>3.5400000000000005</v>
      </c>
      <c r="AU164" s="55" t="str">
        <f t="shared" si="65"/>
        <v>Low</v>
      </c>
      <c r="AV164" s="34" t="s">
        <v>1530</v>
      </c>
      <c r="AW164" s="111"/>
      <c r="AX164" s="30" t="s">
        <v>1493</v>
      </c>
      <c r="AY164" s="30"/>
      <c r="AZ164" s="85" t="str">
        <f>IF(ISERROR(_xlfn.XLOOKUP(CONCATENATE(A164,"_",AV164),'Reference-Proof pt impact flag'!$I$3:$I$1048576,'Reference-Proof pt impact flag'!$G$3:$G$1048576)),"",_xlfn.XLOOKUP(CONCATENATE(A164,"_",AV164),'Reference-Proof pt impact flag'!$I$3:$I$1048576,'Reference-Proof pt impact flag'!$G$3:$G$1048576))</f>
        <v/>
      </c>
      <c r="BA164" s="74"/>
      <c r="BB164" s="74"/>
      <c r="BC164" s="74"/>
      <c r="BD164" s="74"/>
      <c r="BE164" s="74"/>
      <c r="BF164" s="74" t="e">
        <f>_xlfn.XLOOKUP(CONCATENATE(H164,"_",AV164),'Test 2 - Proof points - GPT5'!$T:$T,'Test 2 - Proof points - GPT5'!$S:$S)</f>
        <v>#N/A</v>
      </c>
      <c r="BG164" s="74" t="e">
        <f>_xlfn.XLOOKUP(CONCATENATE(H164,"_",AV164),'Test 2 -Proof points - Sonnet'!$AB:$AB,'Test 2 -Proof points - Sonnet'!$AA:$AA)</f>
        <v>#N/A</v>
      </c>
      <c r="BH164" s="74"/>
      <c r="BI164" s="74"/>
      <c r="BJ164" s="74" t="s">
        <v>1558</v>
      </c>
      <c r="BK164" s="30"/>
      <c r="BL164" s="30"/>
      <c r="BM164" s="30"/>
      <c r="BN164" s="30"/>
      <c r="BO164" s="30"/>
      <c r="BP164" s="30"/>
      <c r="BQ164" s="30"/>
      <c r="BR164" s="30"/>
      <c r="BS164" s="30"/>
      <c r="BT164" s="30"/>
      <c r="BU164" s="30"/>
      <c r="BV164" s="113"/>
    </row>
    <row r="165" spans="1:74" ht="217.5" hidden="1" x14ac:dyDescent="0.35">
      <c r="A165" s="22">
        <v>4</v>
      </c>
      <c r="B165" s="22" t="s">
        <v>1451</v>
      </c>
      <c r="C165" s="22" t="s">
        <v>1452</v>
      </c>
      <c r="D165" s="22" t="s">
        <v>1224</v>
      </c>
      <c r="E165" s="22" t="s">
        <v>1453</v>
      </c>
      <c r="F165" s="22"/>
      <c r="G165" s="22" t="s">
        <v>1274</v>
      </c>
      <c r="H165" s="21" t="s">
        <v>1285</v>
      </c>
      <c r="I165" s="101"/>
      <c r="J165" s="21" t="s">
        <v>1311</v>
      </c>
      <c r="K165" s="30"/>
      <c r="L165" s="35" t="s">
        <v>1290</v>
      </c>
      <c r="M165" s="35" t="str">
        <f>VLOOKUP(H165,'1_Value &amp; risk levers'!$H$9:$O$1048576,2,FALSE)</f>
        <v>Single sourced / reliance on a single supplier forspecialty products</v>
      </c>
      <c r="N165" s="35" t="str">
        <f>VLOOKUP(H165,'1_Value &amp; risk levers'!$H$9:$O$1048576,3,FALSE)</f>
        <v>Largely monopolistic for most specialty products e.g., a pool of 2-3 qualified / approved suppliers to choose from</v>
      </c>
      <c r="O165" s="35" t="str">
        <f>VLOOKUP(H165,'1_Value &amp; risk levers'!$H$9:$O$1048576,4,FALSE)</f>
        <v>Multiple qualified suppliers / preferred supplier list for majoe specialty products</v>
      </c>
      <c r="P165" s="35" t="str">
        <f>VLOOKUP(H165,'1_Value &amp; risk levers'!$H$9:$O$1048576,5,FALSE)</f>
        <v>Diversified sourcing options maintained for all specialties</v>
      </c>
      <c r="Q165" s="77">
        <f>IF(VLOOKUP(H165,'1_Value &amp; risk levers'!$H$9:$T$1048576,13,FALSE)=0,"",VLOOKUP(H165,'1_Value &amp; risk levers'!$H$9:$T$1048576,13,FALSE))</f>
        <v>2</v>
      </c>
      <c r="R165" s="128">
        <f t="shared" si="44"/>
        <v>2</v>
      </c>
      <c r="S165" s="128" t="e">
        <f t="shared" si="45"/>
        <v>#DIV/0!</v>
      </c>
      <c r="T165" s="77"/>
      <c r="U165" s="77"/>
      <c r="V165" s="55"/>
      <c r="W165" s="71">
        <v>0.04</v>
      </c>
      <c r="X165" s="71">
        <v>0.1</v>
      </c>
      <c r="Y165" s="71">
        <f>VLOOKUP(H165,'1_Value &amp; risk levers'!$H$9:$O$1048576,8,FALSE)</f>
        <v>0.8</v>
      </c>
      <c r="Z165" s="51">
        <f t="shared" si="46"/>
        <v>7.0000000000000007E-2</v>
      </c>
      <c r="AA165" s="51">
        <f t="shared" si="48"/>
        <v>8.5000000000000006E-2</v>
      </c>
      <c r="AB165" s="55">
        <f t="shared" si="49"/>
        <v>2800000.0000000005</v>
      </c>
      <c r="AC165" s="55">
        <f t="shared" si="50"/>
        <v>3400000.0000000005</v>
      </c>
      <c r="AD165" s="80">
        <f t="shared" si="51"/>
        <v>7</v>
      </c>
      <c r="AE165" s="84">
        <f t="shared" si="52"/>
        <v>0.48864540816326468</v>
      </c>
      <c r="AF165" s="71" t="str">
        <f t="shared" si="53"/>
        <v>Low</v>
      </c>
      <c r="AG165" s="84">
        <f t="shared" si="54"/>
        <v>5.9772908163265304E-2</v>
      </c>
      <c r="AH165" s="84">
        <f t="shared" si="55"/>
        <v>9.5227091836734709E-2</v>
      </c>
      <c r="AI165" s="73">
        <f t="shared" si="56"/>
        <v>2390916.3265306121</v>
      </c>
      <c r="AJ165" s="73">
        <f t="shared" si="57"/>
        <v>3809083.6734693884</v>
      </c>
      <c r="AK165" s="46">
        <f>VLOOKUP(H165,'1_Value &amp; risk levers'!$H$9:$O$1048576,6,FALSE)</f>
        <v>0.02</v>
      </c>
      <c r="AL165" s="46">
        <f>VLOOKUP(H165,'1_Value &amp; risk levers'!$H$9:$O$1048576,7,FALSE)</f>
        <v>0.05</v>
      </c>
      <c r="AM165" s="50">
        <f t="shared" si="58"/>
        <v>3.5000000000000003E-2</v>
      </c>
      <c r="AN165" s="72">
        <f t="shared" si="59"/>
        <v>0.16279069767441862</v>
      </c>
      <c r="AO165" s="84">
        <f t="shared" si="60"/>
        <v>9.73047342192691E-3</v>
      </c>
      <c r="AP165" s="84">
        <f t="shared" si="61"/>
        <v>1.5502084717607978E-2</v>
      </c>
      <c r="AQ165" s="55">
        <f t="shared" si="62"/>
        <v>455813.95348837221</v>
      </c>
      <c r="AR165" s="55">
        <f t="shared" si="63"/>
        <v>553488.37209302338</v>
      </c>
      <c r="AS165" s="83">
        <f t="shared" si="47"/>
        <v>41</v>
      </c>
      <c r="AT165" s="50">
        <f t="shared" si="64"/>
        <v>3.5400000000000005</v>
      </c>
      <c r="AU165" s="55" t="str">
        <f t="shared" si="65"/>
        <v>Low</v>
      </c>
      <c r="AV165" s="34" t="s">
        <v>1531</v>
      </c>
      <c r="AW165" s="111"/>
      <c r="AX165" s="30" t="s">
        <v>1493</v>
      </c>
      <c r="AY165" s="30"/>
      <c r="AZ165" s="85" t="str">
        <f>IF(ISERROR(_xlfn.XLOOKUP(CONCATENATE(A165,"_",AV165),'Reference-Proof pt impact flag'!$I$3:$I$1048576,'Reference-Proof pt impact flag'!$G$3:$G$1048576)),"",_xlfn.XLOOKUP(CONCATENATE(A165,"_",AV165),'Reference-Proof pt impact flag'!$I$3:$I$1048576,'Reference-Proof pt impact flag'!$G$3:$G$1048576))</f>
        <v/>
      </c>
      <c r="BA165" s="74"/>
      <c r="BB165" s="74"/>
      <c r="BC165" s="74"/>
      <c r="BD165" s="74"/>
      <c r="BE165" s="74"/>
      <c r="BF165" s="74" t="e">
        <f>_xlfn.XLOOKUP(CONCATENATE(H165,"_",AV165),'Test 2 - Proof points - GPT5'!$T:$T,'Test 2 - Proof points - GPT5'!$S:$S)</f>
        <v>#N/A</v>
      </c>
      <c r="BG165" s="74" t="e">
        <f>_xlfn.XLOOKUP(CONCATENATE(H165,"_",AV165),'Test 2 -Proof points - Sonnet'!$AB:$AB,'Test 2 -Proof points - Sonnet'!$AA:$AA)</f>
        <v>#N/A</v>
      </c>
      <c r="BH165" s="74"/>
      <c r="BI165" s="74"/>
      <c r="BJ165" s="74" t="s">
        <v>1558</v>
      </c>
      <c r="BK165" s="30"/>
      <c r="BL165" s="30"/>
      <c r="BM165" s="30"/>
      <c r="BN165" s="30"/>
      <c r="BO165" s="30"/>
      <c r="BP165" s="30"/>
      <c r="BQ165" s="30"/>
      <c r="BR165" s="30"/>
      <c r="BS165" s="30"/>
      <c r="BT165" s="30"/>
      <c r="BU165" s="30"/>
      <c r="BV165" s="113"/>
    </row>
    <row r="166" spans="1:74" ht="217.5" hidden="1" x14ac:dyDescent="0.35">
      <c r="A166" s="22">
        <v>4</v>
      </c>
      <c r="B166" s="22" t="s">
        <v>1451</v>
      </c>
      <c r="C166" s="22" t="s">
        <v>1452</v>
      </c>
      <c r="D166" s="22" t="s">
        <v>1224</v>
      </c>
      <c r="E166" s="22" t="s">
        <v>1453</v>
      </c>
      <c r="F166" s="22"/>
      <c r="G166" s="22" t="s">
        <v>1274</v>
      </c>
      <c r="H166" s="21" t="s">
        <v>1285</v>
      </c>
      <c r="I166" s="101"/>
      <c r="J166" s="21" t="s">
        <v>1311</v>
      </c>
      <c r="K166" s="30"/>
      <c r="L166" s="35" t="s">
        <v>1290</v>
      </c>
      <c r="M166" s="35" t="str">
        <f>VLOOKUP(H166,'1_Value &amp; risk levers'!$H$9:$O$1048576,2,FALSE)</f>
        <v>Single sourced / reliance on a single supplier forspecialty products</v>
      </c>
      <c r="N166" s="35" t="str">
        <f>VLOOKUP(H166,'1_Value &amp; risk levers'!$H$9:$O$1048576,3,FALSE)</f>
        <v>Largely monopolistic for most specialty products e.g., a pool of 2-3 qualified / approved suppliers to choose from</v>
      </c>
      <c r="O166" s="35" t="str">
        <f>VLOOKUP(H166,'1_Value &amp; risk levers'!$H$9:$O$1048576,4,FALSE)</f>
        <v>Multiple qualified suppliers / preferred supplier list for majoe specialty products</v>
      </c>
      <c r="P166" s="35" t="str">
        <f>VLOOKUP(H166,'1_Value &amp; risk levers'!$H$9:$O$1048576,5,FALSE)</f>
        <v>Diversified sourcing options maintained for all specialties</v>
      </c>
      <c r="Q166" s="77">
        <f>IF(VLOOKUP(H166,'1_Value &amp; risk levers'!$H$9:$T$1048576,13,FALSE)=0,"",VLOOKUP(H166,'1_Value &amp; risk levers'!$H$9:$T$1048576,13,FALSE))</f>
        <v>2</v>
      </c>
      <c r="R166" s="128">
        <f t="shared" si="44"/>
        <v>2</v>
      </c>
      <c r="S166" s="128" t="e">
        <f t="shared" si="45"/>
        <v>#DIV/0!</v>
      </c>
      <c r="T166" s="77"/>
      <c r="U166" s="77"/>
      <c r="V166" s="55"/>
      <c r="W166" s="71">
        <v>0.04</v>
      </c>
      <c r="X166" s="71">
        <v>0.1</v>
      </c>
      <c r="Y166" s="71">
        <f>VLOOKUP(H166,'1_Value &amp; risk levers'!$H$9:$O$1048576,8,FALSE)</f>
        <v>0.8</v>
      </c>
      <c r="Z166" s="51">
        <f t="shared" si="46"/>
        <v>7.0000000000000007E-2</v>
      </c>
      <c r="AA166" s="51">
        <f t="shared" si="48"/>
        <v>8.5000000000000006E-2</v>
      </c>
      <c r="AB166" s="55">
        <f t="shared" si="49"/>
        <v>2800000.0000000005</v>
      </c>
      <c r="AC166" s="55">
        <f t="shared" si="50"/>
        <v>3400000.0000000005</v>
      </c>
      <c r="AD166" s="80">
        <f t="shared" si="51"/>
        <v>7</v>
      </c>
      <c r="AE166" s="84">
        <f t="shared" si="52"/>
        <v>0.48864540816326468</v>
      </c>
      <c r="AF166" s="71" t="str">
        <f t="shared" si="53"/>
        <v>Low</v>
      </c>
      <c r="AG166" s="84">
        <f t="shared" si="54"/>
        <v>5.9772908163265304E-2</v>
      </c>
      <c r="AH166" s="84">
        <f t="shared" si="55"/>
        <v>9.5227091836734709E-2</v>
      </c>
      <c r="AI166" s="73">
        <f t="shared" si="56"/>
        <v>2390916.3265306121</v>
      </c>
      <c r="AJ166" s="73">
        <f t="shared" si="57"/>
        <v>3809083.6734693884</v>
      </c>
      <c r="AK166" s="46">
        <f>VLOOKUP(H166,'1_Value &amp; risk levers'!$H$9:$O$1048576,6,FALSE)</f>
        <v>0.02</v>
      </c>
      <c r="AL166" s="46">
        <f>VLOOKUP(H166,'1_Value &amp; risk levers'!$H$9:$O$1048576,7,FALSE)</f>
        <v>0.05</v>
      </c>
      <c r="AM166" s="50">
        <f t="shared" si="58"/>
        <v>3.5000000000000003E-2</v>
      </c>
      <c r="AN166" s="72">
        <f t="shared" si="59"/>
        <v>0.16279069767441862</v>
      </c>
      <c r="AO166" s="84">
        <f t="shared" si="60"/>
        <v>9.73047342192691E-3</v>
      </c>
      <c r="AP166" s="84">
        <f t="shared" si="61"/>
        <v>1.5502084717607978E-2</v>
      </c>
      <c r="AQ166" s="55">
        <f t="shared" si="62"/>
        <v>455813.95348837221</v>
      </c>
      <c r="AR166" s="55">
        <f t="shared" si="63"/>
        <v>553488.37209302338</v>
      </c>
      <c r="AS166" s="83">
        <f t="shared" si="47"/>
        <v>41</v>
      </c>
      <c r="AT166" s="50">
        <f t="shared" si="64"/>
        <v>3.5400000000000005</v>
      </c>
      <c r="AU166" s="55" t="str">
        <f t="shared" si="65"/>
        <v>Low</v>
      </c>
      <c r="AV166" s="34" t="s">
        <v>1532</v>
      </c>
      <c r="AW166" s="111"/>
      <c r="AX166" s="30" t="s">
        <v>1493</v>
      </c>
      <c r="AY166" s="30"/>
      <c r="AZ166" s="85" t="str">
        <f>IF(ISERROR(_xlfn.XLOOKUP(CONCATENATE(A166,"_",AV166),'Reference-Proof pt impact flag'!$I$3:$I$1048576,'Reference-Proof pt impact flag'!$G$3:$G$1048576)),"",_xlfn.XLOOKUP(CONCATENATE(A166,"_",AV166),'Reference-Proof pt impact flag'!$I$3:$I$1048576,'Reference-Proof pt impact flag'!$G$3:$G$1048576))</f>
        <v/>
      </c>
      <c r="BA166" s="74"/>
      <c r="BB166" s="74"/>
      <c r="BC166" s="74"/>
      <c r="BD166" s="74"/>
      <c r="BE166" s="74"/>
      <c r="BF166" s="74" t="e">
        <f>_xlfn.XLOOKUP(CONCATENATE(H166,"_",AV166),'Test 2 - Proof points - GPT5'!$T:$T,'Test 2 - Proof points - GPT5'!$S:$S)</f>
        <v>#N/A</v>
      </c>
      <c r="BG166" s="74" t="e">
        <f>_xlfn.XLOOKUP(CONCATENATE(H166,"_",AV166),'Test 2 -Proof points - Sonnet'!$AB:$AB,'Test 2 -Proof points - Sonnet'!$AA:$AA)</f>
        <v>#N/A</v>
      </c>
      <c r="BH166" s="74"/>
      <c r="BI166" s="74"/>
      <c r="BJ166" s="74" t="s">
        <v>1558</v>
      </c>
      <c r="BK166" s="30"/>
      <c r="BL166" s="30"/>
      <c r="BM166" s="30"/>
      <c r="BN166" s="30"/>
      <c r="BO166" s="30"/>
      <c r="BP166" s="30"/>
      <c r="BQ166" s="30"/>
      <c r="BR166" s="30"/>
      <c r="BS166" s="30"/>
      <c r="BT166" s="30"/>
      <c r="BU166" s="30"/>
      <c r="BV166" s="113"/>
    </row>
    <row r="167" spans="1:74" ht="246.5" x14ac:dyDescent="0.35">
      <c r="A167" s="22">
        <v>5</v>
      </c>
      <c r="B167" s="22" t="s">
        <v>1451</v>
      </c>
      <c r="C167" s="22" t="s">
        <v>1452</v>
      </c>
      <c r="D167" s="22" t="s">
        <v>1224</v>
      </c>
      <c r="E167" s="22" t="s">
        <v>1453</v>
      </c>
      <c r="F167" s="22"/>
      <c r="G167" s="22" t="s">
        <v>1274</v>
      </c>
      <c r="H167" s="21" t="s">
        <v>1281</v>
      </c>
      <c r="I167" s="22"/>
      <c r="J167" s="21" t="s">
        <v>1326</v>
      </c>
      <c r="K167" s="30"/>
      <c r="L167" s="30" t="s">
        <v>1239</v>
      </c>
      <c r="M167" s="35" t="s">
        <v>2298</v>
      </c>
      <c r="N167" s="35" t="str">
        <f>VLOOKUP(H167,'1_Value &amp; risk levers'!$H$9:$O$1048576,3,FALSE)</f>
        <v>Initial stages of exploration, requires more work</v>
      </c>
      <c r="O167" s="35" t="str">
        <f>VLOOKUP(H167,'1_Value &amp; risk levers'!$H$9:$O$1048576,4,FALSE)</f>
        <v>Ad-hoc but frequent rationalization initiatives</v>
      </c>
      <c r="P167" s="35" t="str">
        <f>VLOOKUP(H167,'1_Value &amp; risk levers'!$H$9:$O$1048576,5,FALSE)</f>
        <v>Fully optimized methodology to review cost and simplicity periodically</v>
      </c>
      <c r="Q167" s="77">
        <f>IF(VLOOKUP(H167,'1_Value &amp; risk levers'!$H$9:$T$1048576,13,FALSE)=0,"",VLOOKUP(H167,'1_Value &amp; risk levers'!$H$9:$T$1048576,13,FALSE))</f>
        <v>4</v>
      </c>
      <c r="R167" s="128">
        <f t="shared" si="44"/>
        <v>2</v>
      </c>
      <c r="S167" s="128" t="e">
        <f t="shared" si="45"/>
        <v>#DIV/0!</v>
      </c>
      <c r="T167" s="77"/>
      <c r="U167" s="77"/>
      <c r="V167" s="55"/>
      <c r="W167" s="71">
        <v>0.04</v>
      </c>
      <c r="X167" s="71">
        <v>0.1</v>
      </c>
      <c r="Y167" s="71">
        <f>VLOOKUP(H167,'1_Value &amp; risk levers'!$H$9:$O$1048576,8,FALSE)</f>
        <v>0.8</v>
      </c>
      <c r="Z167" s="51">
        <f t="shared" si="46"/>
        <v>7.0000000000000007E-2</v>
      </c>
      <c r="AA167" s="51">
        <f t="shared" si="48"/>
        <v>8.5000000000000006E-2</v>
      </c>
      <c r="AB167" s="55">
        <f t="shared" si="49"/>
        <v>2800000.0000000005</v>
      </c>
      <c r="AC167" s="55">
        <f t="shared" si="50"/>
        <v>3400000.0000000005</v>
      </c>
      <c r="AD167" s="80">
        <f t="shared" si="51"/>
        <v>7</v>
      </c>
      <c r="AE167" s="84">
        <f t="shared" si="52"/>
        <v>0.48864540816326468</v>
      </c>
      <c r="AF167" s="71" t="str">
        <f t="shared" si="53"/>
        <v>Low</v>
      </c>
      <c r="AG167" s="84">
        <f t="shared" si="54"/>
        <v>5.9772908163265304E-2</v>
      </c>
      <c r="AH167" s="84">
        <f t="shared" si="55"/>
        <v>9.5227091836734709E-2</v>
      </c>
      <c r="AI167" s="73">
        <f t="shared" si="56"/>
        <v>2390916.3265306121</v>
      </c>
      <c r="AJ167" s="73">
        <f t="shared" si="57"/>
        <v>3809083.6734693884</v>
      </c>
      <c r="AK167" s="46">
        <f>VLOOKUP(H167,'1_Value &amp; risk levers'!$H$9:$O$1048576,6,FALSE)</f>
        <v>0.02</v>
      </c>
      <c r="AL167" s="46">
        <f>VLOOKUP(H167,'1_Value &amp; risk levers'!$H$9:$O$1048576,7,FALSE)</f>
        <v>0.03</v>
      </c>
      <c r="AM167" s="50">
        <f t="shared" si="58"/>
        <v>0.02</v>
      </c>
      <c r="AN167" s="72">
        <f t="shared" si="59"/>
        <v>9.3023255813953487E-2</v>
      </c>
      <c r="AO167" s="84">
        <f t="shared" si="60"/>
        <v>5.5602705268153769E-3</v>
      </c>
      <c r="AP167" s="84">
        <f t="shared" si="61"/>
        <v>8.858334124347415E-3</v>
      </c>
      <c r="AQ167" s="55">
        <f t="shared" si="62"/>
        <v>260465.1162790698</v>
      </c>
      <c r="AR167" s="55">
        <f t="shared" si="63"/>
        <v>316279.06976744189</v>
      </c>
      <c r="AS167" s="83">
        <f t="shared" si="47"/>
        <v>41</v>
      </c>
      <c r="AT167" s="50">
        <f t="shared" si="64"/>
        <v>3.75</v>
      </c>
      <c r="AU167" s="55" t="str">
        <f t="shared" si="65"/>
        <v>Low</v>
      </c>
      <c r="AV167" s="36" t="s">
        <v>1454</v>
      </c>
      <c r="AW167" s="109" t="s">
        <v>1455</v>
      </c>
      <c r="AX167" s="37" t="s">
        <v>1456</v>
      </c>
      <c r="AY167" s="30" t="s">
        <v>1571</v>
      </c>
      <c r="AZ167" s="85" t="str">
        <f>IF(ISERROR(_xlfn.XLOOKUP(CONCATENATE(A167,"_",AV167),'Reference-Proof pt impact flag'!$I$3:$I$1048576,'Reference-Proof pt impact flag'!$G$3:$G$1048576)),"",_xlfn.XLOOKUP(CONCATENATE(A167,"_",AV167),'Reference-Proof pt impact flag'!$I$3:$I$1048576,'Reference-Proof pt impact flag'!$G$3:$G$1048576))</f>
        <v>Medium</v>
      </c>
      <c r="BA167" s="27" t="s">
        <v>1458</v>
      </c>
      <c r="BB167" s="74"/>
      <c r="BC167" s="74"/>
      <c r="BD167" s="74"/>
      <c r="BE167" s="74" t="s">
        <v>1572</v>
      </c>
      <c r="BF167" s="74" t="str">
        <f>_xlfn.XLOOKUP(CONCATENATE(H167,"_",AV167),'Test 2 - Proof points - GPT5'!$T:$T,'Test 2 - Proof points - GPT5'!$S:$S)</f>
        <v>Insights: Spend is concentrated across plants — Malaysia 81.4%, India 7.1%, Australia 7.1%, Indonesia 4.5%. Actions: Bundle cross-plant demand windows and align delivery INCOTERMS to exploit backhauls and supplier MOQ breaks.</v>
      </c>
      <c r="BG167" s="74" t="str">
        <f>_xlfn.XLOOKUP(CONCATENATE(H167,"_",AV167),'Test 2 -Proof points - Sonnet'!$AB:$AB,'Test 2 -Proof points - Sonnet'!$AA:$AA)</f>
        <v>â€¢ **Rationalize Malaysian plant specifications**: Both PH06 and SHJ2 facilities procure similar ricebran oil specifications (Material 102038) with identical quality requirements - standardize specifications across plants to enable cross-facility volume bundling.
â€¢ **Simplify oil grade variations**: Multiple similar specifications for refined vs. raw oils create complexity - assess technical requirements to identify opportunities for specification harmonization without compromising product quality.
â€¢ **Future specification standardization**: Industry evolution toward simplified, standardized specifications driven by cost optimization and supply chain efficiency requirements will favor organizations with rationalized specification portfolios, making current specification review essential for competitive procurement operations.</v>
      </c>
      <c r="BH167" s="74" t="s">
        <v>1573</v>
      </c>
      <c r="BI167" s="74"/>
      <c r="BJ167" s="74" t="s">
        <v>1574</v>
      </c>
      <c r="BK167" s="30"/>
      <c r="BL167" s="30" t="s">
        <v>132</v>
      </c>
      <c r="BM167" s="30"/>
      <c r="BN167" s="30"/>
      <c r="BO167" s="30"/>
      <c r="BP167" s="30"/>
      <c r="BQ167" s="30"/>
      <c r="BR167" s="30"/>
      <c r="BS167" s="30"/>
      <c r="BT167" s="30"/>
      <c r="BU167" s="30"/>
      <c r="BV167" s="113" t="s">
        <v>132</v>
      </c>
    </row>
    <row r="168" spans="1:74" ht="217.5" hidden="1" x14ac:dyDescent="0.35">
      <c r="A168" s="22">
        <v>5</v>
      </c>
      <c r="B168" s="22" t="s">
        <v>1451</v>
      </c>
      <c r="C168" s="22" t="s">
        <v>1452</v>
      </c>
      <c r="D168" s="22" t="s">
        <v>1224</v>
      </c>
      <c r="E168" s="22" t="s">
        <v>1453</v>
      </c>
      <c r="F168" s="22"/>
      <c r="G168" s="22" t="s">
        <v>1274</v>
      </c>
      <c r="H168" s="21" t="s">
        <v>1281</v>
      </c>
      <c r="I168" s="22"/>
      <c r="J168" s="21" t="s">
        <v>1326</v>
      </c>
      <c r="K168" s="30"/>
      <c r="L168" s="30" t="s">
        <v>1239</v>
      </c>
      <c r="M168" s="35" t="str">
        <f>VLOOKUP(H168,'1_Value &amp; risk levers'!$H$9:$O$1048576,2,FALSE)</f>
        <v>Not undertaken</v>
      </c>
      <c r="N168" s="35" t="str">
        <f>VLOOKUP(H168,'1_Value &amp; risk levers'!$H$9:$O$1048576,3,FALSE)</f>
        <v>Initial stages of exploration, requires more work</v>
      </c>
      <c r="O168" s="35" t="str">
        <f>VLOOKUP(H168,'1_Value &amp; risk levers'!$H$9:$O$1048576,4,FALSE)</f>
        <v>Ad-hoc but frequent rationalization initiatives</v>
      </c>
      <c r="P168" s="35" t="str">
        <f>VLOOKUP(H168,'1_Value &amp; risk levers'!$H$9:$O$1048576,5,FALSE)</f>
        <v>Fully optimized methodology to review cost and simplicity periodically</v>
      </c>
      <c r="Q168" s="77">
        <f>IF(VLOOKUP(H168,'1_Value &amp; risk levers'!$H$9:$T$1048576,13,FALSE)=0,"",VLOOKUP(H168,'1_Value &amp; risk levers'!$H$9:$T$1048576,13,FALSE))</f>
        <v>4</v>
      </c>
      <c r="R168" s="128">
        <f t="shared" si="44"/>
        <v>2</v>
      </c>
      <c r="S168" s="128" t="e">
        <f t="shared" si="45"/>
        <v>#DIV/0!</v>
      </c>
      <c r="T168" s="77"/>
      <c r="U168" s="77"/>
      <c r="V168" s="55"/>
      <c r="W168" s="71">
        <v>0.04</v>
      </c>
      <c r="X168" s="71">
        <v>0.1</v>
      </c>
      <c r="Y168" s="71">
        <f>VLOOKUP(H168,'1_Value &amp; risk levers'!$H$9:$O$1048576,8,FALSE)</f>
        <v>0.8</v>
      </c>
      <c r="Z168" s="51">
        <f t="shared" si="46"/>
        <v>7.0000000000000007E-2</v>
      </c>
      <c r="AA168" s="51">
        <f t="shared" si="48"/>
        <v>8.5000000000000006E-2</v>
      </c>
      <c r="AB168" s="55">
        <f t="shared" si="49"/>
        <v>2800000.0000000005</v>
      </c>
      <c r="AC168" s="55">
        <f t="shared" si="50"/>
        <v>3400000.0000000005</v>
      </c>
      <c r="AD168" s="80">
        <f t="shared" si="51"/>
        <v>7</v>
      </c>
      <c r="AE168" s="84">
        <f t="shared" si="52"/>
        <v>0.48864540816326468</v>
      </c>
      <c r="AF168" s="71" t="str">
        <f t="shared" si="53"/>
        <v>Low</v>
      </c>
      <c r="AG168" s="84">
        <f t="shared" si="54"/>
        <v>5.9772908163265304E-2</v>
      </c>
      <c r="AH168" s="84">
        <f t="shared" si="55"/>
        <v>9.5227091836734709E-2</v>
      </c>
      <c r="AI168" s="73">
        <f t="shared" si="56"/>
        <v>2390916.3265306121</v>
      </c>
      <c r="AJ168" s="73">
        <f t="shared" si="57"/>
        <v>3809083.6734693884</v>
      </c>
      <c r="AK168" s="46">
        <f>VLOOKUP(H168,'1_Value &amp; risk levers'!$H$9:$O$1048576,6,FALSE)</f>
        <v>0.02</v>
      </c>
      <c r="AL168" s="46">
        <f>VLOOKUP(H168,'1_Value &amp; risk levers'!$H$9:$O$1048576,7,FALSE)</f>
        <v>0.03</v>
      </c>
      <c r="AM168" s="50">
        <f t="shared" si="58"/>
        <v>0.02</v>
      </c>
      <c r="AN168" s="72">
        <f t="shared" si="59"/>
        <v>9.3023255813953487E-2</v>
      </c>
      <c r="AO168" s="84">
        <f t="shared" si="60"/>
        <v>5.5602705268153769E-3</v>
      </c>
      <c r="AP168" s="84">
        <f t="shared" si="61"/>
        <v>8.858334124347415E-3</v>
      </c>
      <c r="AQ168" s="55">
        <f t="shared" si="62"/>
        <v>260465.1162790698</v>
      </c>
      <c r="AR168" s="55">
        <f t="shared" si="63"/>
        <v>316279.06976744189</v>
      </c>
      <c r="AS168" s="83">
        <f t="shared" si="47"/>
        <v>41</v>
      </c>
      <c r="AT168" s="50">
        <f t="shared" si="64"/>
        <v>3.75</v>
      </c>
      <c r="AU168" s="55" t="str">
        <f t="shared" si="65"/>
        <v>Low</v>
      </c>
      <c r="AV168" s="36" t="s">
        <v>1463</v>
      </c>
      <c r="AW168" s="109" t="s">
        <v>1464</v>
      </c>
      <c r="AX168" s="37" t="s">
        <v>1456</v>
      </c>
      <c r="AY168" s="30"/>
      <c r="AZ168" s="85" t="str">
        <f>IF(ISERROR(_xlfn.XLOOKUP(CONCATENATE(A168,"_",AV168),'Reference-Proof pt impact flag'!$I$3:$I$1048576,'Reference-Proof pt impact flag'!$G$3:$G$1048576)),"",_xlfn.XLOOKUP(CONCATENATE(A168,"_",AV168),'Reference-Proof pt impact flag'!$I$3:$I$1048576,'Reference-Proof pt impact flag'!$G$3:$G$1048576))</f>
        <v/>
      </c>
      <c r="BA168" s="74"/>
      <c r="BB168" s="74"/>
      <c r="BC168" s="74"/>
      <c r="BD168" s="74"/>
      <c r="BE168" s="74"/>
      <c r="BF168" s="74" t="e">
        <f>_xlfn.XLOOKUP(CONCATENATE(H168,"_",AV168),'Test 2 - Proof points - GPT5'!$T:$T,'Test 2 - Proof points - GPT5'!$S:$S)</f>
        <v>#N/A</v>
      </c>
      <c r="BG168" s="74" t="e">
        <f>_xlfn.XLOOKUP(CONCATENATE(H168,"_",AV168),'Test 2 -Proof points - Sonnet'!$AB:$AB,'Test 2 -Proof points - Sonnet'!$AA:$AA)</f>
        <v>#N/A</v>
      </c>
      <c r="BH168" s="74"/>
      <c r="BI168" s="74"/>
      <c r="BJ168" s="74" t="s">
        <v>1574</v>
      </c>
      <c r="BK168" s="30"/>
      <c r="BL168" s="30"/>
      <c r="BM168" s="30"/>
      <c r="BN168" s="30"/>
      <c r="BO168" s="30"/>
      <c r="BP168" s="30"/>
      <c r="BQ168" s="30"/>
      <c r="BR168" s="30"/>
      <c r="BS168" s="30"/>
      <c r="BT168" s="30"/>
      <c r="BU168" s="30"/>
      <c r="BV168" s="113"/>
    </row>
    <row r="169" spans="1:74" ht="217.5" hidden="1" x14ac:dyDescent="0.35">
      <c r="A169" s="22">
        <v>5</v>
      </c>
      <c r="B169" s="22" t="s">
        <v>1451</v>
      </c>
      <c r="C169" s="22" t="s">
        <v>1452</v>
      </c>
      <c r="D169" s="22" t="s">
        <v>1224</v>
      </c>
      <c r="E169" s="22" t="s">
        <v>1453</v>
      </c>
      <c r="F169" s="22"/>
      <c r="G169" s="22" t="s">
        <v>1274</v>
      </c>
      <c r="H169" s="21" t="s">
        <v>1281</v>
      </c>
      <c r="I169" s="22"/>
      <c r="J169" s="21" t="s">
        <v>1326</v>
      </c>
      <c r="K169" s="30"/>
      <c r="L169" s="30" t="s">
        <v>1239</v>
      </c>
      <c r="M169" s="35" t="str">
        <f>VLOOKUP(H169,'1_Value &amp; risk levers'!$H$9:$O$1048576,2,FALSE)</f>
        <v>Not undertaken</v>
      </c>
      <c r="N169" s="35" t="str">
        <f>VLOOKUP(H169,'1_Value &amp; risk levers'!$H$9:$O$1048576,3,FALSE)</f>
        <v>Initial stages of exploration, requires more work</v>
      </c>
      <c r="O169" s="35" t="str">
        <f>VLOOKUP(H169,'1_Value &amp; risk levers'!$H$9:$O$1048576,4,FALSE)</f>
        <v>Ad-hoc but frequent rationalization initiatives</v>
      </c>
      <c r="P169" s="35" t="str">
        <f>VLOOKUP(H169,'1_Value &amp; risk levers'!$H$9:$O$1048576,5,FALSE)</f>
        <v>Fully optimized methodology to review cost and simplicity periodically</v>
      </c>
      <c r="Q169" s="77">
        <f>IF(VLOOKUP(H169,'1_Value &amp; risk levers'!$H$9:$T$1048576,13,FALSE)=0,"",VLOOKUP(H169,'1_Value &amp; risk levers'!$H$9:$T$1048576,13,FALSE))</f>
        <v>4</v>
      </c>
      <c r="R169" s="128">
        <f t="shared" si="44"/>
        <v>2</v>
      </c>
      <c r="S169" s="128" t="e">
        <f t="shared" si="45"/>
        <v>#DIV/0!</v>
      </c>
      <c r="T169" s="77"/>
      <c r="U169" s="77"/>
      <c r="V169" s="55"/>
      <c r="W169" s="71">
        <v>0.04</v>
      </c>
      <c r="X169" s="71">
        <v>0.1</v>
      </c>
      <c r="Y169" s="71">
        <f>VLOOKUP(H169,'1_Value &amp; risk levers'!$H$9:$O$1048576,8,FALSE)</f>
        <v>0.8</v>
      </c>
      <c r="Z169" s="51">
        <f t="shared" si="46"/>
        <v>7.0000000000000007E-2</v>
      </c>
      <c r="AA169" s="51">
        <f t="shared" si="48"/>
        <v>8.5000000000000006E-2</v>
      </c>
      <c r="AB169" s="55">
        <f t="shared" si="49"/>
        <v>2800000.0000000005</v>
      </c>
      <c r="AC169" s="55">
        <f t="shared" si="50"/>
        <v>3400000.0000000005</v>
      </c>
      <c r="AD169" s="80">
        <f t="shared" si="51"/>
        <v>7</v>
      </c>
      <c r="AE169" s="84">
        <f t="shared" si="52"/>
        <v>0.48864540816326468</v>
      </c>
      <c r="AF169" s="71" t="str">
        <f t="shared" si="53"/>
        <v>Low</v>
      </c>
      <c r="AG169" s="84">
        <f t="shared" si="54"/>
        <v>5.9772908163265304E-2</v>
      </c>
      <c r="AH169" s="84">
        <f t="shared" si="55"/>
        <v>9.5227091836734709E-2</v>
      </c>
      <c r="AI169" s="73">
        <f t="shared" si="56"/>
        <v>2390916.3265306121</v>
      </c>
      <c r="AJ169" s="73">
        <f t="shared" si="57"/>
        <v>3809083.6734693884</v>
      </c>
      <c r="AK169" s="46">
        <f>VLOOKUP(H169,'1_Value &amp; risk levers'!$H$9:$O$1048576,6,FALSE)</f>
        <v>0.02</v>
      </c>
      <c r="AL169" s="46">
        <f>VLOOKUP(H169,'1_Value &amp; risk levers'!$H$9:$O$1048576,7,FALSE)</f>
        <v>0.03</v>
      </c>
      <c r="AM169" s="50">
        <f t="shared" si="58"/>
        <v>0.02</v>
      </c>
      <c r="AN169" s="72">
        <f t="shared" si="59"/>
        <v>9.3023255813953487E-2</v>
      </c>
      <c r="AO169" s="84">
        <f t="shared" si="60"/>
        <v>5.5602705268153769E-3</v>
      </c>
      <c r="AP169" s="84">
        <f t="shared" si="61"/>
        <v>8.858334124347415E-3</v>
      </c>
      <c r="AQ169" s="55">
        <f t="shared" si="62"/>
        <v>260465.1162790698</v>
      </c>
      <c r="AR169" s="55">
        <f t="shared" si="63"/>
        <v>316279.06976744189</v>
      </c>
      <c r="AS169" s="83">
        <f t="shared" si="47"/>
        <v>41</v>
      </c>
      <c r="AT169" s="50">
        <f t="shared" si="64"/>
        <v>3.75</v>
      </c>
      <c r="AU169" s="55" t="str">
        <f t="shared" si="65"/>
        <v>Low</v>
      </c>
      <c r="AV169" s="36" t="s">
        <v>1465</v>
      </c>
      <c r="AW169" s="109" t="s">
        <v>1466</v>
      </c>
      <c r="AX169" s="37" t="s">
        <v>1456</v>
      </c>
      <c r="AY169" s="30"/>
      <c r="AZ169" s="85" t="str">
        <f>IF(ISERROR(_xlfn.XLOOKUP(CONCATENATE(A169,"_",AV169),'Reference-Proof pt impact flag'!$I$3:$I$1048576,'Reference-Proof pt impact flag'!$G$3:$G$1048576)),"",_xlfn.XLOOKUP(CONCATENATE(A169,"_",AV169),'Reference-Proof pt impact flag'!$I$3:$I$1048576,'Reference-Proof pt impact flag'!$G$3:$G$1048576))</f>
        <v/>
      </c>
      <c r="BA169" s="74"/>
      <c r="BB169" s="74"/>
      <c r="BC169" s="74"/>
      <c r="BD169" s="74"/>
      <c r="BE169" s="74"/>
      <c r="BF169" s="74" t="e">
        <f>_xlfn.XLOOKUP(CONCATENATE(H169,"_",AV169),'Test 2 - Proof points - GPT5'!$T:$T,'Test 2 - Proof points - GPT5'!$S:$S)</f>
        <v>#N/A</v>
      </c>
      <c r="BG169" s="74" t="e">
        <f>_xlfn.XLOOKUP(CONCATENATE(H169,"_",AV169),'Test 2 -Proof points - Sonnet'!$AB:$AB,'Test 2 -Proof points - Sonnet'!$AA:$AA)</f>
        <v>#N/A</v>
      </c>
      <c r="BH169" s="74"/>
      <c r="BI169" s="74"/>
      <c r="BJ169" s="74" t="s">
        <v>1574</v>
      </c>
      <c r="BK169" s="30"/>
      <c r="BL169" s="30"/>
      <c r="BM169" s="30"/>
      <c r="BN169" s="30"/>
      <c r="BO169" s="30"/>
      <c r="BP169" s="30"/>
      <c r="BQ169" s="30"/>
      <c r="BR169" s="30"/>
      <c r="BS169" s="30"/>
      <c r="BT169" s="30"/>
      <c r="BU169" s="30"/>
      <c r="BV169" s="113"/>
    </row>
    <row r="170" spans="1:74" ht="217.5" hidden="1" x14ac:dyDescent="0.35">
      <c r="A170" s="22">
        <v>5</v>
      </c>
      <c r="B170" s="22" t="s">
        <v>1451</v>
      </c>
      <c r="C170" s="22" t="s">
        <v>1452</v>
      </c>
      <c r="D170" s="22" t="s">
        <v>1224</v>
      </c>
      <c r="E170" s="22" t="s">
        <v>1453</v>
      </c>
      <c r="F170" s="22"/>
      <c r="G170" s="22" t="s">
        <v>1274</v>
      </c>
      <c r="H170" s="21" t="s">
        <v>1281</v>
      </c>
      <c r="I170" s="22"/>
      <c r="J170" s="21" t="s">
        <v>1326</v>
      </c>
      <c r="K170" s="30"/>
      <c r="L170" s="30" t="s">
        <v>1239</v>
      </c>
      <c r="M170" s="35" t="str">
        <f>VLOOKUP(H170,'1_Value &amp; risk levers'!$H$9:$O$1048576,2,FALSE)</f>
        <v>Not undertaken</v>
      </c>
      <c r="N170" s="35" t="str">
        <f>VLOOKUP(H170,'1_Value &amp; risk levers'!$H$9:$O$1048576,3,FALSE)</f>
        <v>Initial stages of exploration, requires more work</v>
      </c>
      <c r="O170" s="35" t="str">
        <f>VLOOKUP(H170,'1_Value &amp; risk levers'!$H$9:$O$1048576,4,FALSE)</f>
        <v>Ad-hoc but frequent rationalization initiatives</v>
      </c>
      <c r="P170" s="35" t="str">
        <f>VLOOKUP(H170,'1_Value &amp; risk levers'!$H$9:$O$1048576,5,FALSE)</f>
        <v>Fully optimized methodology to review cost and simplicity periodically</v>
      </c>
      <c r="Q170" s="77">
        <f>IF(VLOOKUP(H170,'1_Value &amp; risk levers'!$H$9:$T$1048576,13,FALSE)=0,"",VLOOKUP(H170,'1_Value &amp; risk levers'!$H$9:$T$1048576,13,FALSE))</f>
        <v>4</v>
      </c>
      <c r="R170" s="128">
        <f t="shared" si="44"/>
        <v>2</v>
      </c>
      <c r="S170" s="128" t="e">
        <f t="shared" si="45"/>
        <v>#DIV/0!</v>
      </c>
      <c r="T170" s="77"/>
      <c r="U170" s="77"/>
      <c r="V170" s="55"/>
      <c r="W170" s="71">
        <v>0.04</v>
      </c>
      <c r="X170" s="71">
        <v>0.1</v>
      </c>
      <c r="Y170" s="71">
        <f>VLOOKUP(H170,'1_Value &amp; risk levers'!$H$9:$O$1048576,8,FALSE)</f>
        <v>0.8</v>
      </c>
      <c r="Z170" s="51">
        <f t="shared" si="46"/>
        <v>7.0000000000000007E-2</v>
      </c>
      <c r="AA170" s="51">
        <f t="shared" si="48"/>
        <v>8.5000000000000006E-2</v>
      </c>
      <c r="AB170" s="55">
        <f t="shared" si="49"/>
        <v>2800000.0000000005</v>
      </c>
      <c r="AC170" s="55">
        <f t="shared" si="50"/>
        <v>3400000.0000000005</v>
      </c>
      <c r="AD170" s="80">
        <f t="shared" si="51"/>
        <v>7</v>
      </c>
      <c r="AE170" s="84">
        <f t="shared" si="52"/>
        <v>0.48864540816326468</v>
      </c>
      <c r="AF170" s="71" t="str">
        <f t="shared" si="53"/>
        <v>Low</v>
      </c>
      <c r="AG170" s="84">
        <f t="shared" si="54"/>
        <v>5.9772908163265304E-2</v>
      </c>
      <c r="AH170" s="84">
        <f t="shared" si="55"/>
        <v>9.5227091836734709E-2</v>
      </c>
      <c r="AI170" s="73">
        <f t="shared" si="56"/>
        <v>2390916.3265306121</v>
      </c>
      <c r="AJ170" s="73">
        <f t="shared" si="57"/>
        <v>3809083.6734693884</v>
      </c>
      <c r="AK170" s="46">
        <f>VLOOKUP(H170,'1_Value &amp; risk levers'!$H$9:$O$1048576,6,FALSE)</f>
        <v>0.02</v>
      </c>
      <c r="AL170" s="46">
        <f>VLOOKUP(H170,'1_Value &amp; risk levers'!$H$9:$O$1048576,7,FALSE)</f>
        <v>0.03</v>
      </c>
      <c r="AM170" s="50">
        <f t="shared" si="58"/>
        <v>0.02</v>
      </c>
      <c r="AN170" s="72">
        <f t="shared" si="59"/>
        <v>9.3023255813953487E-2</v>
      </c>
      <c r="AO170" s="84">
        <f t="shared" si="60"/>
        <v>5.5602705268153769E-3</v>
      </c>
      <c r="AP170" s="84">
        <f t="shared" si="61"/>
        <v>8.858334124347415E-3</v>
      </c>
      <c r="AQ170" s="55">
        <f t="shared" si="62"/>
        <v>260465.1162790698</v>
      </c>
      <c r="AR170" s="55">
        <f t="shared" si="63"/>
        <v>316279.06976744189</v>
      </c>
      <c r="AS170" s="83">
        <f t="shared" si="47"/>
        <v>41</v>
      </c>
      <c r="AT170" s="50">
        <f t="shared" si="64"/>
        <v>3.75</v>
      </c>
      <c r="AU170" s="55" t="str">
        <f t="shared" si="65"/>
        <v>Low</v>
      </c>
      <c r="AV170" s="36" t="s">
        <v>1467</v>
      </c>
      <c r="AW170" s="109" t="s">
        <v>1468</v>
      </c>
      <c r="AX170" s="37" t="s">
        <v>1456</v>
      </c>
      <c r="AY170" s="30"/>
      <c r="AZ170" s="85" t="str">
        <f>IF(ISERROR(_xlfn.XLOOKUP(CONCATENATE(A170,"_",AV170),'Reference-Proof pt impact flag'!$I$3:$I$1048576,'Reference-Proof pt impact flag'!$G$3:$G$1048576)),"",_xlfn.XLOOKUP(CONCATENATE(A170,"_",AV170),'Reference-Proof pt impact flag'!$I$3:$I$1048576,'Reference-Proof pt impact flag'!$G$3:$G$1048576))</f>
        <v/>
      </c>
      <c r="BA170" s="74"/>
      <c r="BB170" s="74"/>
      <c r="BC170" s="74"/>
      <c r="BD170" s="74"/>
      <c r="BE170" s="74"/>
      <c r="BF170" s="74" t="e">
        <f>_xlfn.XLOOKUP(CONCATENATE(H170,"_",AV170),'Test 2 - Proof points - GPT5'!$T:$T,'Test 2 - Proof points - GPT5'!$S:$S)</f>
        <v>#N/A</v>
      </c>
      <c r="BG170" s="74" t="e">
        <f>_xlfn.XLOOKUP(CONCATENATE(H170,"_",AV170),'Test 2 -Proof points - Sonnet'!$AB:$AB,'Test 2 -Proof points - Sonnet'!$AA:$AA)</f>
        <v>#N/A</v>
      </c>
      <c r="BH170" s="74"/>
      <c r="BI170" s="74"/>
      <c r="BJ170" s="74" t="s">
        <v>1574</v>
      </c>
      <c r="BK170" s="30"/>
      <c r="BL170" s="30"/>
      <c r="BM170" s="30"/>
      <c r="BN170" s="30"/>
      <c r="BO170" s="30"/>
      <c r="BP170" s="30"/>
      <c r="BQ170" s="30"/>
      <c r="BR170" s="30"/>
      <c r="BS170" s="30"/>
      <c r="BT170" s="30"/>
      <c r="BU170" s="30"/>
      <c r="BV170" s="113"/>
    </row>
    <row r="171" spans="1:74" ht="290" x14ac:dyDescent="0.35">
      <c r="A171" s="22">
        <v>5</v>
      </c>
      <c r="B171" s="22" t="s">
        <v>1451</v>
      </c>
      <c r="C171" s="22" t="s">
        <v>1452</v>
      </c>
      <c r="D171" s="22" t="s">
        <v>1224</v>
      </c>
      <c r="E171" s="22" t="s">
        <v>1453</v>
      </c>
      <c r="F171" s="22"/>
      <c r="G171" s="22" t="s">
        <v>1274</v>
      </c>
      <c r="H171" s="21" t="s">
        <v>1281</v>
      </c>
      <c r="I171" s="22"/>
      <c r="J171" s="21" t="s">
        <v>1326</v>
      </c>
      <c r="K171" s="30"/>
      <c r="L171" s="30" t="s">
        <v>1239</v>
      </c>
      <c r="M171" s="35" t="str">
        <f>VLOOKUP(H171,'1_Value &amp; risk levers'!$H$9:$O$1048576,2,FALSE)</f>
        <v>Not undertaken</v>
      </c>
      <c r="N171" s="35" t="str">
        <f>VLOOKUP(H171,'1_Value &amp; risk levers'!$H$9:$O$1048576,3,FALSE)</f>
        <v>Initial stages of exploration, requires more work</v>
      </c>
      <c r="O171" s="35" t="str">
        <f>VLOOKUP(H171,'1_Value &amp; risk levers'!$H$9:$O$1048576,4,FALSE)</f>
        <v>Ad-hoc but frequent rationalization initiatives</v>
      </c>
      <c r="P171" s="35" t="str">
        <f>VLOOKUP(H171,'1_Value &amp; risk levers'!$H$9:$O$1048576,5,FALSE)</f>
        <v>Fully optimized methodology to review cost and simplicity periodically</v>
      </c>
      <c r="Q171" s="77">
        <f>IF(VLOOKUP(H171,'1_Value &amp; risk levers'!$H$9:$T$1048576,13,FALSE)=0,"",VLOOKUP(H171,'1_Value &amp; risk levers'!$H$9:$T$1048576,13,FALSE))</f>
        <v>4</v>
      </c>
      <c r="R171" s="128">
        <f t="shared" si="44"/>
        <v>2</v>
      </c>
      <c r="S171" s="128" t="e">
        <f t="shared" si="45"/>
        <v>#DIV/0!</v>
      </c>
      <c r="T171" s="77"/>
      <c r="U171" s="77"/>
      <c r="V171" s="55"/>
      <c r="W171" s="71">
        <v>0.04</v>
      </c>
      <c r="X171" s="71">
        <v>0.1</v>
      </c>
      <c r="Y171" s="71">
        <f>VLOOKUP(H171,'1_Value &amp; risk levers'!$H$9:$O$1048576,8,FALSE)</f>
        <v>0.8</v>
      </c>
      <c r="Z171" s="51">
        <f t="shared" si="46"/>
        <v>7.0000000000000007E-2</v>
      </c>
      <c r="AA171" s="51">
        <f t="shared" si="48"/>
        <v>8.5000000000000006E-2</v>
      </c>
      <c r="AB171" s="55">
        <f t="shared" si="49"/>
        <v>2800000.0000000005</v>
      </c>
      <c r="AC171" s="55">
        <f t="shared" si="50"/>
        <v>3400000.0000000005</v>
      </c>
      <c r="AD171" s="80">
        <f t="shared" si="51"/>
        <v>7</v>
      </c>
      <c r="AE171" s="84">
        <f t="shared" si="52"/>
        <v>0.48864540816326468</v>
      </c>
      <c r="AF171" s="71" t="str">
        <f t="shared" si="53"/>
        <v>Low</v>
      </c>
      <c r="AG171" s="84">
        <f t="shared" si="54"/>
        <v>5.9772908163265304E-2</v>
      </c>
      <c r="AH171" s="84">
        <f t="shared" si="55"/>
        <v>9.5227091836734709E-2</v>
      </c>
      <c r="AI171" s="73">
        <f t="shared" si="56"/>
        <v>2390916.3265306121</v>
      </c>
      <c r="AJ171" s="73">
        <f t="shared" si="57"/>
        <v>3809083.6734693884</v>
      </c>
      <c r="AK171" s="46">
        <f>VLOOKUP(H171,'1_Value &amp; risk levers'!$H$9:$O$1048576,6,FALSE)</f>
        <v>0.02</v>
      </c>
      <c r="AL171" s="46">
        <f>VLOOKUP(H171,'1_Value &amp; risk levers'!$H$9:$O$1048576,7,FALSE)</f>
        <v>0.03</v>
      </c>
      <c r="AM171" s="50">
        <f t="shared" si="58"/>
        <v>0.02</v>
      </c>
      <c r="AN171" s="72">
        <f t="shared" si="59"/>
        <v>9.3023255813953487E-2</v>
      </c>
      <c r="AO171" s="84">
        <f t="shared" si="60"/>
        <v>5.5602705268153769E-3</v>
      </c>
      <c r="AP171" s="84">
        <f t="shared" si="61"/>
        <v>8.858334124347415E-3</v>
      </c>
      <c r="AQ171" s="55">
        <f t="shared" si="62"/>
        <v>260465.1162790698</v>
      </c>
      <c r="AR171" s="55">
        <f t="shared" si="63"/>
        <v>316279.06976744189</v>
      </c>
      <c r="AS171" s="83">
        <f t="shared" si="47"/>
        <v>41</v>
      </c>
      <c r="AT171" s="50">
        <f t="shared" si="64"/>
        <v>3.75</v>
      </c>
      <c r="AU171" s="55" t="str">
        <f t="shared" si="65"/>
        <v>Low</v>
      </c>
      <c r="AV171" s="36" t="s">
        <v>1471</v>
      </c>
      <c r="AW171" s="109" t="s">
        <v>1472</v>
      </c>
      <c r="AX171" s="37" t="s">
        <v>1456</v>
      </c>
      <c r="AY171" s="27" t="s">
        <v>1575</v>
      </c>
      <c r="AZ171" s="85" t="str">
        <f>IF(ISERROR(_xlfn.XLOOKUP(CONCATENATE(A171,"_",AV171),'Reference-Proof pt impact flag'!$I$3:$I$1048576,'Reference-Proof pt impact flag'!$G$3:$G$1048576)),"",_xlfn.XLOOKUP(CONCATENATE(A171,"_",AV171),'Reference-Proof pt impact flag'!$I$3:$I$1048576,'Reference-Proof pt impact flag'!$G$3:$G$1048576))</f>
        <v>Low</v>
      </c>
      <c r="BA171" s="27" t="s">
        <v>1458</v>
      </c>
      <c r="BB171" s="74"/>
      <c r="BC171" s="74"/>
      <c r="BD171" s="74"/>
      <c r="BE171" s="74" t="s">
        <v>1576</v>
      </c>
      <c r="BF171" s="74" t="str">
        <f>_xlfn.XLOOKUP(CONCATENATE(H171,"_",AV171),'Test 2 - Proof points - GPT5'!$T:$T,'Test 2 - Proof points - GPT5'!$S:$S)</f>
        <v>Insights: Supplier base: 87 vendors; Top-1 share 8.6%; HHI ≈ 344 → fragmented. Leverage via bundled bids and two-tiering is feasible. Top leverage candidates by spend: RAW RICEBRAN OIL, REFINED RICEBRAN OIL, REFINED SUNFLOWER OIL EDIBLE. Estimated admin + unit-price benefit from tail collapse (tail 20.6%): 1–3% admin and 2–5% price on rebid.</v>
      </c>
      <c r="BG171" s="74" t="e">
        <f>_xlfn.XLOOKUP(CONCATENATE(H171,"_",AV171),'Test 2 -Proof points - Sonnet'!$AB:$AB,'Test 2 -Proof points - Sonnet'!$AA:$AA)</f>
        <v>#N/A</v>
      </c>
      <c r="BH171" s="74" t="s">
        <v>1573</v>
      </c>
      <c r="BI171" s="74"/>
      <c r="BJ171" s="74" t="s">
        <v>1574</v>
      </c>
      <c r="BK171" s="30"/>
      <c r="BL171" s="30"/>
      <c r="BM171" s="30" t="s">
        <v>132</v>
      </c>
      <c r="BN171" s="30"/>
      <c r="BO171" s="30"/>
      <c r="BP171" s="30"/>
      <c r="BQ171" s="30"/>
      <c r="BR171" s="30"/>
      <c r="BS171" s="30"/>
      <c r="BT171" s="30"/>
      <c r="BU171" s="30"/>
      <c r="BV171" s="113" t="s">
        <v>132</v>
      </c>
    </row>
    <row r="172" spans="1:74" ht="217.5" hidden="1" x14ac:dyDescent="0.35">
      <c r="A172" s="22">
        <v>5</v>
      </c>
      <c r="B172" s="22" t="s">
        <v>1451</v>
      </c>
      <c r="C172" s="22" t="s">
        <v>1452</v>
      </c>
      <c r="D172" s="22" t="s">
        <v>1224</v>
      </c>
      <c r="E172" s="22" t="s">
        <v>1453</v>
      </c>
      <c r="F172" s="22"/>
      <c r="G172" s="22" t="s">
        <v>1274</v>
      </c>
      <c r="H172" s="21" t="s">
        <v>1281</v>
      </c>
      <c r="I172" s="22"/>
      <c r="J172" s="21" t="s">
        <v>1326</v>
      </c>
      <c r="K172" s="30"/>
      <c r="L172" s="30" t="s">
        <v>1239</v>
      </c>
      <c r="M172" s="35" t="str">
        <f>VLOOKUP(H172,'1_Value &amp; risk levers'!$H$9:$O$1048576,2,FALSE)</f>
        <v>Not undertaken</v>
      </c>
      <c r="N172" s="35" t="str">
        <f>VLOOKUP(H172,'1_Value &amp; risk levers'!$H$9:$O$1048576,3,FALSE)</f>
        <v>Initial stages of exploration, requires more work</v>
      </c>
      <c r="O172" s="35" t="str">
        <f>VLOOKUP(H172,'1_Value &amp; risk levers'!$H$9:$O$1048576,4,FALSE)</f>
        <v>Ad-hoc but frequent rationalization initiatives</v>
      </c>
      <c r="P172" s="35" t="str">
        <f>VLOOKUP(H172,'1_Value &amp; risk levers'!$H$9:$O$1048576,5,FALSE)</f>
        <v>Fully optimized methodology to review cost and simplicity periodically</v>
      </c>
      <c r="Q172" s="77">
        <f>IF(VLOOKUP(H172,'1_Value &amp; risk levers'!$H$9:$T$1048576,13,FALSE)=0,"",VLOOKUP(H172,'1_Value &amp; risk levers'!$H$9:$T$1048576,13,FALSE))</f>
        <v>4</v>
      </c>
      <c r="R172" s="128">
        <f t="shared" si="44"/>
        <v>2</v>
      </c>
      <c r="S172" s="128" t="e">
        <f t="shared" si="45"/>
        <v>#DIV/0!</v>
      </c>
      <c r="T172" s="77"/>
      <c r="U172" s="77"/>
      <c r="V172" s="55"/>
      <c r="W172" s="71">
        <v>0.04</v>
      </c>
      <c r="X172" s="71">
        <v>0.1</v>
      </c>
      <c r="Y172" s="71">
        <f>VLOOKUP(H172,'1_Value &amp; risk levers'!$H$9:$O$1048576,8,FALSE)</f>
        <v>0.8</v>
      </c>
      <c r="Z172" s="51">
        <f t="shared" si="46"/>
        <v>7.0000000000000007E-2</v>
      </c>
      <c r="AA172" s="51">
        <f t="shared" si="48"/>
        <v>8.5000000000000006E-2</v>
      </c>
      <c r="AB172" s="55">
        <f t="shared" si="49"/>
        <v>2800000.0000000005</v>
      </c>
      <c r="AC172" s="55">
        <f t="shared" si="50"/>
        <v>3400000.0000000005</v>
      </c>
      <c r="AD172" s="80">
        <f t="shared" si="51"/>
        <v>7</v>
      </c>
      <c r="AE172" s="84">
        <f t="shared" si="52"/>
        <v>0.48864540816326468</v>
      </c>
      <c r="AF172" s="71" t="str">
        <f t="shared" si="53"/>
        <v>Low</v>
      </c>
      <c r="AG172" s="84">
        <f t="shared" si="54"/>
        <v>5.9772908163265304E-2</v>
      </c>
      <c r="AH172" s="84">
        <f t="shared" si="55"/>
        <v>9.5227091836734709E-2</v>
      </c>
      <c r="AI172" s="73">
        <f t="shared" si="56"/>
        <v>2390916.3265306121</v>
      </c>
      <c r="AJ172" s="73">
        <f t="shared" si="57"/>
        <v>3809083.6734693884</v>
      </c>
      <c r="AK172" s="46">
        <f>VLOOKUP(H172,'1_Value &amp; risk levers'!$H$9:$O$1048576,6,FALSE)</f>
        <v>0.02</v>
      </c>
      <c r="AL172" s="46">
        <f>VLOOKUP(H172,'1_Value &amp; risk levers'!$H$9:$O$1048576,7,FALSE)</f>
        <v>0.03</v>
      </c>
      <c r="AM172" s="50">
        <f t="shared" si="58"/>
        <v>0.02</v>
      </c>
      <c r="AN172" s="72">
        <f t="shared" si="59"/>
        <v>9.3023255813953487E-2</v>
      </c>
      <c r="AO172" s="84">
        <f t="shared" si="60"/>
        <v>5.5602705268153769E-3</v>
      </c>
      <c r="AP172" s="84">
        <f t="shared" si="61"/>
        <v>8.858334124347415E-3</v>
      </c>
      <c r="AQ172" s="55">
        <f t="shared" si="62"/>
        <v>260465.1162790698</v>
      </c>
      <c r="AR172" s="55">
        <f t="shared" si="63"/>
        <v>316279.06976744189</v>
      </c>
      <c r="AS172" s="83">
        <f t="shared" si="47"/>
        <v>41</v>
      </c>
      <c r="AT172" s="50">
        <f t="shared" si="64"/>
        <v>3.75</v>
      </c>
      <c r="AU172" s="55" t="str">
        <f t="shared" si="65"/>
        <v>Low</v>
      </c>
      <c r="AV172" s="36" t="s">
        <v>1475</v>
      </c>
      <c r="AW172" s="109" t="s">
        <v>1476</v>
      </c>
      <c r="AX172" s="37" t="s">
        <v>1456</v>
      </c>
      <c r="AY172" s="30"/>
      <c r="AZ172" s="85" t="str">
        <f>IF(ISERROR(_xlfn.XLOOKUP(CONCATENATE(A172,"_",AV172),'Reference-Proof pt impact flag'!$I$3:$I$1048576,'Reference-Proof pt impact flag'!$G$3:$G$1048576)),"",_xlfn.XLOOKUP(CONCATENATE(A172,"_",AV172),'Reference-Proof pt impact flag'!$I$3:$I$1048576,'Reference-Proof pt impact flag'!$G$3:$G$1048576))</f>
        <v/>
      </c>
      <c r="BA172" s="74"/>
      <c r="BB172" s="74"/>
      <c r="BC172" s="74"/>
      <c r="BD172" s="74"/>
      <c r="BE172" s="74"/>
      <c r="BF172" s="74" t="e">
        <f>_xlfn.XLOOKUP(CONCATENATE(H172,"_",AV172),'Test 2 - Proof points - GPT5'!$T:$T,'Test 2 - Proof points - GPT5'!$S:$S)</f>
        <v>#N/A</v>
      </c>
      <c r="BG172" s="74" t="e">
        <f>_xlfn.XLOOKUP(CONCATENATE(H172,"_",AV172),'Test 2 -Proof points - Sonnet'!$AB:$AB,'Test 2 -Proof points - Sonnet'!$AA:$AA)</f>
        <v>#N/A</v>
      </c>
      <c r="BH172" s="74"/>
      <c r="BI172" s="74"/>
      <c r="BJ172" s="74" t="s">
        <v>1574</v>
      </c>
      <c r="BK172" s="30"/>
      <c r="BL172" s="30"/>
      <c r="BM172" s="30"/>
      <c r="BN172" s="30"/>
      <c r="BO172" s="30"/>
      <c r="BP172" s="30"/>
      <c r="BQ172" s="30"/>
      <c r="BR172" s="30"/>
      <c r="BS172" s="30"/>
      <c r="BT172" s="30"/>
      <c r="BU172" s="30"/>
      <c r="BV172" s="113"/>
    </row>
    <row r="173" spans="1:74" ht="261" x14ac:dyDescent="0.35">
      <c r="A173" s="22">
        <v>5</v>
      </c>
      <c r="B173" s="22" t="s">
        <v>1451</v>
      </c>
      <c r="C173" s="22" t="s">
        <v>1452</v>
      </c>
      <c r="D173" s="22" t="s">
        <v>1224</v>
      </c>
      <c r="E173" s="22" t="s">
        <v>1453</v>
      </c>
      <c r="F173" s="22"/>
      <c r="G173" s="22" t="s">
        <v>1274</v>
      </c>
      <c r="H173" s="21" t="s">
        <v>1281</v>
      </c>
      <c r="I173" s="22"/>
      <c r="J173" s="21" t="s">
        <v>1326</v>
      </c>
      <c r="K173" s="30"/>
      <c r="L173" s="30" t="s">
        <v>1239</v>
      </c>
      <c r="M173" s="35" t="str">
        <f>VLOOKUP(H173,'1_Value &amp; risk levers'!$H$9:$O$1048576,2,FALSE)</f>
        <v>Not undertaken</v>
      </c>
      <c r="N173" s="35" t="str">
        <f>VLOOKUP(H173,'1_Value &amp; risk levers'!$H$9:$O$1048576,3,FALSE)</f>
        <v>Initial stages of exploration, requires more work</v>
      </c>
      <c r="O173" s="35" t="str">
        <f>VLOOKUP(H173,'1_Value &amp; risk levers'!$H$9:$O$1048576,4,FALSE)</f>
        <v>Ad-hoc but frequent rationalization initiatives</v>
      </c>
      <c r="P173" s="35" t="str">
        <f>VLOOKUP(H173,'1_Value &amp; risk levers'!$H$9:$O$1048576,5,FALSE)</f>
        <v>Fully optimized methodology to review cost and simplicity periodically</v>
      </c>
      <c r="Q173" s="77">
        <f>IF(VLOOKUP(H173,'1_Value &amp; risk levers'!$H$9:$T$1048576,13,FALSE)=0,"",VLOOKUP(H173,'1_Value &amp; risk levers'!$H$9:$T$1048576,13,FALSE))</f>
        <v>4</v>
      </c>
      <c r="R173" s="128">
        <f t="shared" si="44"/>
        <v>2</v>
      </c>
      <c r="S173" s="128" t="e">
        <f t="shared" si="45"/>
        <v>#DIV/0!</v>
      </c>
      <c r="T173" s="77"/>
      <c r="U173" s="77"/>
      <c r="V173" s="55"/>
      <c r="W173" s="71">
        <v>0.04</v>
      </c>
      <c r="X173" s="71">
        <v>0.1</v>
      </c>
      <c r="Y173" s="71">
        <f>VLOOKUP(H173,'1_Value &amp; risk levers'!$H$9:$O$1048576,8,FALSE)</f>
        <v>0.8</v>
      </c>
      <c r="Z173" s="51">
        <f t="shared" si="46"/>
        <v>7.0000000000000007E-2</v>
      </c>
      <c r="AA173" s="51">
        <f t="shared" si="48"/>
        <v>8.5000000000000006E-2</v>
      </c>
      <c r="AB173" s="55">
        <f t="shared" si="49"/>
        <v>2800000.0000000005</v>
      </c>
      <c r="AC173" s="55">
        <f t="shared" si="50"/>
        <v>3400000.0000000005</v>
      </c>
      <c r="AD173" s="80">
        <f t="shared" si="51"/>
        <v>7</v>
      </c>
      <c r="AE173" s="84">
        <f t="shared" si="52"/>
        <v>0.48864540816326468</v>
      </c>
      <c r="AF173" s="71" t="str">
        <f t="shared" si="53"/>
        <v>Low</v>
      </c>
      <c r="AG173" s="84">
        <f t="shared" si="54"/>
        <v>5.9772908163265304E-2</v>
      </c>
      <c r="AH173" s="84">
        <f t="shared" si="55"/>
        <v>9.5227091836734709E-2</v>
      </c>
      <c r="AI173" s="73">
        <f t="shared" si="56"/>
        <v>2390916.3265306121</v>
      </c>
      <c r="AJ173" s="73">
        <f t="shared" si="57"/>
        <v>3809083.6734693884</v>
      </c>
      <c r="AK173" s="46">
        <f>VLOOKUP(H173,'1_Value &amp; risk levers'!$H$9:$O$1048576,6,FALSE)</f>
        <v>0.02</v>
      </c>
      <c r="AL173" s="46">
        <f>VLOOKUP(H173,'1_Value &amp; risk levers'!$H$9:$O$1048576,7,FALSE)</f>
        <v>0.03</v>
      </c>
      <c r="AM173" s="50">
        <f t="shared" si="58"/>
        <v>0.02</v>
      </c>
      <c r="AN173" s="72">
        <f t="shared" si="59"/>
        <v>9.3023255813953487E-2</v>
      </c>
      <c r="AO173" s="84">
        <f t="shared" si="60"/>
        <v>5.5602705268153769E-3</v>
      </c>
      <c r="AP173" s="84">
        <f t="shared" si="61"/>
        <v>8.858334124347415E-3</v>
      </c>
      <c r="AQ173" s="55">
        <f t="shared" si="62"/>
        <v>260465.1162790698</v>
      </c>
      <c r="AR173" s="55">
        <f t="shared" si="63"/>
        <v>316279.06976744189</v>
      </c>
      <c r="AS173" s="83">
        <f t="shared" si="47"/>
        <v>41</v>
      </c>
      <c r="AT173" s="50">
        <f t="shared" si="64"/>
        <v>3.75</v>
      </c>
      <c r="AU173" s="55" t="str">
        <f t="shared" si="65"/>
        <v>Low</v>
      </c>
      <c r="AV173" s="36" t="s">
        <v>1477</v>
      </c>
      <c r="AW173" s="110" t="s">
        <v>1478</v>
      </c>
      <c r="AX173" s="37" t="s">
        <v>1456</v>
      </c>
      <c r="AY173" s="27" t="s">
        <v>1577</v>
      </c>
      <c r="AZ173" s="85" t="str">
        <f>IF(ISERROR(_xlfn.XLOOKUP(CONCATENATE(A173,"_",AV173),'Reference-Proof pt impact flag'!$I$3:$I$1048576,'Reference-Proof pt impact flag'!$G$3:$G$1048576)),"",_xlfn.XLOOKUP(CONCATENATE(A173,"_",AV173),'Reference-Proof pt impact flag'!$I$3:$I$1048576,'Reference-Proof pt impact flag'!$G$3:$G$1048576))</f>
        <v>Low</v>
      </c>
      <c r="BA173" s="27" t="s">
        <v>1458</v>
      </c>
      <c r="BB173" s="74"/>
      <c r="BC173" s="74"/>
      <c r="BD173" s="74"/>
      <c r="BE173" s="74" t="s">
        <v>1578</v>
      </c>
      <c r="BF173" s="74" t="str">
        <f>_xlfn.XLOOKUP(CONCATENATE(H173,"_",AV173),'Test 2 - Proof points - GPT5'!$T:$T,'Test 2 - Proof points - GPT5'!$S:$S)</f>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 REFINED SUNFLOWER OIL EDIBLE (suppliers: 13, plants: 2) — price/kg 1.65-2.09 (median 1.86; spread 24%). Potential value ≈ $1,565,056 by aligning 50% volume to P25–P10 pricing. Actions: Run competitive re-bids on the cited SKUs, standardize specs, and lock indexed contracts where volatility is high. Prioritize suppliers with proven capability across Malaysia/Australia plants to converge to best-in-class pricing.</v>
      </c>
      <c r="BG173" s="74" t="e">
        <f>_xlfn.XLOOKUP(CONCATENATE(H173,"_",AV173),'Test 2 -Proof points - Sonnet'!$AB:$AB,'Test 2 -Proof points - Sonnet'!$AA:$AA)</f>
        <v>#N/A</v>
      </c>
      <c r="BH173" s="74" t="s">
        <v>1573</v>
      </c>
      <c r="BI173" s="74"/>
      <c r="BJ173" s="74" t="s">
        <v>1574</v>
      </c>
      <c r="BK173" s="30"/>
      <c r="BL173" s="30"/>
      <c r="BM173" s="30"/>
      <c r="BN173" s="30"/>
      <c r="BO173" s="30" t="s">
        <v>132</v>
      </c>
      <c r="BP173" s="30"/>
      <c r="BQ173" s="30"/>
      <c r="BR173" s="30"/>
      <c r="BS173" s="30"/>
      <c r="BT173" s="30"/>
      <c r="BU173" s="30"/>
      <c r="BV173" s="113" t="s">
        <v>132</v>
      </c>
    </row>
    <row r="174" spans="1:74" ht="217.5" hidden="1" x14ac:dyDescent="0.35">
      <c r="A174" s="22">
        <v>5</v>
      </c>
      <c r="B174" s="22" t="s">
        <v>1451</v>
      </c>
      <c r="C174" s="22" t="s">
        <v>1452</v>
      </c>
      <c r="D174" s="22" t="s">
        <v>1224</v>
      </c>
      <c r="E174" s="22" t="s">
        <v>1453</v>
      </c>
      <c r="F174" s="22"/>
      <c r="G174" s="22" t="s">
        <v>1274</v>
      </c>
      <c r="H174" s="21" t="s">
        <v>1281</v>
      </c>
      <c r="I174" s="22"/>
      <c r="J174" s="21" t="s">
        <v>1326</v>
      </c>
      <c r="K174" s="30"/>
      <c r="L174" s="30" t="s">
        <v>1239</v>
      </c>
      <c r="M174" s="35" t="str">
        <f>VLOOKUP(H174,'1_Value &amp; risk levers'!$H$9:$O$1048576,2,FALSE)</f>
        <v>Not undertaken</v>
      </c>
      <c r="N174" s="35" t="str">
        <f>VLOOKUP(H174,'1_Value &amp; risk levers'!$H$9:$O$1048576,3,FALSE)</f>
        <v>Initial stages of exploration, requires more work</v>
      </c>
      <c r="O174" s="35" t="str">
        <f>VLOOKUP(H174,'1_Value &amp; risk levers'!$H$9:$O$1048576,4,FALSE)</f>
        <v>Ad-hoc but frequent rationalization initiatives</v>
      </c>
      <c r="P174" s="35" t="str">
        <f>VLOOKUP(H174,'1_Value &amp; risk levers'!$H$9:$O$1048576,5,FALSE)</f>
        <v>Fully optimized methodology to review cost and simplicity periodically</v>
      </c>
      <c r="Q174" s="77">
        <f>IF(VLOOKUP(H174,'1_Value &amp; risk levers'!$H$9:$T$1048576,13,FALSE)=0,"",VLOOKUP(H174,'1_Value &amp; risk levers'!$H$9:$T$1048576,13,FALSE))</f>
        <v>4</v>
      </c>
      <c r="R174" s="128">
        <f t="shared" si="44"/>
        <v>2</v>
      </c>
      <c r="S174" s="128" t="e">
        <f t="shared" si="45"/>
        <v>#DIV/0!</v>
      </c>
      <c r="T174" s="77"/>
      <c r="U174" s="77"/>
      <c r="V174" s="55"/>
      <c r="W174" s="71">
        <v>0.04</v>
      </c>
      <c r="X174" s="71">
        <v>0.1</v>
      </c>
      <c r="Y174" s="71">
        <f>VLOOKUP(H174,'1_Value &amp; risk levers'!$H$9:$O$1048576,8,FALSE)</f>
        <v>0.8</v>
      </c>
      <c r="Z174" s="51">
        <f t="shared" si="46"/>
        <v>7.0000000000000007E-2</v>
      </c>
      <c r="AA174" s="51">
        <f t="shared" si="48"/>
        <v>8.5000000000000006E-2</v>
      </c>
      <c r="AB174" s="55">
        <f t="shared" si="49"/>
        <v>2800000.0000000005</v>
      </c>
      <c r="AC174" s="55">
        <f t="shared" si="50"/>
        <v>3400000.0000000005</v>
      </c>
      <c r="AD174" s="80">
        <f t="shared" si="51"/>
        <v>7</v>
      </c>
      <c r="AE174" s="84">
        <f t="shared" si="52"/>
        <v>0.48864540816326468</v>
      </c>
      <c r="AF174" s="71" t="str">
        <f t="shared" si="53"/>
        <v>Low</v>
      </c>
      <c r="AG174" s="84">
        <f t="shared" si="54"/>
        <v>5.9772908163265304E-2</v>
      </c>
      <c r="AH174" s="84">
        <f t="shared" si="55"/>
        <v>9.5227091836734709E-2</v>
      </c>
      <c r="AI174" s="73">
        <f t="shared" si="56"/>
        <v>2390916.3265306121</v>
      </c>
      <c r="AJ174" s="73">
        <f t="shared" si="57"/>
        <v>3809083.6734693884</v>
      </c>
      <c r="AK174" s="46">
        <f>VLOOKUP(H174,'1_Value &amp; risk levers'!$H$9:$O$1048576,6,FALSE)</f>
        <v>0.02</v>
      </c>
      <c r="AL174" s="46">
        <f>VLOOKUP(H174,'1_Value &amp; risk levers'!$H$9:$O$1048576,7,FALSE)</f>
        <v>0.03</v>
      </c>
      <c r="AM174" s="50">
        <f t="shared" si="58"/>
        <v>0.02</v>
      </c>
      <c r="AN174" s="72">
        <f t="shared" si="59"/>
        <v>9.3023255813953487E-2</v>
      </c>
      <c r="AO174" s="84">
        <f t="shared" si="60"/>
        <v>5.5602705268153769E-3</v>
      </c>
      <c r="AP174" s="84">
        <f t="shared" si="61"/>
        <v>8.858334124347415E-3</v>
      </c>
      <c r="AQ174" s="55">
        <f t="shared" si="62"/>
        <v>260465.1162790698</v>
      </c>
      <c r="AR174" s="55">
        <f t="shared" si="63"/>
        <v>316279.06976744189</v>
      </c>
      <c r="AS174" s="83">
        <f t="shared" si="47"/>
        <v>41</v>
      </c>
      <c r="AT174" s="50">
        <f t="shared" si="64"/>
        <v>3.75</v>
      </c>
      <c r="AU174" s="55" t="str">
        <f t="shared" si="65"/>
        <v>Low</v>
      </c>
      <c r="AV174" s="36" t="s">
        <v>1481</v>
      </c>
      <c r="AW174" s="110" t="s">
        <v>1482</v>
      </c>
      <c r="AX174" s="37" t="s">
        <v>1456</v>
      </c>
      <c r="AY174" s="30"/>
      <c r="AZ174" s="85" t="str">
        <f>IF(ISERROR(_xlfn.XLOOKUP(CONCATENATE(A174,"_",AV174),'Reference-Proof pt impact flag'!$I$3:$I$1048576,'Reference-Proof pt impact flag'!$G$3:$G$1048576)),"",_xlfn.XLOOKUP(CONCATENATE(A174,"_",AV174),'Reference-Proof pt impact flag'!$I$3:$I$1048576,'Reference-Proof pt impact flag'!$G$3:$G$1048576))</f>
        <v/>
      </c>
      <c r="BA174" s="74"/>
      <c r="BB174" s="74"/>
      <c r="BC174" s="74"/>
      <c r="BD174" s="74"/>
      <c r="BE174" s="74"/>
      <c r="BF174" s="74" t="e">
        <f>_xlfn.XLOOKUP(CONCATENATE(H174,"_",AV174),'Test 2 - Proof points - GPT5'!$T:$T,'Test 2 - Proof points - GPT5'!$S:$S)</f>
        <v>#N/A</v>
      </c>
      <c r="BG174" s="74" t="e">
        <f>_xlfn.XLOOKUP(CONCATENATE(H174,"_",AV174),'Test 2 -Proof points - Sonnet'!$AB:$AB,'Test 2 -Proof points - Sonnet'!$AA:$AA)</f>
        <v>#N/A</v>
      </c>
      <c r="BH174" s="74"/>
      <c r="BI174" s="74"/>
      <c r="BJ174" s="74" t="s">
        <v>1574</v>
      </c>
      <c r="BK174" s="30"/>
      <c r="BL174" s="30"/>
      <c r="BM174" s="30"/>
      <c r="BN174" s="30"/>
      <c r="BO174" s="30"/>
      <c r="BP174" s="30"/>
      <c r="BQ174" s="30"/>
      <c r="BR174" s="30"/>
      <c r="BS174" s="30"/>
      <c r="BT174" s="30"/>
      <c r="BU174" s="30"/>
      <c r="BV174" s="113"/>
    </row>
    <row r="175" spans="1:74" ht="217.5" hidden="1" x14ac:dyDescent="0.35">
      <c r="A175" s="22">
        <v>5</v>
      </c>
      <c r="B175" s="22" t="s">
        <v>1451</v>
      </c>
      <c r="C175" s="22" t="s">
        <v>1452</v>
      </c>
      <c r="D175" s="22" t="s">
        <v>1224</v>
      </c>
      <c r="E175" s="22" t="s">
        <v>1453</v>
      </c>
      <c r="F175" s="22"/>
      <c r="G175" s="22" t="s">
        <v>1274</v>
      </c>
      <c r="H175" s="21" t="s">
        <v>1281</v>
      </c>
      <c r="I175" s="22"/>
      <c r="J175" s="21" t="s">
        <v>1326</v>
      </c>
      <c r="K175" s="30"/>
      <c r="L175" s="30" t="s">
        <v>1239</v>
      </c>
      <c r="M175" s="35" t="str">
        <f>VLOOKUP(H175,'1_Value &amp; risk levers'!$H$9:$O$1048576,2,FALSE)</f>
        <v>Not undertaken</v>
      </c>
      <c r="N175" s="35" t="str">
        <f>VLOOKUP(H175,'1_Value &amp; risk levers'!$H$9:$O$1048576,3,FALSE)</f>
        <v>Initial stages of exploration, requires more work</v>
      </c>
      <c r="O175" s="35" t="str">
        <f>VLOOKUP(H175,'1_Value &amp; risk levers'!$H$9:$O$1048576,4,FALSE)</f>
        <v>Ad-hoc but frequent rationalization initiatives</v>
      </c>
      <c r="P175" s="35" t="str">
        <f>VLOOKUP(H175,'1_Value &amp; risk levers'!$H$9:$O$1048576,5,FALSE)</f>
        <v>Fully optimized methodology to review cost and simplicity periodically</v>
      </c>
      <c r="Q175" s="77">
        <f>IF(VLOOKUP(H175,'1_Value &amp; risk levers'!$H$9:$T$1048576,13,FALSE)=0,"",VLOOKUP(H175,'1_Value &amp; risk levers'!$H$9:$T$1048576,13,FALSE))</f>
        <v>4</v>
      </c>
      <c r="R175" s="128">
        <f t="shared" si="44"/>
        <v>2</v>
      </c>
      <c r="S175" s="128" t="e">
        <f t="shared" si="45"/>
        <v>#DIV/0!</v>
      </c>
      <c r="T175" s="77"/>
      <c r="U175" s="77"/>
      <c r="V175" s="55"/>
      <c r="W175" s="71">
        <v>0.04</v>
      </c>
      <c r="X175" s="71">
        <v>0.1</v>
      </c>
      <c r="Y175" s="71">
        <f>VLOOKUP(H175,'1_Value &amp; risk levers'!$H$9:$O$1048576,8,FALSE)</f>
        <v>0.8</v>
      </c>
      <c r="Z175" s="51">
        <f t="shared" si="46"/>
        <v>7.0000000000000007E-2</v>
      </c>
      <c r="AA175" s="51">
        <f t="shared" si="48"/>
        <v>8.5000000000000006E-2</v>
      </c>
      <c r="AB175" s="55">
        <f t="shared" si="49"/>
        <v>2800000.0000000005</v>
      </c>
      <c r="AC175" s="55">
        <f t="shared" si="50"/>
        <v>3400000.0000000005</v>
      </c>
      <c r="AD175" s="80">
        <f t="shared" si="51"/>
        <v>7</v>
      </c>
      <c r="AE175" s="84">
        <f t="shared" si="52"/>
        <v>0.48864540816326468</v>
      </c>
      <c r="AF175" s="71" t="str">
        <f t="shared" si="53"/>
        <v>Low</v>
      </c>
      <c r="AG175" s="84">
        <f t="shared" si="54"/>
        <v>5.9772908163265304E-2</v>
      </c>
      <c r="AH175" s="84">
        <f t="shared" si="55"/>
        <v>9.5227091836734709E-2</v>
      </c>
      <c r="AI175" s="73">
        <f t="shared" si="56"/>
        <v>2390916.3265306121</v>
      </c>
      <c r="AJ175" s="73">
        <f t="shared" si="57"/>
        <v>3809083.6734693884</v>
      </c>
      <c r="AK175" s="46">
        <f>VLOOKUP(H175,'1_Value &amp; risk levers'!$H$9:$O$1048576,6,FALSE)</f>
        <v>0.02</v>
      </c>
      <c r="AL175" s="46">
        <f>VLOOKUP(H175,'1_Value &amp; risk levers'!$H$9:$O$1048576,7,FALSE)</f>
        <v>0.03</v>
      </c>
      <c r="AM175" s="50">
        <f t="shared" si="58"/>
        <v>0.02</v>
      </c>
      <c r="AN175" s="72">
        <f t="shared" si="59"/>
        <v>9.3023255813953487E-2</v>
      </c>
      <c r="AO175" s="84">
        <f t="shared" si="60"/>
        <v>5.5602705268153769E-3</v>
      </c>
      <c r="AP175" s="84">
        <f t="shared" si="61"/>
        <v>8.858334124347415E-3</v>
      </c>
      <c r="AQ175" s="55">
        <f t="shared" si="62"/>
        <v>260465.1162790698</v>
      </c>
      <c r="AR175" s="55">
        <f t="shared" si="63"/>
        <v>316279.06976744189</v>
      </c>
      <c r="AS175" s="83">
        <f t="shared" si="47"/>
        <v>41</v>
      </c>
      <c r="AT175" s="50">
        <f t="shared" si="64"/>
        <v>3.75</v>
      </c>
      <c r="AU175" s="55" t="str">
        <f t="shared" si="65"/>
        <v>Low</v>
      </c>
      <c r="AV175" s="36" t="s">
        <v>1483</v>
      </c>
      <c r="AW175" s="110" t="s">
        <v>1484</v>
      </c>
      <c r="AX175" s="37" t="s">
        <v>1456</v>
      </c>
      <c r="AY175" s="30"/>
      <c r="AZ175" s="85" t="str">
        <f>IF(ISERROR(_xlfn.XLOOKUP(CONCATENATE(A175,"_",AV175),'Reference-Proof pt impact flag'!$I$3:$I$1048576,'Reference-Proof pt impact flag'!$G$3:$G$1048576)),"",_xlfn.XLOOKUP(CONCATENATE(A175,"_",AV175),'Reference-Proof pt impact flag'!$I$3:$I$1048576,'Reference-Proof pt impact flag'!$G$3:$G$1048576))</f>
        <v/>
      </c>
      <c r="BA175" s="74"/>
      <c r="BB175" s="74"/>
      <c r="BC175" s="74"/>
      <c r="BD175" s="74"/>
      <c r="BE175" s="74"/>
      <c r="BF175" s="74" t="e">
        <f>_xlfn.XLOOKUP(CONCATENATE(H175,"_",AV175),'Test 2 - Proof points - GPT5'!$T:$T,'Test 2 - Proof points - GPT5'!$S:$S)</f>
        <v>#N/A</v>
      </c>
      <c r="BG175" s="74" t="e">
        <f>_xlfn.XLOOKUP(CONCATENATE(H175,"_",AV175),'Test 2 -Proof points - Sonnet'!$AB:$AB,'Test 2 -Proof points - Sonnet'!$AA:$AA)</f>
        <v>#N/A</v>
      </c>
      <c r="BH175" s="74"/>
      <c r="BI175" s="74"/>
      <c r="BJ175" s="74" t="s">
        <v>1574</v>
      </c>
      <c r="BK175" s="30"/>
      <c r="BL175" s="30"/>
      <c r="BM175" s="30"/>
      <c r="BN175" s="30"/>
      <c r="BO175" s="30"/>
      <c r="BP175" s="30"/>
      <c r="BQ175" s="30"/>
      <c r="BR175" s="30"/>
      <c r="BS175" s="30"/>
      <c r="BT175" s="30"/>
      <c r="BU175" s="30"/>
      <c r="BV175" s="113"/>
    </row>
    <row r="176" spans="1:74" ht="217.5" hidden="1" x14ac:dyDescent="0.35">
      <c r="A176" s="22">
        <v>5</v>
      </c>
      <c r="B176" s="22" t="s">
        <v>1451</v>
      </c>
      <c r="C176" s="22" t="s">
        <v>1452</v>
      </c>
      <c r="D176" s="22" t="s">
        <v>1224</v>
      </c>
      <c r="E176" s="22" t="s">
        <v>1453</v>
      </c>
      <c r="F176" s="22"/>
      <c r="G176" s="22" t="s">
        <v>1274</v>
      </c>
      <c r="H176" s="21" t="s">
        <v>1281</v>
      </c>
      <c r="I176" s="22"/>
      <c r="J176" s="21" t="s">
        <v>1326</v>
      </c>
      <c r="K176" s="30"/>
      <c r="L176" s="30" t="s">
        <v>1239</v>
      </c>
      <c r="M176" s="35" t="str">
        <f>VLOOKUP(H176,'1_Value &amp; risk levers'!$H$9:$O$1048576,2,FALSE)</f>
        <v>Not undertaken</v>
      </c>
      <c r="N176" s="35" t="str">
        <f>VLOOKUP(H176,'1_Value &amp; risk levers'!$H$9:$O$1048576,3,FALSE)</f>
        <v>Initial stages of exploration, requires more work</v>
      </c>
      <c r="O176" s="35" t="str">
        <f>VLOOKUP(H176,'1_Value &amp; risk levers'!$H$9:$O$1048576,4,FALSE)</f>
        <v>Ad-hoc but frequent rationalization initiatives</v>
      </c>
      <c r="P176" s="35" t="str">
        <f>VLOOKUP(H176,'1_Value &amp; risk levers'!$H$9:$O$1048576,5,FALSE)</f>
        <v>Fully optimized methodology to review cost and simplicity periodically</v>
      </c>
      <c r="Q176" s="77">
        <f>IF(VLOOKUP(H176,'1_Value &amp; risk levers'!$H$9:$T$1048576,13,FALSE)=0,"",VLOOKUP(H176,'1_Value &amp; risk levers'!$H$9:$T$1048576,13,FALSE))</f>
        <v>4</v>
      </c>
      <c r="R176" s="128">
        <f t="shared" si="44"/>
        <v>2</v>
      </c>
      <c r="S176" s="128" t="e">
        <f t="shared" si="45"/>
        <v>#DIV/0!</v>
      </c>
      <c r="T176" s="77"/>
      <c r="U176" s="77"/>
      <c r="V176" s="55"/>
      <c r="W176" s="71">
        <v>0.04</v>
      </c>
      <c r="X176" s="71">
        <v>0.1</v>
      </c>
      <c r="Y176" s="71">
        <f>VLOOKUP(H176,'1_Value &amp; risk levers'!$H$9:$O$1048576,8,FALSE)</f>
        <v>0.8</v>
      </c>
      <c r="Z176" s="51">
        <f t="shared" si="46"/>
        <v>7.0000000000000007E-2</v>
      </c>
      <c r="AA176" s="51">
        <f t="shared" si="48"/>
        <v>8.5000000000000006E-2</v>
      </c>
      <c r="AB176" s="55">
        <f t="shared" si="49"/>
        <v>2800000.0000000005</v>
      </c>
      <c r="AC176" s="55">
        <f t="shared" si="50"/>
        <v>3400000.0000000005</v>
      </c>
      <c r="AD176" s="80">
        <f t="shared" si="51"/>
        <v>7</v>
      </c>
      <c r="AE176" s="84">
        <f t="shared" si="52"/>
        <v>0.48864540816326468</v>
      </c>
      <c r="AF176" s="71" t="str">
        <f t="shared" si="53"/>
        <v>Low</v>
      </c>
      <c r="AG176" s="84">
        <f t="shared" si="54"/>
        <v>5.9772908163265304E-2</v>
      </c>
      <c r="AH176" s="84">
        <f t="shared" si="55"/>
        <v>9.5227091836734709E-2</v>
      </c>
      <c r="AI176" s="73">
        <f t="shared" si="56"/>
        <v>2390916.3265306121</v>
      </c>
      <c r="AJ176" s="73">
        <f t="shared" si="57"/>
        <v>3809083.6734693884</v>
      </c>
      <c r="AK176" s="46">
        <f>VLOOKUP(H176,'1_Value &amp; risk levers'!$H$9:$O$1048576,6,FALSE)</f>
        <v>0.02</v>
      </c>
      <c r="AL176" s="46">
        <f>VLOOKUP(H176,'1_Value &amp; risk levers'!$H$9:$O$1048576,7,FALSE)</f>
        <v>0.03</v>
      </c>
      <c r="AM176" s="50">
        <f t="shared" si="58"/>
        <v>0.02</v>
      </c>
      <c r="AN176" s="72">
        <f t="shared" si="59"/>
        <v>9.3023255813953487E-2</v>
      </c>
      <c r="AO176" s="84">
        <f t="shared" si="60"/>
        <v>5.5602705268153769E-3</v>
      </c>
      <c r="AP176" s="84">
        <f t="shared" si="61"/>
        <v>8.858334124347415E-3</v>
      </c>
      <c r="AQ176" s="55">
        <f t="shared" si="62"/>
        <v>260465.1162790698</v>
      </c>
      <c r="AR176" s="55">
        <f t="shared" si="63"/>
        <v>316279.06976744189</v>
      </c>
      <c r="AS176" s="83">
        <f t="shared" si="47"/>
        <v>41</v>
      </c>
      <c r="AT176" s="50">
        <f t="shared" si="64"/>
        <v>3.75</v>
      </c>
      <c r="AU176" s="55" t="str">
        <f t="shared" si="65"/>
        <v>Low</v>
      </c>
      <c r="AV176" s="36" t="s">
        <v>1486</v>
      </c>
      <c r="AW176" s="110" t="s">
        <v>1487</v>
      </c>
      <c r="AX176" s="37" t="s">
        <v>1456</v>
      </c>
      <c r="AY176" s="30"/>
      <c r="AZ176" s="85" t="str">
        <f>IF(ISERROR(_xlfn.XLOOKUP(CONCATENATE(A176,"_",AV176),'Reference-Proof pt impact flag'!$I$3:$I$1048576,'Reference-Proof pt impact flag'!$G$3:$G$1048576)),"",_xlfn.XLOOKUP(CONCATENATE(A176,"_",AV176),'Reference-Proof pt impact flag'!$I$3:$I$1048576,'Reference-Proof pt impact flag'!$G$3:$G$1048576))</f>
        <v/>
      </c>
      <c r="BA176" s="74"/>
      <c r="BB176" s="74"/>
      <c r="BC176" s="74"/>
      <c r="BD176" s="74"/>
      <c r="BE176" s="74"/>
      <c r="BF176" s="74" t="e">
        <f>_xlfn.XLOOKUP(CONCATENATE(H176,"_",AV176),'Test 2 - Proof points - GPT5'!$T:$T,'Test 2 - Proof points - GPT5'!$S:$S)</f>
        <v>#N/A</v>
      </c>
      <c r="BG176" s="74" t="e">
        <f>_xlfn.XLOOKUP(CONCATENATE(H176,"_",AV176),'Test 2 -Proof points - Sonnet'!$AB:$AB,'Test 2 -Proof points - Sonnet'!$AA:$AA)</f>
        <v>#N/A</v>
      </c>
      <c r="BH176" s="74"/>
      <c r="BI176" s="74"/>
      <c r="BJ176" s="74" t="s">
        <v>1574</v>
      </c>
      <c r="BK176" s="30"/>
      <c r="BL176" s="30"/>
      <c r="BM176" s="30"/>
      <c r="BN176" s="30"/>
      <c r="BO176" s="30"/>
      <c r="BP176" s="30"/>
      <c r="BQ176" s="30"/>
      <c r="BR176" s="30"/>
      <c r="BS176" s="30"/>
      <c r="BT176" s="30"/>
      <c r="BU176" s="30"/>
      <c r="BV176" s="113"/>
    </row>
    <row r="177" spans="1:74" ht="217.5" hidden="1" x14ac:dyDescent="0.35">
      <c r="A177" s="22">
        <v>5</v>
      </c>
      <c r="B177" s="22" t="s">
        <v>1451</v>
      </c>
      <c r="C177" s="22" t="s">
        <v>1452</v>
      </c>
      <c r="D177" s="22" t="s">
        <v>1224</v>
      </c>
      <c r="E177" s="22" t="s">
        <v>1453</v>
      </c>
      <c r="F177" s="22"/>
      <c r="G177" s="22" t="s">
        <v>1274</v>
      </c>
      <c r="H177" s="21" t="s">
        <v>1281</v>
      </c>
      <c r="I177" s="22"/>
      <c r="J177" s="21" t="s">
        <v>1326</v>
      </c>
      <c r="K177" s="30"/>
      <c r="L177" s="30" t="s">
        <v>1239</v>
      </c>
      <c r="M177" s="35" t="str">
        <f>VLOOKUP(H177,'1_Value &amp; risk levers'!$H$9:$O$1048576,2,FALSE)</f>
        <v>Not undertaken</v>
      </c>
      <c r="N177" s="35" t="str">
        <f>VLOOKUP(H177,'1_Value &amp; risk levers'!$H$9:$O$1048576,3,FALSE)</f>
        <v>Initial stages of exploration, requires more work</v>
      </c>
      <c r="O177" s="35" t="str">
        <f>VLOOKUP(H177,'1_Value &amp; risk levers'!$H$9:$O$1048576,4,FALSE)</f>
        <v>Ad-hoc but frequent rationalization initiatives</v>
      </c>
      <c r="P177" s="35" t="str">
        <f>VLOOKUP(H177,'1_Value &amp; risk levers'!$H$9:$O$1048576,5,FALSE)</f>
        <v>Fully optimized methodology to review cost and simplicity periodically</v>
      </c>
      <c r="Q177" s="77">
        <f>IF(VLOOKUP(H177,'1_Value &amp; risk levers'!$H$9:$T$1048576,13,FALSE)=0,"",VLOOKUP(H177,'1_Value &amp; risk levers'!$H$9:$T$1048576,13,FALSE))</f>
        <v>4</v>
      </c>
      <c r="R177" s="128">
        <f t="shared" si="44"/>
        <v>2</v>
      </c>
      <c r="S177" s="128" t="e">
        <f t="shared" si="45"/>
        <v>#DIV/0!</v>
      </c>
      <c r="T177" s="77"/>
      <c r="U177" s="77"/>
      <c r="V177" s="55"/>
      <c r="W177" s="71">
        <v>0.04</v>
      </c>
      <c r="X177" s="71">
        <v>0.1</v>
      </c>
      <c r="Y177" s="71">
        <f>VLOOKUP(H177,'1_Value &amp; risk levers'!$H$9:$O$1048576,8,FALSE)</f>
        <v>0.8</v>
      </c>
      <c r="Z177" s="51">
        <f t="shared" si="46"/>
        <v>7.0000000000000007E-2</v>
      </c>
      <c r="AA177" s="51">
        <f t="shared" si="48"/>
        <v>8.5000000000000006E-2</v>
      </c>
      <c r="AB177" s="55">
        <f t="shared" si="49"/>
        <v>2800000.0000000005</v>
      </c>
      <c r="AC177" s="55">
        <f t="shared" si="50"/>
        <v>3400000.0000000005</v>
      </c>
      <c r="AD177" s="80">
        <f t="shared" si="51"/>
        <v>7</v>
      </c>
      <c r="AE177" s="84">
        <f t="shared" si="52"/>
        <v>0.48864540816326468</v>
      </c>
      <c r="AF177" s="71" t="str">
        <f t="shared" si="53"/>
        <v>Low</v>
      </c>
      <c r="AG177" s="84">
        <f t="shared" si="54"/>
        <v>5.9772908163265304E-2</v>
      </c>
      <c r="AH177" s="84">
        <f t="shared" si="55"/>
        <v>9.5227091836734709E-2</v>
      </c>
      <c r="AI177" s="73">
        <f t="shared" si="56"/>
        <v>2390916.3265306121</v>
      </c>
      <c r="AJ177" s="73">
        <f t="shared" si="57"/>
        <v>3809083.6734693884</v>
      </c>
      <c r="AK177" s="46">
        <f>VLOOKUP(H177,'1_Value &amp; risk levers'!$H$9:$O$1048576,6,FALSE)</f>
        <v>0.02</v>
      </c>
      <c r="AL177" s="46">
        <f>VLOOKUP(H177,'1_Value &amp; risk levers'!$H$9:$O$1048576,7,FALSE)</f>
        <v>0.03</v>
      </c>
      <c r="AM177" s="50">
        <f t="shared" si="58"/>
        <v>0.02</v>
      </c>
      <c r="AN177" s="72">
        <f t="shared" si="59"/>
        <v>9.3023255813953487E-2</v>
      </c>
      <c r="AO177" s="84">
        <f t="shared" si="60"/>
        <v>5.5602705268153769E-3</v>
      </c>
      <c r="AP177" s="84">
        <f t="shared" si="61"/>
        <v>8.858334124347415E-3</v>
      </c>
      <c r="AQ177" s="55">
        <f t="shared" si="62"/>
        <v>260465.1162790698</v>
      </c>
      <c r="AR177" s="55">
        <f t="shared" si="63"/>
        <v>316279.06976744189</v>
      </c>
      <c r="AS177" s="83">
        <f t="shared" si="47"/>
        <v>41</v>
      </c>
      <c r="AT177" s="50">
        <f t="shared" si="64"/>
        <v>3.75</v>
      </c>
      <c r="AU177" s="55" t="str">
        <f t="shared" si="65"/>
        <v>Low</v>
      </c>
      <c r="AV177" s="36" t="s">
        <v>1488</v>
      </c>
      <c r="AW177" s="110" t="s">
        <v>1489</v>
      </c>
      <c r="AX177" s="37" t="s">
        <v>1456</v>
      </c>
      <c r="AY177" s="27"/>
      <c r="AZ177" s="85" t="str">
        <f>IF(ISERROR(_xlfn.XLOOKUP(CONCATENATE(A177,"_",AV177),'Reference-Proof pt impact flag'!$I$3:$I$1048576,'Reference-Proof pt impact flag'!$G$3:$G$1048576)),"",_xlfn.XLOOKUP(CONCATENATE(A177,"_",AV177),'Reference-Proof pt impact flag'!$I$3:$I$1048576,'Reference-Proof pt impact flag'!$G$3:$G$1048576))</f>
        <v/>
      </c>
      <c r="BA177" s="74"/>
      <c r="BB177" s="74"/>
      <c r="BC177" s="74"/>
      <c r="BD177" s="74"/>
      <c r="BE177" s="74"/>
      <c r="BF177" s="74" t="e">
        <f>_xlfn.XLOOKUP(CONCATENATE(H177,"_",AV177),'Test 2 - Proof points - GPT5'!$T:$T,'Test 2 - Proof points - GPT5'!$S:$S)</f>
        <v>#N/A</v>
      </c>
      <c r="BG177" s="74" t="e">
        <f>_xlfn.XLOOKUP(CONCATENATE(H177,"_",AV177),'Test 2 -Proof points - Sonnet'!$AB:$AB,'Test 2 -Proof points - Sonnet'!$AA:$AA)</f>
        <v>#N/A</v>
      </c>
      <c r="BH177" s="74"/>
      <c r="BI177" s="74"/>
      <c r="BJ177" s="74" t="s">
        <v>1574</v>
      </c>
      <c r="BK177" s="30"/>
      <c r="BL177" s="30"/>
      <c r="BM177" s="30"/>
      <c r="BN177" s="30"/>
      <c r="BO177" s="30"/>
      <c r="BP177" s="30" t="s">
        <v>132</v>
      </c>
      <c r="BQ177" s="30"/>
      <c r="BR177" s="30"/>
      <c r="BS177" s="30"/>
      <c r="BT177" s="30"/>
      <c r="BU177" s="30"/>
      <c r="BV177" s="113"/>
    </row>
    <row r="178" spans="1:74" ht="217.5" hidden="1" x14ac:dyDescent="0.35">
      <c r="A178" s="22">
        <v>5</v>
      </c>
      <c r="B178" s="22" t="s">
        <v>1451</v>
      </c>
      <c r="C178" s="22" t="s">
        <v>1452</v>
      </c>
      <c r="D178" s="22" t="s">
        <v>1224</v>
      </c>
      <c r="E178" s="22" t="s">
        <v>1453</v>
      </c>
      <c r="F178" s="22"/>
      <c r="G178" s="22" t="s">
        <v>1274</v>
      </c>
      <c r="H178" s="21" t="s">
        <v>1281</v>
      </c>
      <c r="I178" s="22"/>
      <c r="J178" s="21" t="s">
        <v>1326</v>
      </c>
      <c r="K178" s="30"/>
      <c r="L178" s="30" t="s">
        <v>1239</v>
      </c>
      <c r="M178" s="35" t="str">
        <f>VLOOKUP(H178,'1_Value &amp; risk levers'!$H$9:$O$1048576,2,FALSE)</f>
        <v>Not undertaken</v>
      </c>
      <c r="N178" s="35" t="str">
        <f>VLOOKUP(H178,'1_Value &amp; risk levers'!$H$9:$O$1048576,3,FALSE)</f>
        <v>Initial stages of exploration, requires more work</v>
      </c>
      <c r="O178" s="35" t="str">
        <f>VLOOKUP(H178,'1_Value &amp; risk levers'!$H$9:$O$1048576,4,FALSE)</f>
        <v>Ad-hoc but frequent rationalization initiatives</v>
      </c>
      <c r="P178" s="35" t="str">
        <f>VLOOKUP(H178,'1_Value &amp; risk levers'!$H$9:$O$1048576,5,FALSE)</f>
        <v>Fully optimized methodology to review cost and simplicity periodically</v>
      </c>
      <c r="Q178" s="77">
        <f>IF(VLOOKUP(H178,'1_Value &amp; risk levers'!$H$9:$T$1048576,13,FALSE)=0,"",VLOOKUP(H178,'1_Value &amp; risk levers'!$H$9:$T$1048576,13,FALSE))</f>
        <v>4</v>
      </c>
      <c r="R178" s="128">
        <f t="shared" si="44"/>
        <v>2</v>
      </c>
      <c r="S178" s="128" t="e">
        <f t="shared" si="45"/>
        <v>#DIV/0!</v>
      </c>
      <c r="T178" s="77"/>
      <c r="U178" s="77"/>
      <c r="V178" s="55"/>
      <c r="W178" s="71">
        <v>0.04</v>
      </c>
      <c r="X178" s="71">
        <v>0.1</v>
      </c>
      <c r="Y178" s="71">
        <f>VLOOKUP(H178,'1_Value &amp; risk levers'!$H$9:$O$1048576,8,FALSE)</f>
        <v>0.8</v>
      </c>
      <c r="Z178" s="51">
        <f t="shared" si="46"/>
        <v>7.0000000000000007E-2</v>
      </c>
      <c r="AA178" s="51">
        <f t="shared" si="48"/>
        <v>8.5000000000000006E-2</v>
      </c>
      <c r="AB178" s="55">
        <f t="shared" si="49"/>
        <v>2800000.0000000005</v>
      </c>
      <c r="AC178" s="55">
        <f t="shared" si="50"/>
        <v>3400000.0000000005</v>
      </c>
      <c r="AD178" s="80">
        <f t="shared" si="51"/>
        <v>7</v>
      </c>
      <c r="AE178" s="84">
        <f t="shared" si="52"/>
        <v>0.48864540816326468</v>
      </c>
      <c r="AF178" s="71" t="str">
        <f t="shared" si="53"/>
        <v>Low</v>
      </c>
      <c r="AG178" s="84">
        <f t="shared" si="54"/>
        <v>5.9772908163265304E-2</v>
      </c>
      <c r="AH178" s="84">
        <f t="shared" si="55"/>
        <v>9.5227091836734709E-2</v>
      </c>
      <c r="AI178" s="73">
        <f t="shared" si="56"/>
        <v>2390916.3265306121</v>
      </c>
      <c r="AJ178" s="73">
        <f t="shared" si="57"/>
        <v>3809083.6734693884</v>
      </c>
      <c r="AK178" s="46">
        <f>VLOOKUP(H178,'1_Value &amp; risk levers'!$H$9:$O$1048576,6,FALSE)</f>
        <v>0.02</v>
      </c>
      <c r="AL178" s="46">
        <f>VLOOKUP(H178,'1_Value &amp; risk levers'!$H$9:$O$1048576,7,FALSE)</f>
        <v>0.03</v>
      </c>
      <c r="AM178" s="50">
        <f t="shared" si="58"/>
        <v>0.02</v>
      </c>
      <c r="AN178" s="72">
        <f t="shared" si="59"/>
        <v>9.3023255813953487E-2</v>
      </c>
      <c r="AO178" s="84">
        <f t="shared" si="60"/>
        <v>5.5602705268153769E-3</v>
      </c>
      <c r="AP178" s="84">
        <f t="shared" si="61"/>
        <v>8.858334124347415E-3</v>
      </c>
      <c r="AQ178" s="55">
        <f t="shared" si="62"/>
        <v>260465.1162790698</v>
      </c>
      <c r="AR178" s="55">
        <f t="shared" si="63"/>
        <v>316279.06976744189</v>
      </c>
      <c r="AS178" s="83">
        <f t="shared" si="47"/>
        <v>41</v>
      </c>
      <c r="AT178" s="50">
        <f t="shared" si="64"/>
        <v>3.75</v>
      </c>
      <c r="AU178" s="55" t="str">
        <f t="shared" si="65"/>
        <v>Low</v>
      </c>
      <c r="AV178" s="36" t="s">
        <v>1490</v>
      </c>
      <c r="AW178" s="110" t="s">
        <v>1491</v>
      </c>
      <c r="AX178" s="37" t="s">
        <v>1456</v>
      </c>
      <c r="AY178" s="30"/>
      <c r="AZ178" s="85" t="str">
        <f>IF(ISERROR(_xlfn.XLOOKUP(CONCATENATE(A178,"_",AV178),'Reference-Proof pt impact flag'!$I$3:$I$1048576,'Reference-Proof pt impact flag'!$G$3:$G$1048576)),"",_xlfn.XLOOKUP(CONCATENATE(A178,"_",AV178),'Reference-Proof pt impact flag'!$I$3:$I$1048576,'Reference-Proof pt impact flag'!$G$3:$G$1048576))</f>
        <v/>
      </c>
      <c r="BA178" s="74"/>
      <c r="BB178" s="74"/>
      <c r="BC178" s="74"/>
      <c r="BD178" s="74"/>
      <c r="BE178" s="74"/>
      <c r="BF178" s="74" t="e">
        <f>_xlfn.XLOOKUP(CONCATENATE(H178,"_",AV178),'Test 2 - Proof points - GPT5'!$T:$T,'Test 2 - Proof points - GPT5'!$S:$S)</f>
        <v>#N/A</v>
      </c>
      <c r="BG178" s="74" t="e">
        <f>_xlfn.XLOOKUP(CONCATENATE(H178,"_",AV178),'Test 2 -Proof points - Sonnet'!$AB:$AB,'Test 2 -Proof points - Sonnet'!$AA:$AA)</f>
        <v>#N/A</v>
      </c>
      <c r="BH178" s="74"/>
      <c r="BI178" s="74"/>
      <c r="BJ178" s="74" t="s">
        <v>1574</v>
      </c>
      <c r="BK178" s="30"/>
      <c r="BL178" s="30"/>
      <c r="BM178" s="30"/>
      <c r="BN178" s="30"/>
      <c r="BO178" s="30"/>
      <c r="BP178" s="30"/>
      <c r="BQ178" s="30"/>
      <c r="BR178" s="30"/>
      <c r="BS178" s="30"/>
      <c r="BT178" s="30"/>
      <c r="BU178" s="30"/>
      <c r="BV178" s="113"/>
    </row>
    <row r="179" spans="1:74" ht="217.5" hidden="1" x14ac:dyDescent="0.35">
      <c r="A179" s="22">
        <v>5</v>
      </c>
      <c r="B179" s="22" t="s">
        <v>1451</v>
      </c>
      <c r="C179" s="22" t="s">
        <v>1452</v>
      </c>
      <c r="D179" s="22" t="s">
        <v>1224</v>
      </c>
      <c r="E179" s="22" t="s">
        <v>1453</v>
      </c>
      <c r="F179" s="22"/>
      <c r="G179" s="22" t="s">
        <v>1274</v>
      </c>
      <c r="H179" s="21" t="s">
        <v>1281</v>
      </c>
      <c r="I179" s="22"/>
      <c r="J179" s="21" t="s">
        <v>1326</v>
      </c>
      <c r="K179" s="30"/>
      <c r="L179" s="30" t="s">
        <v>1239</v>
      </c>
      <c r="M179" s="35" t="str">
        <f>VLOOKUP(H179,'1_Value &amp; risk levers'!$H$9:$O$1048576,2,FALSE)</f>
        <v>Not undertaken</v>
      </c>
      <c r="N179" s="35" t="str">
        <f>VLOOKUP(H179,'1_Value &amp; risk levers'!$H$9:$O$1048576,3,FALSE)</f>
        <v>Initial stages of exploration, requires more work</v>
      </c>
      <c r="O179" s="35" t="str">
        <f>VLOOKUP(H179,'1_Value &amp; risk levers'!$H$9:$O$1048576,4,FALSE)</f>
        <v>Ad-hoc but frequent rationalization initiatives</v>
      </c>
      <c r="P179" s="35" t="str">
        <f>VLOOKUP(H179,'1_Value &amp; risk levers'!$H$9:$O$1048576,5,FALSE)</f>
        <v>Fully optimized methodology to review cost and simplicity periodically</v>
      </c>
      <c r="Q179" s="77">
        <f>IF(VLOOKUP(H179,'1_Value &amp; risk levers'!$H$9:$T$1048576,13,FALSE)=0,"",VLOOKUP(H179,'1_Value &amp; risk levers'!$H$9:$T$1048576,13,FALSE))</f>
        <v>4</v>
      </c>
      <c r="R179" s="128">
        <f t="shared" si="44"/>
        <v>2</v>
      </c>
      <c r="S179" s="128" t="e">
        <f t="shared" si="45"/>
        <v>#DIV/0!</v>
      </c>
      <c r="T179" s="77"/>
      <c r="U179" s="77"/>
      <c r="V179" s="55"/>
      <c r="W179" s="71">
        <v>0.04</v>
      </c>
      <c r="X179" s="71">
        <v>0.1</v>
      </c>
      <c r="Y179" s="71">
        <f>VLOOKUP(H179,'1_Value &amp; risk levers'!$H$9:$O$1048576,8,FALSE)</f>
        <v>0.8</v>
      </c>
      <c r="Z179" s="51">
        <f t="shared" si="46"/>
        <v>7.0000000000000007E-2</v>
      </c>
      <c r="AA179" s="51">
        <f t="shared" si="48"/>
        <v>8.5000000000000006E-2</v>
      </c>
      <c r="AB179" s="55">
        <f t="shared" si="49"/>
        <v>2800000.0000000005</v>
      </c>
      <c r="AC179" s="55">
        <f t="shared" si="50"/>
        <v>3400000.0000000005</v>
      </c>
      <c r="AD179" s="80">
        <f t="shared" si="51"/>
        <v>7</v>
      </c>
      <c r="AE179" s="84">
        <f t="shared" si="52"/>
        <v>0.48864540816326468</v>
      </c>
      <c r="AF179" s="71" t="str">
        <f t="shared" si="53"/>
        <v>Low</v>
      </c>
      <c r="AG179" s="84">
        <f t="shared" si="54"/>
        <v>5.9772908163265304E-2</v>
      </c>
      <c r="AH179" s="84">
        <f t="shared" si="55"/>
        <v>9.5227091836734709E-2</v>
      </c>
      <c r="AI179" s="73">
        <f t="shared" si="56"/>
        <v>2390916.3265306121</v>
      </c>
      <c r="AJ179" s="73">
        <f t="shared" si="57"/>
        <v>3809083.6734693884</v>
      </c>
      <c r="AK179" s="46">
        <f>VLOOKUP(H179,'1_Value &amp; risk levers'!$H$9:$O$1048576,6,FALSE)</f>
        <v>0.02</v>
      </c>
      <c r="AL179" s="46">
        <f>VLOOKUP(H179,'1_Value &amp; risk levers'!$H$9:$O$1048576,7,FALSE)</f>
        <v>0.03</v>
      </c>
      <c r="AM179" s="50">
        <f t="shared" si="58"/>
        <v>0.02</v>
      </c>
      <c r="AN179" s="72">
        <f t="shared" si="59"/>
        <v>9.3023255813953487E-2</v>
      </c>
      <c r="AO179" s="84">
        <f t="shared" si="60"/>
        <v>5.5602705268153769E-3</v>
      </c>
      <c r="AP179" s="84">
        <f t="shared" si="61"/>
        <v>8.858334124347415E-3</v>
      </c>
      <c r="AQ179" s="55">
        <f t="shared" si="62"/>
        <v>260465.1162790698</v>
      </c>
      <c r="AR179" s="55">
        <f t="shared" si="63"/>
        <v>316279.06976744189</v>
      </c>
      <c r="AS179" s="83">
        <f t="shared" si="47"/>
        <v>41</v>
      </c>
      <c r="AT179" s="50">
        <f t="shared" si="64"/>
        <v>3.75</v>
      </c>
      <c r="AU179" s="55" t="str">
        <f t="shared" si="65"/>
        <v>Low</v>
      </c>
      <c r="AV179" s="34" t="s">
        <v>1492</v>
      </c>
      <c r="AW179" s="112" t="s">
        <v>1538</v>
      </c>
      <c r="AX179" s="30" t="s">
        <v>1493</v>
      </c>
      <c r="AY179" s="30"/>
      <c r="AZ179" s="85" t="str">
        <f>IF(ISERROR(_xlfn.XLOOKUP(CONCATENATE(A179,"_",AV179),'Reference-Proof pt impact flag'!$I$3:$I$1048576,'Reference-Proof pt impact flag'!$G$3:$G$1048576)),"",_xlfn.XLOOKUP(CONCATENATE(A179,"_",AV179),'Reference-Proof pt impact flag'!$I$3:$I$1048576,'Reference-Proof pt impact flag'!$G$3:$G$1048576))</f>
        <v/>
      </c>
      <c r="BA179" s="74"/>
      <c r="BB179" s="74"/>
      <c r="BC179" s="74"/>
      <c r="BD179" s="74"/>
      <c r="BE179" s="74"/>
      <c r="BF179" s="74" t="e">
        <f>_xlfn.XLOOKUP(CONCATENATE(H179,"_",AV179),'Test 2 - Proof points - GPT5'!$T:$T,'Test 2 - Proof points - GPT5'!$S:$S)</f>
        <v>#N/A</v>
      </c>
      <c r="BG179" s="74" t="e">
        <f>_xlfn.XLOOKUP(CONCATENATE(H179,"_",AV179),'Test 2 -Proof points - Sonnet'!$AB:$AB,'Test 2 -Proof points - Sonnet'!$AA:$AA)</f>
        <v>#N/A</v>
      </c>
      <c r="BH179" s="74"/>
      <c r="BI179" s="74"/>
      <c r="BJ179" s="74" t="s">
        <v>1574</v>
      </c>
      <c r="BK179" s="30"/>
      <c r="BL179" s="30"/>
      <c r="BM179" s="30"/>
      <c r="BN179" s="30"/>
      <c r="BO179" s="30"/>
      <c r="BP179" s="30"/>
      <c r="BQ179" s="30"/>
      <c r="BR179" s="30"/>
      <c r="BS179" s="30"/>
      <c r="BT179" s="30"/>
      <c r="BU179" s="30"/>
      <c r="BV179" s="113"/>
    </row>
    <row r="180" spans="1:74" ht="217.5" hidden="1" x14ac:dyDescent="0.35">
      <c r="A180" s="22">
        <v>5</v>
      </c>
      <c r="B180" s="22" t="s">
        <v>1451</v>
      </c>
      <c r="C180" s="22" t="s">
        <v>1452</v>
      </c>
      <c r="D180" s="22" t="s">
        <v>1224</v>
      </c>
      <c r="E180" s="22" t="s">
        <v>1453</v>
      </c>
      <c r="F180" s="22"/>
      <c r="G180" s="22" t="s">
        <v>1274</v>
      </c>
      <c r="H180" s="21" t="s">
        <v>1281</v>
      </c>
      <c r="I180" s="22"/>
      <c r="J180" s="21" t="s">
        <v>1326</v>
      </c>
      <c r="K180" s="30"/>
      <c r="L180" s="30" t="s">
        <v>1239</v>
      </c>
      <c r="M180" s="35" t="str">
        <f>VLOOKUP(H180,'1_Value &amp; risk levers'!$H$9:$O$1048576,2,FALSE)</f>
        <v>Not undertaken</v>
      </c>
      <c r="N180" s="35" t="str">
        <f>VLOOKUP(H180,'1_Value &amp; risk levers'!$H$9:$O$1048576,3,FALSE)</f>
        <v>Initial stages of exploration, requires more work</v>
      </c>
      <c r="O180" s="35" t="str">
        <f>VLOOKUP(H180,'1_Value &amp; risk levers'!$H$9:$O$1048576,4,FALSE)</f>
        <v>Ad-hoc but frequent rationalization initiatives</v>
      </c>
      <c r="P180" s="35" t="str">
        <f>VLOOKUP(H180,'1_Value &amp; risk levers'!$H$9:$O$1048576,5,FALSE)</f>
        <v>Fully optimized methodology to review cost and simplicity periodically</v>
      </c>
      <c r="Q180" s="77">
        <f>IF(VLOOKUP(H180,'1_Value &amp; risk levers'!$H$9:$T$1048576,13,FALSE)=0,"",VLOOKUP(H180,'1_Value &amp; risk levers'!$H$9:$T$1048576,13,FALSE))</f>
        <v>4</v>
      </c>
      <c r="R180" s="128">
        <f t="shared" si="44"/>
        <v>2</v>
      </c>
      <c r="S180" s="128" t="e">
        <f t="shared" si="45"/>
        <v>#DIV/0!</v>
      </c>
      <c r="T180" s="77"/>
      <c r="U180" s="77"/>
      <c r="V180" s="55"/>
      <c r="W180" s="71">
        <v>0.04</v>
      </c>
      <c r="X180" s="71">
        <v>0.1</v>
      </c>
      <c r="Y180" s="71">
        <f>VLOOKUP(H180,'1_Value &amp; risk levers'!$H$9:$O$1048576,8,FALSE)</f>
        <v>0.8</v>
      </c>
      <c r="Z180" s="51">
        <f t="shared" si="46"/>
        <v>7.0000000000000007E-2</v>
      </c>
      <c r="AA180" s="51">
        <f t="shared" si="48"/>
        <v>8.5000000000000006E-2</v>
      </c>
      <c r="AB180" s="55">
        <f t="shared" si="49"/>
        <v>2800000.0000000005</v>
      </c>
      <c r="AC180" s="55">
        <f t="shared" si="50"/>
        <v>3400000.0000000005</v>
      </c>
      <c r="AD180" s="80">
        <f t="shared" si="51"/>
        <v>7</v>
      </c>
      <c r="AE180" s="84">
        <f t="shared" si="52"/>
        <v>0.48864540816326468</v>
      </c>
      <c r="AF180" s="71" t="str">
        <f t="shared" si="53"/>
        <v>Low</v>
      </c>
      <c r="AG180" s="84">
        <f t="shared" si="54"/>
        <v>5.9772908163265304E-2</v>
      </c>
      <c r="AH180" s="84">
        <f t="shared" si="55"/>
        <v>9.5227091836734709E-2</v>
      </c>
      <c r="AI180" s="73">
        <f t="shared" si="56"/>
        <v>2390916.3265306121</v>
      </c>
      <c r="AJ180" s="73">
        <f t="shared" si="57"/>
        <v>3809083.6734693884</v>
      </c>
      <c r="AK180" s="46">
        <f>VLOOKUP(H180,'1_Value &amp; risk levers'!$H$9:$O$1048576,6,FALSE)</f>
        <v>0.02</v>
      </c>
      <c r="AL180" s="46">
        <f>VLOOKUP(H180,'1_Value &amp; risk levers'!$H$9:$O$1048576,7,FALSE)</f>
        <v>0.03</v>
      </c>
      <c r="AM180" s="50">
        <f t="shared" si="58"/>
        <v>0.02</v>
      </c>
      <c r="AN180" s="72">
        <f t="shared" si="59"/>
        <v>9.3023255813953487E-2</v>
      </c>
      <c r="AO180" s="84">
        <f t="shared" si="60"/>
        <v>5.5602705268153769E-3</v>
      </c>
      <c r="AP180" s="84">
        <f t="shared" si="61"/>
        <v>8.858334124347415E-3</v>
      </c>
      <c r="AQ180" s="55">
        <f t="shared" si="62"/>
        <v>260465.1162790698</v>
      </c>
      <c r="AR180" s="55">
        <f t="shared" si="63"/>
        <v>316279.06976744189</v>
      </c>
      <c r="AS180" s="83">
        <f t="shared" si="47"/>
        <v>41</v>
      </c>
      <c r="AT180" s="50">
        <f t="shared" si="64"/>
        <v>3.75</v>
      </c>
      <c r="AU180" s="55" t="str">
        <f t="shared" si="65"/>
        <v>Low</v>
      </c>
      <c r="AV180" s="34" t="s">
        <v>1494</v>
      </c>
      <c r="AW180" s="112" t="s">
        <v>1539</v>
      </c>
      <c r="AX180" s="30" t="s">
        <v>1493</v>
      </c>
      <c r="AY180" s="30"/>
      <c r="AZ180" s="85" t="str">
        <f>IF(ISERROR(_xlfn.XLOOKUP(CONCATENATE(A180,"_",AV180),'Reference-Proof pt impact flag'!$I$3:$I$1048576,'Reference-Proof pt impact flag'!$G$3:$G$1048576)),"",_xlfn.XLOOKUP(CONCATENATE(A180,"_",AV180),'Reference-Proof pt impact flag'!$I$3:$I$1048576,'Reference-Proof pt impact flag'!$G$3:$G$1048576))</f>
        <v/>
      </c>
      <c r="BA180" s="74"/>
      <c r="BB180" s="74"/>
      <c r="BC180" s="74"/>
      <c r="BD180" s="74"/>
      <c r="BE180" s="74"/>
      <c r="BF180" s="74" t="e">
        <f>_xlfn.XLOOKUP(CONCATENATE(H180,"_",AV180),'Test 2 - Proof points - GPT5'!$T:$T,'Test 2 - Proof points - GPT5'!$S:$S)</f>
        <v>#N/A</v>
      </c>
      <c r="BG180" s="74" t="e">
        <f>_xlfn.XLOOKUP(CONCATENATE(H180,"_",AV180),'Test 2 -Proof points - Sonnet'!$AB:$AB,'Test 2 -Proof points - Sonnet'!$AA:$AA)</f>
        <v>#N/A</v>
      </c>
      <c r="BH180" s="74"/>
      <c r="BI180" s="74"/>
      <c r="BJ180" s="74" t="s">
        <v>1574</v>
      </c>
      <c r="BK180" s="30"/>
      <c r="BL180" s="30"/>
      <c r="BM180" s="30"/>
      <c r="BN180" s="30"/>
      <c r="BO180" s="30"/>
      <c r="BP180" s="30"/>
      <c r="BQ180" s="30"/>
      <c r="BR180" s="30"/>
      <c r="BS180" s="30"/>
      <c r="BT180" s="30"/>
      <c r="BU180" s="30"/>
      <c r="BV180" s="113"/>
    </row>
    <row r="181" spans="1:74" ht="217.5" hidden="1" x14ac:dyDescent="0.35">
      <c r="A181" s="22">
        <v>5</v>
      </c>
      <c r="B181" s="22" t="s">
        <v>1451</v>
      </c>
      <c r="C181" s="22" t="s">
        <v>1452</v>
      </c>
      <c r="D181" s="22" t="s">
        <v>1224</v>
      </c>
      <c r="E181" s="22" t="s">
        <v>1453</v>
      </c>
      <c r="F181" s="22"/>
      <c r="G181" s="22" t="s">
        <v>1274</v>
      </c>
      <c r="H181" s="21" t="s">
        <v>1281</v>
      </c>
      <c r="I181" s="22"/>
      <c r="J181" s="21" t="s">
        <v>1326</v>
      </c>
      <c r="K181" s="30"/>
      <c r="L181" s="30" t="s">
        <v>1239</v>
      </c>
      <c r="M181" s="35" t="str">
        <f>VLOOKUP(H181,'1_Value &amp; risk levers'!$H$9:$O$1048576,2,FALSE)</f>
        <v>Not undertaken</v>
      </c>
      <c r="N181" s="35" t="str">
        <f>VLOOKUP(H181,'1_Value &amp; risk levers'!$H$9:$O$1048576,3,FALSE)</f>
        <v>Initial stages of exploration, requires more work</v>
      </c>
      <c r="O181" s="35" t="str">
        <f>VLOOKUP(H181,'1_Value &amp; risk levers'!$H$9:$O$1048576,4,FALSE)</f>
        <v>Ad-hoc but frequent rationalization initiatives</v>
      </c>
      <c r="P181" s="35" t="str">
        <f>VLOOKUP(H181,'1_Value &amp; risk levers'!$H$9:$O$1048576,5,FALSE)</f>
        <v>Fully optimized methodology to review cost and simplicity periodically</v>
      </c>
      <c r="Q181" s="77">
        <f>IF(VLOOKUP(H181,'1_Value &amp; risk levers'!$H$9:$T$1048576,13,FALSE)=0,"",VLOOKUP(H181,'1_Value &amp; risk levers'!$H$9:$T$1048576,13,FALSE))</f>
        <v>4</v>
      </c>
      <c r="R181" s="128">
        <f t="shared" si="44"/>
        <v>2</v>
      </c>
      <c r="S181" s="128" t="e">
        <f t="shared" si="45"/>
        <v>#DIV/0!</v>
      </c>
      <c r="T181" s="77"/>
      <c r="U181" s="77"/>
      <c r="V181" s="55"/>
      <c r="W181" s="71">
        <v>0.04</v>
      </c>
      <c r="X181" s="71">
        <v>0.1</v>
      </c>
      <c r="Y181" s="71">
        <f>VLOOKUP(H181,'1_Value &amp; risk levers'!$H$9:$O$1048576,8,FALSE)</f>
        <v>0.8</v>
      </c>
      <c r="Z181" s="51">
        <f t="shared" si="46"/>
        <v>7.0000000000000007E-2</v>
      </c>
      <c r="AA181" s="51">
        <f t="shared" si="48"/>
        <v>8.5000000000000006E-2</v>
      </c>
      <c r="AB181" s="55">
        <f t="shared" si="49"/>
        <v>2800000.0000000005</v>
      </c>
      <c r="AC181" s="55">
        <f t="shared" si="50"/>
        <v>3400000.0000000005</v>
      </c>
      <c r="AD181" s="80">
        <f t="shared" si="51"/>
        <v>7</v>
      </c>
      <c r="AE181" s="84">
        <f t="shared" si="52"/>
        <v>0.48864540816326468</v>
      </c>
      <c r="AF181" s="71" t="str">
        <f t="shared" si="53"/>
        <v>Low</v>
      </c>
      <c r="AG181" s="84">
        <f t="shared" si="54"/>
        <v>5.9772908163265304E-2</v>
      </c>
      <c r="AH181" s="84">
        <f t="shared" si="55"/>
        <v>9.5227091836734709E-2</v>
      </c>
      <c r="AI181" s="73">
        <f t="shared" si="56"/>
        <v>2390916.3265306121</v>
      </c>
      <c r="AJ181" s="73">
        <f t="shared" si="57"/>
        <v>3809083.6734693884</v>
      </c>
      <c r="AK181" s="46">
        <f>VLOOKUP(H181,'1_Value &amp; risk levers'!$H$9:$O$1048576,6,FALSE)</f>
        <v>0.02</v>
      </c>
      <c r="AL181" s="46">
        <f>VLOOKUP(H181,'1_Value &amp; risk levers'!$H$9:$O$1048576,7,FALSE)</f>
        <v>0.03</v>
      </c>
      <c r="AM181" s="50">
        <f t="shared" si="58"/>
        <v>0.02</v>
      </c>
      <c r="AN181" s="72">
        <f t="shared" si="59"/>
        <v>9.3023255813953487E-2</v>
      </c>
      <c r="AO181" s="84">
        <f t="shared" si="60"/>
        <v>5.5602705268153769E-3</v>
      </c>
      <c r="AP181" s="84">
        <f t="shared" si="61"/>
        <v>8.858334124347415E-3</v>
      </c>
      <c r="AQ181" s="55">
        <f t="shared" si="62"/>
        <v>260465.1162790698</v>
      </c>
      <c r="AR181" s="55">
        <f t="shared" si="63"/>
        <v>316279.06976744189</v>
      </c>
      <c r="AS181" s="83">
        <f t="shared" si="47"/>
        <v>41</v>
      </c>
      <c r="AT181" s="50">
        <f t="shared" si="64"/>
        <v>3.75</v>
      </c>
      <c r="AU181" s="55" t="str">
        <f t="shared" si="65"/>
        <v>Low</v>
      </c>
      <c r="AV181" s="34" t="s">
        <v>1495</v>
      </c>
      <c r="AW181" s="111"/>
      <c r="AX181" s="30" t="s">
        <v>1493</v>
      </c>
      <c r="AY181" s="30"/>
      <c r="AZ181" s="85" t="str">
        <f>IF(ISERROR(_xlfn.XLOOKUP(CONCATENATE(A181,"_",AV181),'Reference-Proof pt impact flag'!$I$3:$I$1048576,'Reference-Proof pt impact flag'!$G$3:$G$1048576)),"",_xlfn.XLOOKUP(CONCATENATE(A181,"_",AV181),'Reference-Proof pt impact flag'!$I$3:$I$1048576,'Reference-Proof pt impact flag'!$G$3:$G$1048576))</f>
        <v/>
      </c>
      <c r="BA181" s="74"/>
      <c r="BB181" s="74"/>
      <c r="BC181" s="74"/>
      <c r="BD181" s="74"/>
      <c r="BE181" s="74"/>
      <c r="BF181" s="74" t="e">
        <f>_xlfn.XLOOKUP(CONCATENATE(H181,"_",AV181),'Test 2 - Proof points - GPT5'!$T:$T,'Test 2 - Proof points - GPT5'!$S:$S)</f>
        <v>#N/A</v>
      </c>
      <c r="BG181" s="74" t="e">
        <f>_xlfn.XLOOKUP(CONCATENATE(H181,"_",AV181),'Test 2 -Proof points - Sonnet'!$AB:$AB,'Test 2 -Proof points - Sonnet'!$AA:$AA)</f>
        <v>#N/A</v>
      </c>
      <c r="BH181" s="74"/>
      <c r="BI181" s="74"/>
      <c r="BJ181" s="74" t="s">
        <v>1574</v>
      </c>
      <c r="BK181" s="30"/>
      <c r="BL181" s="30"/>
      <c r="BM181" s="30"/>
      <c r="BN181" s="30"/>
      <c r="BO181" s="30"/>
      <c r="BP181" s="30"/>
      <c r="BQ181" s="30"/>
      <c r="BR181" s="30"/>
      <c r="BS181" s="30"/>
      <c r="BT181" s="30"/>
      <c r="BU181" s="30"/>
      <c r="BV181" s="113"/>
    </row>
    <row r="182" spans="1:74" ht="217.5" hidden="1" x14ac:dyDescent="0.35">
      <c r="A182" s="22">
        <v>5</v>
      </c>
      <c r="B182" s="22" t="s">
        <v>1451</v>
      </c>
      <c r="C182" s="22" t="s">
        <v>1452</v>
      </c>
      <c r="D182" s="22" t="s">
        <v>1224</v>
      </c>
      <c r="E182" s="22" t="s">
        <v>1453</v>
      </c>
      <c r="F182" s="22"/>
      <c r="G182" s="22" t="s">
        <v>1274</v>
      </c>
      <c r="H182" s="21" t="s">
        <v>1281</v>
      </c>
      <c r="I182" s="22"/>
      <c r="J182" s="21" t="s">
        <v>1326</v>
      </c>
      <c r="K182" s="30"/>
      <c r="L182" s="30" t="s">
        <v>1239</v>
      </c>
      <c r="M182" s="35" t="str">
        <f>VLOOKUP(H182,'1_Value &amp; risk levers'!$H$9:$O$1048576,2,FALSE)</f>
        <v>Not undertaken</v>
      </c>
      <c r="N182" s="35" t="str">
        <f>VLOOKUP(H182,'1_Value &amp; risk levers'!$H$9:$O$1048576,3,FALSE)</f>
        <v>Initial stages of exploration, requires more work</v>
      </c>
      <c r="O182" s="35" t="str">
        <f>VLOOKUP(H182,'1_Value &amp; risk levers'!$H$9:$O$1048576,4,FALSE)</f>
        <v>Ad-hoc but frequent rationalization initiatives</v>
      </c>
      <c r="P182" s="35" t="str">
        <f>VLOOKUP(H182,'1_Value &amp; risk levers'!$H$9:$O$1048576,5,FALSE)</f>
        <v>Fully optimized methodology to review cost and simplicity periodically</v>
      </c>
      <c r="Q182" s="77">
        <f>IF(VLOOKUP(H182,'1_Value &amp; risk levers'!$H$9:$T$1048576,13,FALSE)=0,"",VLOOKUP(H182,'1_Value &amp; risk levers'!$H$9:$T$1048576,13,FALSE))</f>
        <v>4</v>
      </c>
      <c r="R182" s="128">
        <f t="shared" si="44"/>
        <v>2</v>
      </c>
      <c r="S182" s="128" t="e">
        <f t="shared" si="45"/>
        <v>#DIV/0!</v>
      </c>
      <c r="T182" s="77"/>
      <c r="U182" s="77"/>
      <c r="V182" s="55"/>
      <c r="W182" s="71">
        <v>0.04</v>
      </c>
      <c r="X182" s="71">
        <v>0.1</v>
      </c>
      <c r="Y182" s="71">
        <f>VLOOKUP(H182,'1_Value &amp; risk levers'!$H$9:$O$1048576,8,FALSE)</f>
        <v>0.8</v>
      </c>
      <c r="Z182" s="51">
        <f t="shared" si="46"/>
        <v>7.0000000000000007E-2</v>
      </c>
      <c r="AA182" s="51">
        <f t="shared" si="48"/>
        <v>8.5000000000000006E-2</v>
      </c>
      <c r="AB182" s="55">
        <f t="shared" si="49"/>
        <v>2800000.0000000005</v>
      </c>
      <c r="AC182" s="55">
        <f t="shared" si="50"/>
        <v>3400000.0000000005</v>
      </c>
      <c r="AD182" s="80">
        <f t="shared" si="51"/>
        <v>7</v>
      </c>
      <c r="AE182" s="84">
        <f t="shared" si="52"/>
        <v>0.48864540816326468</v>
      </c>
      <c r="AF182" s="71" t="str">
        <f t="shared" si="53"/>
        <v>Low</v>
      </c>
      <c r="AG182" s="84">
        <f t="shared" si="54"/>
        <v>5.9772908163265304E-2</v>
      </c>
      <c r="AH182" s="84">
        <f t="shared" si="55"/>
        <v>9.5227091836734709E-2</v>
      </c>
      <c r="AI182" s="73">
        <f t="shared" si="56"/>
        <v>2390916.3265306121</v>
      </c>
      <c r="AJ182" s="73">
        <f t="shared" si="57"/>
        <v>3809083.6734693884</v>
      </c>
      <c r="AK182" s="46">
        <f>VLOOKUP(H182,'1_Value &amp; risk levers'!$H$9:$O$1048576,6,FALSE)</f>
        <v>0.02</v>
      </c>
      <c r="AL182" s="46">
        <f>VLOOKUP(H182,'1_Value &amp; risk levers'!$H$9:$O$1048576,7,FALSE)</f>
        <v>0.03</v>
      </c>
      <c r="AM182" s="50">
        <f t="shared" si="58"/>
        <v>0.02</v>
      </c>
      <c r="AN182" s="72">
        <f t="shared" si="59"/>
        <v>9.3023255813953487E-2</v>
      </c>
      <c r="AO182" s="84">
        <f t="shared" si="60"/>
        <v>5.5602705268153769E-3</v>
      </c>
      <c r="AP182" s="84">
        <f t="shared" si="61"/>
        <v>8.858334124347415E-3</v>
      </c>
      <c r="AQ182" s="55">
        <f t="shared" si="62"/>
        <v>260465.1162790698</v>
      </c>
      <c r="AR182" s="55">
        <f t="shared" si="63"/>
        <v>316279.06976744189</v>
      </c>
      <c r="AS182" s="83">
        <f t="shared" si="47"/>
        <v>41</v>
      </c>
      <c r="AT182" s="50">
        <f t="shared" si="64"/>
        <v>3.75</v>
      </c>
      <c r="AU182" s="55" t="str">
        <f t="shared" si="65"/>
        <v>Low</v>
      </c>
      <c r="AV182" s="34" t="s">
        <v>1496</v>
      </c>
      <c r="AW182" s="111"/>
      <c r="AX182" s="30" t="s">
        <v>1493</v>
      </c>
      <c r="AY182" s="30"/>
      <c r="AZ182" s="85" t="str">
        <f>IF(ISERROR(_xlfn.XLOOKUP(CONCATENATE(A182,"_",AV182),'Reference-Proof pt impact flag'!$I$3:$I$1048576,'Reference-Proof pt impact flag'!$G$3:$G$1048576)),"",_xlfn.XLOOKUP(CONCATENATE(A182,"_",AV182),'Reference-Proof pt impact flag'!$I$3:$I$1048576,'Reference-Proof pt impact flag'!$G$3:$G$1048576))</f>
        <v/>
      </c>
      <c r="BA182" s="74"/>
      <c r="BB182" s="74"/>
      <c r="BC182" s="74"/>
      <c r="BD182" s="74"/>
      <c r="BE182" s="74"/>
      <c r="BF182" s="74" t="e">
        <f>_xlfn.XLOOKUP(CONCATENATE(H182,"_",AV182),'Test 2 - Proof points - GPT5'!$T:$T,'Test 2 - Proof points - GPT5'!$S:$S)</f>
        <v>#N/A</v>
      </c>
      <c r="BG182" s="74" t="e">
        <f>_xlfn.XLOOKUP(CONCATENATE(H182,"_",AV182),'Test 2 -Proof points - Sonnet'!$AB:$AB,'Test 2 -Proof points - Sonnet'!$AA:$AA)</f>
        <v>#N/A</v>
      </c>
      <c r="BH182" s="74"/>
      <c r="BI182" s="74"/>
      <c r="BJ182" s="74" t="s">
        <v>1574</v>
      </c>
      <c r="BK182" s="30"/>
      <c r="BL182" s="30"/>
      <c r="BM182" s="30"/>
      <c r="BN182" s="30"/>
      <c r="BO182" s="30"/>
      <c r="BP182" s="30"/>
      <c r="BQ182" s="30"/>
      <c r="BR182" s="30"/>
      <c r="BS182" s="30"/>
      <c r="BT182" s="30"/>
      <c r="BU182" s="30"/>
      <c r="BV182" s="113"/>
    </row>
    <row r="183" spans="1:74" ht="217.5" hidden="1" x14ac:dyDescent="0.35">
      <c r="A183" s="22">
        <v>5</v>
      </c>
      <c r="B183" s="22" t="s">
        <v>1451</v>
      </c>
      <c r="C183" s="22" t="s">
        <v>1452</v>
      </c>
      <c r="D183" s="22" t="s">
        <v>1224</v>
      </c>
      <c r="E183" s="22" t="s">
        <v>1453</v>
      </c>
      <c r="F183" s="22"/>
      <c r="G183" s="22" t="s">
        <v>1274</v>
      </c>
      <c r="H183" s="21" t="s">
        <v>1281</v>
      </c>
      <c r="I183" s="22"/>
      <c r="J183" s="21" t="s">
        <v>1326</v>
      </c>
      <c r="K183" s="30"/>
      <c r="L183" s="30" t="s">
        <v>1239</v>
      </c>
      <c r="M183" s="35" t="str">
        <f>VLOOKUP(H183,'1_Value &amp; risk levers'!$H$9:$O$1048576,2,FALSE)</f>
        <v>Not undertaken</v>
      </c>
      <c r="N183" s="35" t="str">
        <f>VLOOKUP(H183,'1_Value &amp; risk levers'!$H$9:$O$1048576,3,FALSE)</f>
        <v>Initial stages of exploration, requires more work</v>
      </c>
      <c r="O183" s="35" t="str">
        <f>VLOOKUP(H183,'1_Value &amp; risk levers'!$H$9:$O$1048576,4,FALSE)</f>
        <v>Ad-hoc but frequent rationalization initiatives</v>
      </c>
      <c r="P183" s="35" t="str">
        <f>VLOOKUP(H183,'1_Value &amp; risk levers'!$H$9:$O$1048576,5,FALSE)</f>
        <v>Fully optimized methodology to review cost and simplicity periodically</v>
      </c>
      <c r="Q183" s="77">
        <f>IF(VLOOKUP(H183,'1_Value &amp; risk levers'!$H$9:$T$1048576,13,FALSE)=0,"",VLOOKUP(H183,'1_Value &amp; risk levers'!$H$9:$T$1048576,13,FALSE))</f>
        <v>4</v>
      </c>
      <c r="R183" s="128">
        <f t="shared" si="44"/>
        <v>2</v>
      </c>
      <c r="S183" s="128" t="e">
        <f t="shared" si="45"/>
        <v>#DIV/0!</v>
      </c>
      <c r="T183" s="77"/>
      <c r="U183" s="77"/>
      <c r="V183" s="55"/>
      <c r="W183" s="71">
        <v>0.04</v>
      </c>
      <c r="X183" s="71">
        <v>0.1</v>
      </c>
      <c r="Y183" s="71">
        <f>VLOOKUP(H183,'1_Value &amp; risk levers'!$H$9:$O$1048576,8,FALSE)</f>
        <v>0.8</v>
      </c>
      <c r="Z183" s="51">
        <f t="shared" si="46"/>
        <v>7.0000000000000007E-2</v>
      </c>
      <c r="AA183" s="51">
        <f t="shared" si="48"/>
        <v>8.5000000000000006E-2</v>
      </c>
      <c r="AB183" s="55">
        <f t="shared" si="49"/>
        <v>2800000.0000000005</v>
      </c>
      <c r="AC183" s="55">
        <f t="shared" si="50"/>
        <v>3400000.0000000005</v>
      </c>
      <c r="AD183" s="80">
        <f t="shared" si="51"/>
        <v>7</v>
      </c>
      <c r="AE183" s="84">
        <f t="shared" si="52"/>
        <v>0.48864540816326468</v>
      </c>
      <c r="AF183" s="71" t="str">
        <f t="shared" si="53"/>
        <v>Low</v>
      </c>
      <c r="AG183" s="84">
        <f t="shared" si="54"/>
        <v>5.9772908163265304E-2</v>
      </c>
      <c r="AH183" s="84">
        <f t="shared" si="55"/>
        <v>9.5227091836734709E-2</v>
      </c>
      <c r="AI183" s="73">
        <f t="shared" si="56"/>
        <v>2390916.3265306121</v>
      </c>
      <c r="AJ183" s="73">
        <f t="shared" si="57"/>
        <v>3809083.6734693884</v>
      </c>
      <c r="AK183" s="46">
        <f>VLOOKUP(H183,'1_Value &amp; risk levers'!$H$9:$O$1048576,6,FALSE)</f>
        <v>0.02</v>
      </c>
      <c r="AL183" s="46">
        <f>VLOOKUP(H183,'1_Value &amp; risk levers'!$H$9:$O$1048576,7,FALSE)</f>
        <v>0.03</v>
      </c>
      <c r="AM183" s="50">
        <f t="shared" si="58"/>
        <v>0.02</v>
      </c>
      <c r="AN183" s="72">
        <f t="shared" si="59"/>
        <v>9.3023255813953487E-2</v>
      </c>
      <c r="AO183" s="84">
        <f t="shared" si="60"/>
        <v>5.5602705268153769E-3</v>
      </c>
      <c r="AP183" s="84">
        <f t="shared" si="61"/>
        <v>8.858334124347415E-3</v>
      </c>
      <c r="AQ183" s="55">
        <f t="shared" si="62"/>
        <v>260465.1162790698</v>
      </c>
      <c r="AR183" s="55">
        <f t="shared" si="63"/>
        <v>316279.06976744189</v>
      </c>
      <c r="AS183" s="83">
        <f t="shared" si="47"/>
        <v>41</v>
      </c>
      <c r="AT183" s="50">
        <f t="shared" si="64"/>
        <v>3.75</v>
      </c>
      <c r="AU183" s="55" t="str">
        <f t="shared" si="65"/>
        <v>Low</v>
      </c>
      <c r="AV183" s="34" t="s">
        <v>1499</v>
      </c>
      <c r="AW183" s="111"/>
      <c r="AX183" s="30" t="s">
        <v>1493</v>
      </c>
      <c r="AY183" s="30"/>
      <c r="AZ183" s="85" t="str">
        <f>IF(ISERROR(_xlfn.XLOOKUP(CONCATENATE(A183,"_",AV183),'Reference-Proof pt impact flag'!$I$3:$I$1048576,'Reference-Proof pt impact flag'!$G$3:$G$1048576)),"",_xlfn.XLOOKUP(CONCATENATE(A183,"_",AV183),'Reference-Proof pt impact flag'!$I$3:$I$1048576,'Reference-Proof pt impact flag'!$G$3:$G$1048576))</f>
        <v/>
      </c>
      <c r="BA183" s="74"/>
      <c r="BB183" s="74"/>
      <c r="BC183" s="74"/>
      <c r="BD183" s="74"/>
      <c r="BE183" s="74"/>
      <c r="BF183" s="74" t="e">
        <f>_xlfn.XLOOKUP(CONCATENATE(H183,"_",AV183),'Test 2 - Proof points - GPT5'!$T:$T,'Test 2 - Proof points - GPT5'!$S:$S)</f>
        <v>#N/A</v>
      </c>
      <c r="BG183" s="74" t="e">
        <f>_xlfn.XLOOKUP(CONCATENATE(H183,"_",AV183),'Test 2 -Proof points - Sonnet'!$AB:$AB,'Test 2 -Proof points - Sonnet'!$AA:$AA)</f>
        <v>#N/A</v>
      </c>
      <c r="BH183" s="74"/>
      <c r="BI183" s="74"/>
      <c r="BJ183" s="74" t="s">
        <v>1574</v>
      </c>
      <c r="BK183" s="30"/>
      <c r="BL183" s="30"/>
      <c r="BM183" s="30"/>
      <c r="BN183" s="30"/>
      <c r="BO183" s="30"/>
      <c r="BP183" s="30"/>
      <c r="BQ183" s="30"/>
      <c r="BR183" s="30"/>
      <c r="BS183" s="30"/>
      <c r="BT183" s="30"/>
      <c r="BU183" s="30"/>
      <c r="BV183" s="113"/>
    </row>
    <row r="184" spans="1:74" ht="217.5" hidden="1" x14ac:dyDescent="0.35">
      <c r="A184" s="22">
        <v>5</v>
      </c>
      <c r="B184" s="22" t="s">
        <v>1451</v>
      </c>
      <c r="C184" s="22" t="s">
        <v>1452</v>
      </c>
      <c r="D184" s="22" t="s">
        <v>1224</v>
      </c>
      <c r="E184" s="22" t="s">
        <v>1453</v>
      </c>
      <c r="F184" s="22"/>
      <c r="G184" s="22" t="s">
        <v>1274</v>
      </c>
      <c r="H184" s="21" t="s">
        <v>1281</v>
      </c>
      <c r="I184" s="22"/>
      <c r="J184" s="21" t="s">
        <v>1326</v>
      </c>
      <c r="K184" s="30"/>
      <c r="L184" s="30" t="s">
        <v>1239</v>
      </c>
      <c r="M184" s="35" t="str">
        <f>VLOOKUP(H184,'1_Value &amp; risk levers'!$H$9:$O$1048576,2,FALSE)</f>
        <v>Not undertaken</v>
      </c>
      <c r="N184" s="35" t="str">
        <f>VLOOKUP(H184,'1_Value &amp; risk levers'!$H$9:$O$1048576,3,FALSE)</f>
        <v>Initial stages of exploration, requires more work</v>
      </c>
      <c r="O184" s="35" t="str">
        <f>VLOOKUP(H184,'1_Value &amp; risk levers'!$H$9:$O$1048576,4,FALSE)</f>
        <v>Ad-hoc but frequent rationalization initiatives</v>
      </c>
      <c r="P184" s="35" t="str">
        <f>VLOOKUP(H184,'1_Value &amp; risk levers'!$H$9:$O$1048576,5,FALSE)</f>
        <v>Fully optimized methodology to review cost and simplicity periodically</v>
      </c>
      <c r="Q184" s="77">
        <f>IF(VLOOKUP(H184,'1_Value &amp; risk levers'!$H$9:$T$1048576,13,FALSE)=0,"",VLOOKUP(H184,'1_Value &amp; risk levers'!$H$9:$T$1048576,13,FALSE))</f>
        <v>4</v>
      </c>
      <c r="R184" s="128">
        <f t="shared" si="44"/>
        <v>2</v>
      </c>
      <c r="S184" s="128" t="e">
        <f t="shared" si="45"/>
        <v>#DIV/0!</v>
      </c>
      <c r="T184" s="77"/>
      <c r="U184" s="77"/>
      <c r="V184" s="55"/>
      <c r="W184" s="71">
        <v>0.04</v>
      </c>
      <c r="X184" s="71">
        <v>0.1</v>
      </c>
      <c r="Y184" s="71">
        <f>VLOOKUP(H184,'1_Value &amp; risk levers'!$H$9:$O$1048576,8,FALSE)</f>
        <v>0.8</v>
      </c>
      <c r="Z184" s="51">
        <f t="shared" si="46"/>
        <v>7.0000000000000007E-2</v>
      </c>
      <c r="AA184" s="51">
        <f t="shared" si="48"/>
        <v>8.5000000000000006E-2</v>
      </c>
      <c r="AB184" s="55">
        <f t="shared" si="49"/>
        <v>2800000.0000000005</v>
      </c>
      <c r="AC184" s="55">
        <f t="shared" si="50"/>
        <v>3400000.0000000005</v>
      </c>
      <c r="AD184" s="80">
        <f t="shared" si="51"/>
        <v>7</v>
      </c>
      <c r="AE184" s="84">
        <f t="shared" si="52"/>
        <v>0.48864540816326468</v>
      </c>
      <c r="AF184" s="71" t="str">
        <f t="shared" si="53"/>
        <v>Low</v>
      </c>
      <c r="AG184" s="84">
        <f t="shared" si="54"/>
        <v>5.9772908163265304E-2</v>
      </c>
      <c r="AH184" s="84">
        <f t="shared" si="55"/>
        <v>9.5227091836734709E-2</v>
      </c>
      <c r="AI184" s="73">
        <f t="shared" si="56"/>
        <v>2390916.3265306121</v>
      </c>
      <c r="AJ184" s="73">
        <f t="shared" si="57"/>
        <v>3809083.6734693884</v>
      </c>
      <c r="AK184" s="46">
        <f>VLOOKUP(H184,'1_Value &amp; risk levers'!$H$9:$O$1048576,6,FALSE)</f>
        <v>0.02</v>
      </c>
      <c r="AL184" s="46">
        <f>VLOOKUP(H184,'1_Value &amp; risk levers'!$H$9:$O$1048576,7,FALSE)</f>
        <v>0.03</v>
      </c>
      <c r="AM184" s="50">
        <f t="shared" si="58"/>
        <v>0.02</v>
      </c>
      <c r="AN184" s="72">
        <f t="shared" si="59"/>
        <v>9.3023255813953487E-2</v>
      </c>
      <c r="AO184" s="84">
        <f t="shared" si="60"/>
        <v>5.5602705268153769E-3</v>
      </c>
      <c r="AP184" s="84">
        <f t="shared" si="61"/>
        <v>8.858334124347415E-3</v>
      </c>
      <c r="AQ184" s="55">
        <f t="shared" si="62"/>
        <v>260465.1162790698</v>
      </c>
      <c r="AR184" s="55">
        <f t="shared" si="63"/>
        <v>316279.06976744189</v>
      </c>
      <c r="AS184" s="83">
        <f t="shared" si="47"/>
        <v>41</v>
      </c>
      <c r="AT184" s="50">
        <f t="shared" si="64"/>
        <v>3.75</v>
      </c>
      <c r="AU184" s="55" t="str">
        <f t="shared" si="65"/>
        <v>Low</v>
      </c>
      <c r="AV184" s="34" t="s">
        <v>1500</v>
      </c>
      <c r="AW184" s="111"/>
      <c r="AX184" s="30" t="s">
        <v>1493</v>
      </c>
      <c r="AY184" s="30"/>
      <c r="AZ184" s="85" t="str">
        <f>IF(ISERROR(_xlfn.XLOOKUP(CONCATENATE(A184,"_",AV184),'Reference-Proof pt impact flag'!$I$3:$I$1048576,'Reference-Proof pt impact flag'!$G$3:$G$1048576)),"",_xlfn.XLOOKUP(CONCATENATE(A184,"_",AV184),'Reference-Proof pt impact flag'!$I$3:$I$1048576,'Reference-Proof pt impact flag'!$G$3:$G$1048576))</f>
        <v/>
      </c>
      <c r="BA184" s="74"/>
      <c r="BB184" s="74"/>
      <c r="BC184" s="74"/>
      <c r="BD184" s="74"/>
      <c r="BE184" s="74"/>
      <c r="BF184" s="74" t="e">
        <f>_xlfn.XLOOKUP(CONCATENATE(H184,"_",AV184),'Test 2 - Proof points - GPT5'!$T:$T,'Test 2 - Proof points - GPT5'!$S:$S)</f>
        <v>#N/A</v>
      </c>
      <c r="BG184" s="74" t="e">
        <f>_xlfn.XLOOKUP(CONCATENATE(H184,"_",AV184),'Test 2 -Proof points - Sonnet'!$AB:$AB,'Test 2 -Proof points - Sonnet'!$AA:$AA)</f>
        <v>#N/A</v>
      </c>
      <c r="BH184" s="74"/>
      <c r="BI184" s="74"/>
      <c r="BJ184" s="74" t="s">
        <v>1574</v>
      </c>
      <c r="BK184" s="30"/>
      <c r="BL184" s="30"/>
      <c r="BM184" s="30"/>
      <c r="BN184" s="30"/>
      <c r="BO184" s="30"/>
      <c r="BP184" s="30"/>
      <c r="BQ184" s="30"/>
      <c r="BR184" s="30"/>
      <c r="BS184" s="30"/>
      <c r="BT184" s="30"/>
      <c r="BU184" s="30"/>
      <c r="BV184" s="113"/>
    </row>
    <row r="185" spans="1:74" ht="217.5" hidden="1" x14ac:dyDescent="0.35">
      <c r="A185" s="22">
        <v>5</v>
      </c>
      <c r="B185" s="22" t="s">
        <v>1451</v>
      </c>
      <c r="C185" s="22" t="s">
        <v>1452</v>
      </c>
      <c r="D185" s="22" t="s">
        <v>1224</v>
      </c>
      <c r="E185" s="22" t="s">
        <v>1453</v>
      </c>
      <c r="F185" s="22"/>
      <c r="G185" s="22" t="s">
        <v>1274</v>
      </c>
      <c r="H185" s="21" t="s">
        <v>1281</v>
      </c>
      <c r="I185" s="22"/>
      <c r="J185" s="21" t="s">
        <v>1326</v>
      </c>
      <c r="K185" s="30"/>
      <c r="L185" s="30" t="s">
        <v>1239</v>
      </c>
      <c r="M185" s="35" t="str">
        <f>VLOOKUP(H185,'1_Value &amp; risk levers'!$H$9:$O$1048576,2,FALSE)</f>
        <v>Not undertaken</v>
      </c>
      <c r="N185" s="35" t="str">
        <f>VLOOKUP(H185,'1_Value &amp; risk levers'!$H$9:$O$1048576,3,FALSE)</f>
        <v>Initial stages of exploration, requires more work</v>
      </c>
      <c r="O185" s="35" t="str">
        <f>VLOOKUP(H185,'1_Value &amp; risk levers'!$H$9:$O$1048576,4,FALSE)</f>
        <v>Ad-hoc but frequent rationalization initiatives</v>
      </c>
      <c r="P185" s="35" t="str">
        <f>VLOOKUP(H185,'1_Value &amp; risk levers'!$H$9:$O$1048576,5,FALSE)</f>
        <v>Fully optimized methodology to review cost and simplicity periodically</v>
      </c>
      <c r="Q185" s="77">
        <f>IF(VLOOKUP(H185,'1_Value &amp; risk levers'!$H$9:$T$1048576,13,FALSE)=0,"",VLOOKUP(H185,'1_Value &amp; risk levers'!$H$9:$T$1048576,13,FALSE))</f>
        <v>4</v>
      </c>
      <c r="R185" s="128">
        <f t="shared" si="44"/>
        <v>2</v>
      </c>
      <c r="S185" s="128" t="e">
        <f t="shared" si="45"/>
        <v>#DIV/0!</v>
      </c>
      <c r="T185" s="77"/>
      <c r="U185" s="77"/>
      <c r="V185" s="55"/>
      <c r="W185" s="71">
        <v>0.04</v>
      </c>
      <c r="X185" s="71">
        <v>0.1</v>
      </c>
      <c r="Y185" s="71">
        <f>VLOOKUP(H185,'1_Value &amp; risk levers'!$H$9:$O$1048576,8,FALSE)</f>
        <v>0.8</v>
      </c>
      <c r="Z185" s="51">
        <f t="shared" si="46"/>
        <v>7.0000000000000007E-2</v>
      </c>
      <c r="AA185" s="51">
        <f t="shared" si="48"/>
        <v>8.5000000000000006E-2</v>
      </c>
      <c r="AB185" s="55">
        <f t="shared" si="49"/>
        <v>2800000.0000000005</v>
      </c>
      <c r="AC185" s="55">
        <f t="shared" si="50"/>
        <v>3400000.0000000005</v>
      </c>
      <c r="AD185" s="80">
        <f t="shared" si="51"/>
        <v>7</v>
      </c>
      <c r="AE185" s="84">
        <f t="shared" si="52"/>
        <v>0.48864540816326468</v>
      </c>
      <c r="AF185" s="71" t="str">
        <f t="shared" si="53"/>
        <v>Low</v>
      </c>
      <c r="AG185" s="84">
        <f t="shared" si="54"/>
        <v>5.9772908163265304E-2</v>
      </c>
      <c r="AH185" s="84">
        <f t="shared" si="55"/>
        <v>9.5227091836734709E-2</v>
      </c>
      <c r="AI185" s="73">
        <f t="shared" si="56"/>
        <v>2390916.3265306121</v>
      </c>
      <c r="AJ185" s="73">
        <f t="shared" si="57"/>
        <v>3809083.6734693884</v>
      </c>
      <c r="AK185" s="46">
        <f>VLOOKUP(H185,'1_Value &amp; risk levers'!$H$9:$O$1048576,6,FALSE)</f>
        <v>0.02</v>
      </c>
      <c r="AL185" s="46">
        <f>VLOOKUP(H185,'1_Value &amp; risk levers'!$H$9:$O$1048576,7,FALSE)</f>
        <v>0.03</v>
      </c>
      <c r="AM185" s="50">
        <f t="shared" si="58"/>
        <v>0.02</v>
      </c>
      <c r="AN185" s="72">
        <f t="shared" si="59"/>
        <v>9.3023255813953487E-2</v>
      </c>
      <c r="AO185" s="84">
        <f t="shared" si="60"/>
        <v>5.5602705268153769E-3</v>
      </c>
      <c r="AP185" s="84">
        <f t="shared" si="61"/>
        <v>8.858334124347415E-3</v>
      </c>
      <c r="AQ185" s="55">
        <f t="shared" si="62"/>
        <v>260465.1162790698</v>
      </c>
      <c r="AR185" s="55">
        <f t="shared" si="63"/>
        <v>316279.06976744189</v>
      </c>
      <c r="AS185" s="83">
        <f t="shared" si="47"/>
        <v>41</v>
      </c>
      <c r="AT185" s="50">
        <f t="shared" si="64"/>
        <v>3.75</v>
      </c>
      <c r="AU185" s="55" t="str">
        <f t="shared" si="65"/>
        <v>Low</v>
      </c>
      <c r="AV185" s="34" t="s">
        <v>1501</v>
      </c>
      <c r="AW185" s="111"/>
      <c r="AX185" s="30" t="s">
        <v>1493</v>
      </c>
      <c r="AY185" s="30"/>
      <c r="AZ185" s="85" t="str">
        <f>IF(ISERROR(_xlfn.XLOOKUP(CONCATENATE(A185,"_",AV185),'Reference-Proof pt impact flag'!$I$3:$I$1048576,'Reference-Proof pt impact flag'!$G$3:$G$1048576)),"",_xlfn.XLOOKUP(CONCATENATE(A185,"_",AV185),'Reference-Proof pt impact flag'!$I$3:$I$1048576,'Reference-Proof pt impact flag'!$G$3:$G$1048576))</f>
        <v/>
      </c>
      <c r="BA185" s="74"/>
      <c r="BB185" s="74"/>
      <c r="BC185" s="74"/>
      <c r="BD185" s="74"/>
      <c r="BE185" s="74"/>
      <c r="BF185" s="74" t="e">
        <f>_xlfn.XLOOKUP(CONCATENATE(H185,"_",AV185),'Test 2 - Proof points - GPT5'!$T:$T,'Test 2 - Proof points - GPT5'!$S:$S)</f>
        <v>#N/A</v>
      </c>
      <c r="BG185" s="74" t="e">
        <f>_xlfn.XLOOKUP(CONCATENATE(H185,"_",AV185),'Test 2 -Proof points - Sonnet'!$AB:$AB,'Test 2 -Proof points - Sonnet'!$AA:$AA)</f>
        <v>#N/A</v>
      </c>
      <c r="BH185" s="74"/>
      <c r="BI185" s="74"/>
      <c r="BJ185" s="74" t="s">
        <v>1574</v>
      </c>
      <c r="BK185" s="30"/>
      <c r="BL185" s="30"/>
      <c r="BM185" s="30"/>
      <c r="BN185" s="30"/>
      <c r="BO185" s="30"/>
      <c r="BP185" s="30"/>
      <c r="BQ185" s="30"/>
      <c r="BR185" s="30"/>
      <c r="BS185" s="30"/>
      <c r="BT185" s="30"/>
      <c r="BU185" s="30"/>
      <c r="BV185" s="113"/>
    </row>
    <row r="186" spans="1:74" ht="217.5" hidden="1" x14ac:dyDescent="0.35">
      <c r="A186" s="22">
        <v>5</v>
      </c>
      <c r="B186" s="22" t="s">
        <v>1451</v>
      </c>
      <c r="C186" s="22" t="s">
        <v>1452</v>
      </c>
      <c r="D186" s="22" t="s">
        <v>1224</v>
      </c>
      <c r="E186" s="22" t="s">
        <v>1453</v>
      </c>
      <c r="F186" s="22"/>
      <c r="G186" s="22" t="s">
        <v>1274</v>
      </c>
      <c r="H186" s="21" t="s">
        <v>1281</v>
      </c>
      <c r="I186" s="22"/>
      <c r="J186" s="21" t="s">
        <v>1326</v>
      </c>
      <c r="K186" s="30"/>
      <c r="L186" s="30" t="s">
        <v>1239</v>
      </c>
      <c r="M186" s="35" t="str">
        <f>VLOOKUP(H186,'1_Value &amp; risk levers'!$H$9:$O$1048576,2,FALSE)</f>
        <v>Not undertaken</v>
      </c>
      <c r="N186" s="35" t="str">
        <f>VLOOKUP(H186,'1_Value &amp; risk levers'!$H$9:$O$1048576,3,FALSE)</f>
        <v>Initial stages of exploration, requires more work</v>
      </c>
      <c r="O186" s="35" t="str">
        <f>VLOOKUP(H186,'1_Value &amp; risk levers'!$H$9:$O$1048576,4,FALSE)</f>
        <v>Ad-hoc but frequent rationalization initiatives</v>
      </c>
      <c r="P186" s="35" t="str">
        <f>VLOOKUP(H186,'1_Value &amp; risk levers'!$H$9:$O$1048576,5,FALSE)</f>
        <v>Fully optimized methodology to review cost and simplicity periodically</v>
      </c>
      <c r="Q186" s="77">
        <f>IF(VLOOKUP(H186,'1_Value &amp; risk levers'!$H$9:$T$1048576,13,FALSE)=0,"",VLOOKUP(H186,'1_Value &amp; risk levers'!$H$9:$T$1048576,13,FALSE))</f>
        <v>4</v>
      </c>
      <c r="R186" s="128">
        <f t="shared" si="44"/>
        <v>2</v>
      </c>
      <c r="S186" s="128" t="e">
        <f t="shared" si="45"/>
        <v>#DIV/0!</v>
      </c>
      <c r="T186" s="77"/>
      <c r="U186" s="77"/>
      <c r="V186" s="55"/>
      <c r="W186" s="71">
        <v>0.04</v>
      </c>
      <c r="X186" s="71">
        <v>0.1</v>
      </c>
      <c r="Y186" s="71">
        <f>VLOOKUP(H186,'1_Value &amp; risk levers'!$H$9:$O$1048576,8,FALSE)</f>
        <v>0.8</v>
      </c>
      <c r="Z186" s="51">
        <f t="shared" si="46"/>
        <v>7.0000000000000007E-2</v>
      </c>
      <c r="AA186" s="51">
        <f t="shared" si="48"/>
        <v>8.5000000000000006E-2</v>
      </c>
      <c r="AB186" s="55">
        <f t="shared" si="49"/>
        <v>2800000.0000000005</v>
      </c>
      <c r="AC186" s="55">
        <f t="shared" si="50"/>
        <v>3400000.0000000005</v>
      </c>
      <c r="AD186" s="80">
        <f t="shared" si="51"/>
        <v>7</v>
      </c>
      <c r="AE186" s="84">
        <f t="shared" si="52"/>
        <v>0.48864540816326468</v>
      </c>
      <c r="AF186" s="71" t="str">
        <f t="shared" si="53"/>
        <v>Low</v>
      </c>
      <c r="AG186" s="84">
        <f t="shared" si="54"/>
        <v>5.9772908163265304E-2</v>
      </c>
      <c r="AH186" s="84">
        <f t="shared" si="55"/>
        <v>9.5227091836734709E-2</v>
      </c>
      <c r="AI186" s="73">
        <f t="shared" si="56"/>
        <v>2390916.3265306121</v>
      </c>
      <c r="AJ186" s="73">
        <f t="shared" si="57"/>
        <v>3809083.6734693884</v>
      </c>
      <c r="AK186" s="46">
        <f>VLOOKUP(H186,'1_Value &amp; risk levers'!$H$9:$O$1048576,6,FALSE)</f>
        <v>0.02</v>
      </c>
      <c r="AL186" s="46">
        <f>VLOOKUP(H186,'1_Value &amp; risk levers'!$H$9:$O$1048576,7,FALSE)</f>
        <v>0.03</v>
      </c>
      <c r="AM186" s="50">
        <f t="shared" si="58"/>
        <v>0.02</v>
      </c>
      <c r="AN186" s="72">
        <f t="shared" si="59"/>
        <v>9.3023255813953487E-2</v>
      </c>
      <c r="AO186" s="84">
        <f t="shared" si="60"/>
        <v>5.5602705268153769E-3</v>
      </c>
      <c r="AP186" s="84">
        <f t="shared" si="61"/>
        <v>8.858334124347415E-3</v>
      </c>
      <c r="AQ186" s="55">
        <f t="shared" si="62"/>
        <v>260465.1162790698</v>
      </c>
      <c r="AR186" s="55">
        <f t="shared" si="63"/>
        <v>316279.06976744189</v>
      </c>
      <c r="AS186" s="83">
        <f t="shared" si="47"/>
        <v>41</v>
      </c>
      <c r="AT186" s="50">
        <f t="shared" si="64"/>
        <v>3.75</v>
      </c>
      <c r="AU186" s="55" t="str">
        <f t="shared" si="65"/>
        <v>Low</v>
      </c>
      <c r="AV186" s="34" t="s">
        <v>1502</v>
      </c>
      <c r="AW186" s="111"/>
      <c r="AX186" s="30" t="s">
        <v>1493</v>
      </c>
      <c r="AY186" s="30"/>
      <c r="AZ186" s="85" t="str">
        <f>IF(ISERROR(_xlfn.XLOOKUP(CONCATENATE(A186,"_",AV186),'Reference-Proof pt impact flag'!$I$3:$I$1048576,'Reference-Proof pt impact flag'!$G$3:$G$1048576)),"",_xlfn.XLOOKUP(CONCATENATE(A186,"_",AV186),'Reference-Proof pt impact flag'!$I$3:$I$1048576,'Reference-Proof pt impact flag'!$G$3:$G$1048576))</f>
        <v/>
      </c>
      <c r="BA186" s="74"/>
      <c r="BB186" s="74"/>
      <c r="BC186" s="74"/>
      <c r="BD186" s="74"/>
      <c r="BE186" s="74"/>
      <c r="BF186" s="74" t="e">
        <f>_xlfn.XLOOKUP(CONCATENATE(H186,"_",AV186),'Test 2 - Proof points - GPT5'!$T:$T,'Test 2 - Proof points - GPT5'!$S:$S)</f>
        <v>#N/A</v>
      </c>
      <c r="BG186" s="74" t="e">
        <f>_xlfn.XLOOKUP(CONCATENATE(H186,"_",AV186),'Test 2 -Proof points - Sonnet'!$AB:$AB,'Test 2 -Proof points - Sonnet'!$AA:$AA)</f>
        <v>#N/A</v>
      </c>
      <c r="BH186" s="74"/>
      <c r="BI186" s="74"/>
      <c r="BJ186" s="74" t="s">
        <v>1574</v>
      </c>
      <c r="BK186" s="30"/>
      <c r="BL186" s="30"/>
      <c r="BM186" s="30"/>
      <c r="BN186" s="30"/>
      <c r="BO186" s="30"/>
      <c r="BP186" s="30"/>
      <c r="BQ186" s="30"/>
      <c r="BR186" s="30"/>
      <c r="BS186" s="30"/>
      <c r="BT186" s="30"/>
      <c r="BU186" s="30"/>
      <c r="BV186" s="113"/>
    </row>
    <row r="187" spans="1:74" ht="217.5" hidden="1" x14ac:dyDescent="0.35">
      <c r="A187" s="22">
        <v>5</v>
      </c>
      <c r="B187" s="22" t="s">
        <v>1451</v>
      </c>
      <c r="C187" s="22" t="s">
        <v>1452</v>
      </c>
      <c r="D187" s="22" t="s">
        <v>1224</v>
      </c>
      <c r="E187" s="22" t="s">
        <v>1453</v>
      </c>
      <c r="F187" s="22"/>
      <c r="G187" s="22" t="s">
        <v>1274</v>
      </c>
      <c r="H187" s="21" t="s">
        <v>1281</v>
      </c>
      <c r="I187" s="22"/>
      <c r="J187" s="21" t="s">
        <v>1326</v>
      </c>
      <c r="K187" s="30"/>
      <c r="L187" s="30" t="s">
        <v>1239</v>
      </c>
      <c r="M187" s="35" t="str">
        <f>VLOOKUP(H187,'1_Value &amp; risk levers'!$H$9:$O$1048576,2,FALSE)</f>
        <v>Not undertaken</v>
      </c>
      <c r="N187" s="35" t="str">
        <f>VLOOKUP(H187,'1_Value &amp; risk levers'!$H$9:$O$1048576,3,FALSE)</f>
        <v>Initial stages of exploration, requires more work</v>
      </c>
      <c r="O187" s="35" t="str">
        <f>VLOOKUP(H187,'1_Value &amp; risk levers'!$H$9:$O$1048576,4,FALSE)</f>
        <v>Ad-hoc but frequent rationalization initiatives</v>
      </c>
      <c r="P187" s="35" t="str">
        <f>VLOOKUP(H187,'1_Value &amp; risk levers'!$H$9:$O$1048576,5,FALSE)</f>
        <v>Fully optimized methodology to review cost and simplicity periodically</v>
      </c>
      <c r="Q187" s="77">
        <f>IF(VLOOKUP(H187,'1_Value &amp; risk levers'!$H$9:$T$1048576,13,FALSE)=0,"",VLOOKUP(H187,'1_Value &amp; risk levers'!$H$9:$T$1048576,13,FALSE))</f>
        <v>4</v>
      </c>
      <c r="R187" s="128">
        <f t="shared" si="44"/>
        <v>2</v>
      </c>
      <c r="S187" s="128" t="e">
        <f t="shared" si="45"/>
        <v>#DIV/0!</v>
      </c>
      <c r="T187" s="77"/>
      <c r="U187" s="77"/>
      <c r="V187" s="55"/>
      <c r="W187" s="71">
        <v>0.04</v>
      </c>
      <c r="X187" s="71">
        <v>0.1</v>
      </c>
      <c r="Y187" s="71">
        <f>VLOOKUP(H187,'1_Value &amp; risk levers'!$H$9:$O$1048576,8,FALSE)</f>
        <v>0.8</v>
      </c>
      <c r="Z187" s="51">
        <f t="shared" si="46"/>
        <v>7.0000000000000007E-2</v>
      </c>
      <c r="AA187" s="51">
        <f t="shared" si="48"/>
        <v>8.5000000000000006E-2</v>
      </c>
      <c r="AB187" s="55">
        <f t="shared" si="49"/>
        <v>2800000.0000000005</v>
      </c>
      <c r="AC187" s="55">
        <f t="shared" si="50"/>
        <v>3400000.0000000005</v>
      </c>
      <c r="AD187" s="80">
        <f t="shared" si="51"/>
        <v>7</v>
      </c>
      <c r="AE187" s="84">
        <f t="shared" si="52"/>
        <v>0.48864540816326468</v>
      </c>
      <c r="AF187" s="71" t="str">
        <f t="shared" si="53"/>
        <v>Low</v>
      </c>
      <c r="AG187" s="84">
        <f t="shared" si="54"/>
        <v>5.9772908163265304E-2</v>
      </c>
      <c r="AH187" s="84">
        <f t="shared" si="55"/>
        <v>9.5227091836734709E-2</v>
      </c>
      <c r="AI187" s="73">
        <f t="shared" si="56"/>
        <v>2390916.3265306121</v>
      </c>
      <c r="AJ187" s="73">
        <f t="shared" si="57"/>
        <v>3809083.6734693884</v>
      </c>
      <c r="AK187" s="46">
        <f>VLOOKUP(H187,'1_Value &amp; risk levers'!$H$9:$O$1048576,6,FALSE)</f>
        <v>0.02</v>
      </c>
      <c r="AL187" s="46">
        <f>VLOOKUP(H187,'1_Value &amp; risk levers'!$H$9:$O$1048576,7,FALSE)</f>
        <v>0.03</v>
      </c>
      <c r="AM187" s="50">
        <f t="shared" si="58"/>
        <v>0.02</v>
      </c>
      <c r="AN187" s="72">
        <f t="shared" si="59"/>
        <v>9.3023255813953487E-2</v>
      </c>
      <c r="AO187" s="84">
        <f t="shared" si="60"/>
        <v>5.5602705268153769E-3</v>
      </c>
      <c r="AP187" s="84">
        <f t="shared" si="61"/>
        <v>8.858334124347415E-3</v>
      </c>
      <c r="AQ187" s="55">
        <f t="shared" si="62"/>
        <v>260465.1162790698</v>
      </c>
      <c r="AR187" s="55">
        <f t="shared" si="63"/>
        <v>316279.06976744189</v>
      </c>
      <c r="AS187" s="83">
        <f t="shared" si="47"/>
        <v>41</v>
      </c>
      <c r="AT187" s="50">
        <f t="shared" si="64"/>
        <v>3.75</v>
      </c>
      <c r="AU187" s="55" t="str">
        <f t="shared" si="65"/>
        <v>Low</v>
      </c>
      <c r="AV187" s="34" t="s">
        <v>1503</v>
      </c>
      <c r="AW187" s="111"/>
      <c r="AX187" s="30" t="s">
        <v>1493</v>
      </c>
      <c r="AY187" s="30"/>
      <c r="AZ187" s="85" t="str">
        <f>IF(ISERROR(_xlfn.XLOOKUP(CONCATENATE(A187,"_",AV187),'Reference-Proof pt impact flag'!$I$3:$I$1048576,'Reference-Proof pt impact flag'!$G$3:$G$1048576)),"",_xlfn.XLOOKUP(CONCATENATE(A187,"_",AV187),'Reference-Proof pt impact flag'!$I$3:$I$1048576,'Reference-Proof pt impact flag'!$G$3:$G$1048576))</f>
        <v/>
      </c>
      <c r="BA187" s="74"/>
      <c r="BB187" s="74"/>
      <c r="BC187" s="74"/>
      <c r="BD187" s="74"/>
      <c r="BE187" s="74"/>
      <c r="BF187" s="74" t="e">
        <f>_xlfn.XLOOKUP(CONCATENATE(H187,"_",AV187),'Test 2 - Proof points - GPT5'!$T:$T,'Test 2 - Proof points - GPT5'!$S:$S)</f>
        <v>#N/A</v>
      </c>
      <c r="BG187" s="74" t="e">
        <f>_xlfn.XLOOKUP(CONCATENATE(H187,"_",AV187),'Test 2 -Proof points - Sonnet'!$AB:$AB,'Test 2 -Proof points - Sonnet'!$AA:$AA)</f>
        <v>#N/A</v>
      </c>
      <c r="BH187" s="74"/>
      <c r="BI187" s="74"/>
      <c r="BJ187" s="74" t="s">
        <v>1574</v>
      </c>
      <c r="BK187" s="30"/>
      <c r="BL187" s="30"/>
      <c r="BM187" s="30"/>
      <c r="BN187" s="30"/>
      <c r="BO187" s="30"/>
      <c r="BP187" s="30"/>
      <c r="BQ187" s="30"/>
      <c r="BR187" s="30"/>
      <c r="BS187" s="30"/>
      <c r="BT187" s="30"/>
      <c r="BU187" s="30"/>
      <c r="BV187" s="113"/>
    </row>
    <row r="188" spans="1:74" ht="217.5" hidden="1" x14ac:dyDescent="0.35">
      <c r="A188" s="22">
        <v>5</v>
      </c>
      <c r="B188" s="22" t="s">
        <v>1451</v>
      </c>
      <c r="C188" s="22" t="s">
        <v>1452</v>
      </c>
      <c r="D188" s="22" t="s">
        <v>1224</v>
      </c>
      <c r="E188" s="22" t="s">
        <v>1453</v>
      </c>
      <c r="F188" s="22"/>
      <c r="G188" s="22" t="s">
        <v>1274</v>
      </c>
      <c r="H188" s="21" t="s">
        <v>1281</v>
      </c>
      <c r="I188" s="22"/>
      <c r="J188" s="21" t="s">
        <v>1326</v>
      </c>
      <c r="K188" s="30"/>
      <c r="L188" s="30" t="s">
        <v>1239</v>
      </c>
      <c r="M188" s="35" t="str">
        <f>VLOOKUP(H188,'1_Value &amp; risk levers'!$H$9:$O$1048576,2,FALSE)</f>
        <v>Not undertaken</v>
      </c>
      <c r="N188" s="35" t="str">
        <f>VLOOKUP(H188,'1_Value &amp; risk levers'!$H$9:$O$1048576,3,FALSE)</f>
        <v>Initial stages of exploration, requires more work</v>
      </c>
      <c r="O188" s="35" t="str">
        <f>VLOOKUP(H188,'1_Value &amp; risk levers'!$H$9:$O$1048576,4,FALSE)</f>
        <v>Ad-hoc but frequent rationalization initiatives</v>
      </c>
      <c r="P188" s="35" t="str">
        <f>VLOOKUP(H188,'1_Value &amp; risk levers'!$H$9:$O$1048576,5,FALSE)</f>
        <v>Fully optimized methodology to review cost and simplicity periodically</v>
      </c>
      <c r="Q188" s="77">
        <f>IF(VLOOKUP(H188,'1_Value &amp; risk levers'!$H$9:$T$1048576,13,FALSE)=0,"",VLOOKUP(H188,'1_Value &amp; risk levers'!$H$9:$T$1048576,13,FALSE))</f>
        <v>4</v>
      </c>
      <c r="R188" s="128">
        <f t="shared" si="44"/>
        <v>2</v>
      </c>
      <c r="S188" s="128" t="e">
        <f t="shared" si="45"/>
        <v>#DIV/0!</v>
      </c>
      <c r="T188" s="77"/>
      <c r="U188" s="77"/>
      <c r="V188" s="55"/>
      <c r="W188" s="71">
        <v>0.04</v>
      </c>
      <c r="X188" s="71">
        <v>0.1</v>
      </c>
      <c r="Y188" s="71">
        <f>VLOOKUP(H188,'1_Value &amp; risk levers'!$H$9:$O$1048576,8,FALSE)</f>
        <v>0.8</v>
      </c>
      <c r="Z188" s="51">
        <f t="shared" si="46"/>
        <v>7.0000000000000007E-2</v>
      </c>
      <c r="AA188" s="51">
        <f t="shared" si="48"/>
        <v>8.5000000000000006E-2</v>
      </c>
      <c r="AB188" s="55">
        <f t="shared" si="49"/>
        <v>2800000.0000000005</v>
      </c>
      <c r="AC188" s="55">
        <f t="shared" si="50"/>
        <v>3400000.0000000005</v>
      </c>
      <c r="AD188" s="80">
        <f t="shared" si="51"/>
        <v>7</v>
      </c>
      <c r="AE188" s="84">
        <f t="shared" si="52"/>
        <v>0.48864540816326468</v>
      </c>
      <c r="AF188" s="71" t="str">
        <f t="shared" si="53"/>
        <v>Low</v>
      </c>
      <c r="AG188" s="84">
        <f t="shared" si="54"/>
        <v>5.9772908163265304E-2</v>
      </c>
      <c r="AH188" s="84">
        <f t="shared" si="55"/>
        <v>9.5227091836734709E-2</v>
      </c>
      <c r="AI188" s="73">
        <f t="shared" si="56"/>
        <v>2390916.3265306121</v>
      </c>
      <c r="AJ188" s="73">
        <f t="shared" si="57"/>
        <v>3809083.6734693884</v>
      </c>
      <c r="AK188" s="46">
        <f>VLOOKUP(H188,'1_Value &amp; risk levers'!$H$9:$O$1048576,6,FALSE)</f>
        <v>0.02</v>
      </c>
      <c r="AL188" s="46">
        <f>VLOOKUP(H188,'1_Value &amp; risk levers'!$H$9:$O$1048576,7,FALSE)</f>
        <v>0.03</v>
      </c>
      <c r="AM188" s="50">
        <f t="shared" si="58"/>
        <v>0.02</v>
      </c>
      <c r="AN188" s="72">
        <f t="shared" si="59"/>
        <v>9.3023255813953487E-2</v>
      </c>
      <c r="AO188" s="84">
        <f t="shared" si="60"/>
        <v>5.5602705268153769E-3</v>
      </c>
      <c r="AP188" s="84">
        <f t="shared" si="61"/>
        <v>8.858334124347415E-3</v>
      </c>
      <c r="AQ188" s="55">
        <f t="shared" si="62"/>
        <v>260465.1162790698</v>
      </c>
      <c r="AR188" s="55">
        <f t="shared" si="63"/>
        <v>316279.06976744189</v>
      </c>
      <c r="AS188" s="83">
        <f t="shared" si="47"/>
        <v>41</v>
      </c>
      <c r="AT188" s="50">
        <f t="shared" si="64"/>
        <v>3.75</v>
      </c>
      <c r="AU188" s="55" t="str">
        <f t="shared" si="65"/>
        <v>Low</v>
      </c>
      <c r="AV188" s="34" t="s">
        <v>1504</v>
      </c>
      <c r="AW188" s="111"/>
      <c r="AX188" s="30" t="s">
        <v>1493</v>
      </c>
      <c r="AY188" s="30"/>
      <c r="AZ188" s="85" t="str">
        <f>IF(ISERROR(_xlfn.XLOOKUP(CONCATENATE(A188,"_",AV188),'Reference-Proof pt impact flag'!$I$3:$I$1048576,'Reference-Proof pt impact flag'!$G$3:$G$1048576)),"",_xlfn.XLOOKUP(CONCATENATE(A188,"_",AV188),'Reference-Proof pt impact flag'!$I$3:$I$1048576,'Reference-Proof pt impact flag'!$G$3:$G$1048576))</f>
        <v/>
      </c>
      <c r="BA188" s="74"/>
      <c r="BB188" s="74"/>
      <c r="BC188" s="74"/>
      <c r="BD188" s="74"/>
      <c r="BE188" s="74"/>
      <c r="BF188" s="74" t="e">
        <f>_xlfn.XLOOKUP(CONCATENATE(H188,"_",AV188),'Test 2 - Proof points - GPT5'!$T:$T,'Test 2 - Proof points - GPT5'!$S:$S)</f>
        <v>#N/A</v>
      </c>
      <c r="BG188" s="74" t="e">
        <f>_xlfn.XLOOKUP(CONCATENATE(H188,"_",AV188),'Test 2 -Proof points - Sonnet'!$AB:$AB,'Test 2 -Proof points - Sonnet'!$AA:$AA)</f>
        <v>#N/A</v>
      </c>
      <c r="BH188" s="74"/>
      <c r="BI188" s="74"/>
      <c r="BJ188" s="74" t="s">
        <v>1574</v>
      </c>
      <c r="BK188" s="30"/>
      <c r="BL188" s="30"/>
      <c r="BM188" s="30"/>
      <c r="BN188" s="30"/>
      <c r="BO188" s="30"/>
      <c r="BP188" s="30"/>
      <c r="BQ188" s="30"/>
      <c r="BR188" s="30"/>
      <c r="BS188" s="30"/>
      <c r="BT188" s="30"/>
      <c r="BU188" s="30"/>
      <c r="BV188" s="113"/>
    </row>
    <row r="189" spans="1:74" ht="217.5" hidden="1" x14ac:dyDescent="0.35">
      <c r="A189" s="22">
        <v>5</v>
      </c>
      <c r="B189" s="22" t="s">
        <v>1451</v>
      </c>
      <c r="C189" s="22" t="s">
        <v>1452</v>
      </c>
      <c r="D189" s="22" t="s">
        <v>1224</v>
      </c>
      <c r="E189" s="22" t="s">
        <v>1453</v>
      </c>
      <c r="F189" s="22"/>
      <c r="G189" s="22" t="s">
        <v>1274</v>
      </c>
      <c r="H189" s="21" t="s">
        <v>1281</v>
      </c>
      <c r="I189" s="22"/>
      <c r="J189" s="21" t="s">
        <v>1326</v>
      </c>
      <c r="K189" s="30"/>
      <c r="L189" s="30" t="s">
        <v>1239</v>
      </c>
      <c r="M189" s="35" t="str">
        <f>VLOOKUP(H189,'1_Value &amp; risk levers'!$H$9:$O$1048576,2,FALSE)</f>
        <v>Not undertaken</v>
      </c>
      <c r="N189" s="35" t="str">
        <f>VLOOKUP(H189,'1_Value &amp; risk levers'!$H$9:$O$1048576,3,FALSE)</f>
        <v>Initial stages of exploration, requires more work</v>
      </c>
      <c r="O189" s="35" t="str">
        <f>VLOOKUP(H189,'1_Value &amp; risk levers'!$H$9:$O$1048576,4,FALSE)</f>
        <v>Ad-hoc but frequent rationalization initiatives</v>
      </c>
      <c r="P189" s="35" t="str">
        <f>VLOOKUP(H189,'1_Value &amp; risk levers'!$H$9:$O$1048576,5,FALSE)</f>
        <v>Fully optimized methodology to review cost and simplicity periodically</v>
      </c>
      <c r="Q189" s="77">
        <f>IF(VLOOKUP(H189,'1_Value &amp; risk levers'!$H$9:$T$1048576,13,FALSE)=0,"",VLOOKUP(H189,'1_Value &amp; risk levers'!$H$9:$T$1048576,13,FALSE))</f>
        <v>4</v>
      </c>
      <c r="R189" s="128">
        <f t="shared" si="44"/>
        <v>2</v>
      </c>
      <c r="S189" s="128" t="e">
        <f t="shared" si="45"/>
        <v>#DIV/0!</v>
      </c>
      <c r="T189" s="77"/>
      <c r="U189" s="77"/>
      <c r="V189" s="55"/>
      <c r="W189" s="71">
        <v>0.04</v>
      </c>
      <c r="X189" s="71">
        <v>0.1</v>
      </c>
      <c r="Y189" s="71">
        <f>VLOOKUP(H189,'1_Value &amp; risk levers'!$H$9:$O$1048576,8,FALSE)</f>
        <v>0.8</v>
      </c>
      <c r="Z189" s="51">
        <f t="shared" si="46"/>
        <v>7.0000000000000007E-2</v>
      </c>
      <c r="AA189" s="51">
        <f t="shared" si="48"/>
        <v>8.5000000000000006E-2</v>
      </c>
      <c r="AB189" s="55">
        <f t="shared" si="49"/>
        <v>2800000.0000000005</v>
      </c>
      <c r="AC189" s="55">
        <f t="shared" si="50"/>
        <v>3400000.0000000005</v>
      </c>
      <c r="AD189" s="80">
        <f t="shared" si="51"/>
        <v>7</v>
      </c>
      <c r="AE189" s="84">
        <f t="shared" si="52"/>
        <v>0.48864540816326468</v>
      </c>
      <c r="AF189" s="71" t="str">
        <f t="shared" si="53"/>
        <v>Low</v>
      </c>
      <c r="AG189" s="84">
        <f t="shared" si="54"/>
        <v>5.9772908163265304E-2</v>
      </c>
      <c r="AH189" s="84">
        <f t="shared" si="55"/>
        <v>9.5227091836734709E-2</v>
      </c>
      <c r="AI189" s="73">
        <f t="shared" si="56"/>
        <v>2390916.3265306121</v>
      </c>
      <c r="AJ189" s="73">
        <f t="shared" si="57"/>
        <v>3809083.6734693884</v>
      </c>
      <c r="AK189" s="46">
        <f>VLOOKUP(H189,'1_Value &amp; risk levers'!$H$9:$O$1048576,6,FALSE)</f>
        <v>0.02</v>
      </c>
      <c r="AL189" s="46">
        <f>VLOOKUP(H189,'1_Value &amp; risk levers'!$H$9:$O$1048576,7,FALSE)</f>
        <v>0.03</v>
      </c>
      <c r="AM189" s="50">
        <f t="shared" si="58"/>
        <v>0.02</v>
      </c>
      <c r="AN189" s="72">
        <f t="shared" si="59"/>
        <v>9.3023255813953487E-2</v>
      </c>
      <c r="AO189" s="84">
        <f t="shared" si="60"/>
        <v>5.5602705268153769E-3</v>
      </c>
      <c r="AP189" s="84">
        <f t="shared" si="61"/>
        <v>8.858334124347415E-3</v>
      </c>
      <c r="AQ189" s="55">
        <f t="shared" si="62"/>
        <v>260465.1162790698</v>
      </c>
      <c r="AR189" s="55">
        <f t="shared" si="63"/>
        <v>316279.06976744189</v>
      </c>
      <c r="AS189" s="83">
        <f t="shared" si="47"/>
        <v>41</v>
      </c>
      <c r="AT189" s="50">
        <f t="shared" si="64"/>
        <v>3.75</v>
      </c>
      <c r="AU189" s="55" t="str">
        <f t="shared" si="65"/>
        <v>Low</v>
      </c>
      <c r="AV189" s="34" t="s">
        <v>1505</v>
      </c>
      <c r="AW189" s="111"/>
      <c r="AX189" s="30" t="s">
        <v>1493</v>
      </c>
      <c r="AY189" s="30"/>
      <c r="AZ189" s="85" t="str">
        <f>IF(ISERROR(_xlfn.XLOOKUP(CONCATENATE(A189,"_",AV189),'Reference-Proof pt impact flag'!$I$3:$I$1048576,'Reference-Proof pt impact flag'!$G$3:$G$1048576)),"",_xlfn.XLOOKUP(CONCATENATE(A189,"_",AV189),'Reference-Proof pt impact flag'!$I$3:$I$1048576,'Reference-Proof pt impact flag'!$G$3:$G$1048576))</f>
        <v/>
      </c>
      <c r="BA189" s="74"/>
      <c r="BB189" s="74"/>
      <c r="BC189" s="74"/>
      <c r="BD189" s="74"/>
      <c r="BE189" s="74"/>
      <c r="BF189" s="74" t="e">
        <f>_xlfn.XLOOKUP(CONCATENATE(H189,"_",AV189),'Test 2 - Proof points - GPT5'!$T:$T,'Test 2 - Proof points - GPT5'!$S:$S)</f>
        <v>#N/A</v>
      </c>
      <c r="BG189" s="74" t="e">
        <f>_xlfn.XLOOKUP(CONCATENATE(H189,"_",AV189),'Test 2 -Proof points - Sonnet'!$AB:$AB,'Test 2 -Proof points - Sonnet'!$AA:$AA)</f>
        <v>#N/A</v>
      </c>
      <c r="BH189" s="74"/>
      <c r="BI189" s="74"/>
      <c r="BJ189" s="74" t="s">
        <v>1574</v>
      </c>
      <c r="BK189" s="30"/>
      <c r="BL189" s="30"/>
      <c r="BM189" s="30"/>
      <c r="BN189" s="30"/>
      <c r="BO189" s="30"/>
      <c r="BP189" s="30"/>
      <c r="BQ189" s="30"/>
      <c r="BR189" s="30"/>
      <c r="BS189" s="30"/>
      <c r="BT189" s="30"/>
      <c r="BU189" s="30"/>
      <c r="BV189" s="113"/>
    </row>
    <row r="190" spans="1:74" ht="217.5" hidden="1" x14ac:dyDescent="0.35">
      <c r="A190" s="22">
        <v>5</v>
      </c>
      <c r="B190" s="22" t="s">
        <v>1451</v>
      </c>
      <c r="C190" s="22" t="s">
        <v>1452</v>
      </c>
      <c r="D190" s="22" t="s">
        <v>1224</v>
      </c>
      <c r="E190" s="22" t="s">
        <v>1453</v>
      </c>
      <c r="F190" s="22"/>
      <c r="G190" s="22" t="s">
        <v>1274</v>
      </c>
      <c r="H190" s="21" t="s">
        <v>1281</v>
      </c>
      <c r="I190" s="22"/>
      <c r="J190" s="21" t="s">
        <v>1326</v>
      </c>
      <c r="K190" s="30"/>
      <c r="L190" s="30" t="s">
        <v>1239</v>
      </c>
      <c r="M190" s="35" t="str">
        <f>VLOOKUP(H190,'1_Value &amp; risk levers'!$H$9:$O$1048576,2,FALSE)</f>
        <v>Not undertaken</v>
      </c>
      <c r="N190" s="35" t="str">
        <f>VLOOKUP(H190,'1_Value &amp; risk levers'!$H$9:$O$1048576,3,FALSE)</f>
        <v>Initial stages of exploration, requires more work</v>
      </c>
      <c r="O190" s="35" t="str">
        <f>VLOOKUP(H190,'1_Value &amp; risk levers'!$H$9:$O$1048576,4,FALSE)</f>
        <v>Ad-hoc but frequent rationalization initiatives</v>
      </c>
      <c r="P190" s="35" t="str">
        <f>VLOOKUP(H190,'1_Value &amp; risk levers'!$H$9:$O$1048576,5,FALSE)</f>
        <v>Fully optimized methodology to review cost and simplicity periodically</v>
      </c>
      <c r="Q190" s="77">
        <f>IF(VLOOKUP(H190,'1_Value &amp; risk levers'!$H$9:$T$1048576,13,FALSE)=0,"",VLOOKUP(H190,'1_Value &amp; risk levers'!$H$9:$T$1048576,13,FALSE))</f>
        <v>4</v>
      </c>
      <c r="R190" s="128">
        <f t="shared" si="44"/>
        <v>2</v>
      </c>
      <c r="S190" s="128" t="e">
        <f t="shared" si="45"/>
        <v>#DIV/0!</v>
      </c>
      <c r="T190" s="77"/>
      <c r="U190" s="77"/>
      <c r="V190" s="55"/>
      <c r="W190" s="71">
        <v>0.04</v>
      </c>
      <c r="X190" s="71">
        <v>0.1</v>
      </c>
      <c r="Y190" s="71">
        <f>VLOOKUP(H190,'1_Value &amp; risk levers'!$H$9:$O$1048576,8,FALSE)</f>
        <v>0.8</v>
      </c>
      <c r="Z190" s="51">
        <f t="shared" si="46"/>
        <v>7.0000000000000007E-2</v>
      </c>
      <c r="AA190" s="51">
        <f t="shared" si="48"/>
        <v>8.5000000000000006E-2</v>
      </c>
      <c r="AB190" s="55">
        <f t="shared" si="49"/>
        <v>2800000.0000000005</v>
      </c>
      <c r="AC190" s="55">
        <f t="shared" si="50"/>
        <v>3400000.0000000005</v>
      </c>
      <c r="AD190" s="80">
        <f t="shared" si="51"/>
        <v>7</v>
      </c>
      <c r="AE190" s="84">
        <f t="shared" si="52"/>
        <v>0.48864540816326468</v>
      </c>
      <c r="AF190" s="71" t="str">
        <f t="shared" si="53"/>
        <v>Low</v>
      </c>
      <c r="AG190" s="84">
        <f t="shared" si="54"/>
        <v>5.9772908163265304E-2</v>
      </c>
      <c r="AH190" s="84">
        <f t="shared" si="55"/>
        <v>9.5227091836734709E-2</v>
      </c>
      <c r="AI190" s="73">
        <f t="shared" si="56"/>
        <v>2390916.3265306121</v>
      </c>
      <c r="AJ190" s="73">
        <f t="shared" si="57"/>
        <v>3809083.6734693884</v>
      </c>
      <c r="AK190" s="46">
        <f>VLOOKUP(H190,'1_Value &amp; risk levers'!$H$9:$O$1048576,6,FALSE)</f>
        <v>0.02</v>
      </c>
      <c r="AL190" s="46">
        <f>VLOOKUP(H190,'1_Value &amp; risk levers'!$H$9:$O$1048576,7,FALSE)</f>
        <v>0.03</v>
      </c>
      <c r="AM190" s="50">
        <f t="shared" si="58"/>
        <v>0.02</v>
      </c>
      <c r="AN190" s="72">
        <f t="shared" si="59"/>
        <v>9.3023255813953487E-2</v>
      </c>
      <c r="AO190" s="84">
        <f t="shared" si="60"/>
        <v>5.5602705268153769E-3</v>
      </c>
      <c r="AP190" s="84">
        <f t="shared" si="61"/>
        <v>8.858334124347415E-3</v>
      </c>
      <c r="AQ190" s="55">
        <f t="shared" si="62"/>
        <v>260465.1162790698</v>
      </c>
      <c r="AR190" s="55">
        <f t="shared" si="63"/>
        <v>316279.06976744189</v>
      </c>
      <c r="AS190" s="83">
        <f t="shared" si="47"/>
        <v>41</v>
      </c>
      <c r="AT190" s="50">
        <f t="shared" si="64"/>
        <v>3.75</v>
      </c>
      <c r="AU190" s="55" t="str">
        <f t="shared" si="65"/>
        <v>Low</v>
      </c>
      <c r="AV190" s="34" t="s">
        <v>1506</v>
      </c>
      <c r="AW190" s="111"/>
      <c r="AX190" s="30" t="s">
        <v>1493</v>
      </c>
      <c r="AY190" s="30"/>
      <c r="AZ190" s="85" t="str">
        <f>IF(ISERROR(_xlfn.XLOOKUP(CONCATENATE(A190,"_",AV190),'Reference-Proof pt impact flag'!$I$3:$I$1048576,'Reference-Proof pt impact flag'!$G$3:$G$1048576)),"",_xlfn.XLOOKUP(CONCATENATE(A190,"_",AV190),'Reference-Proof pt impact flag'!$I$3:$I$1048576,'Reference-Proof pt impact flag'!$G$3:$G$1048576))</f>
        <v/>
      </c>
      <c r="BA190" s="74"/>
      <c r="BB190" s="74"/>
      <c r="BC190" s="74"/>
      <c r="BD190" s="74"/>
      <c r="BE190" s="74"/>
      <c r="BF190" s="74" t="e">
        <f>_xlfn.XLOOKUP(CONCATENATE(H190,"_",AV190),'Test 2 - Proof points - GPT5'!$T:$T,'Test 2 - Proof points - GPT5'!$S:$S)</f>
        <v>#N/A</v>
      </c>
      <c r="BG190" s="74" t="e">
        <f>_xlfn.XLOOKUP(CONCATENATE(H190,"_",AV190),'Test 2 -Proof points - Sonnet'!$AB:$AB,'Test 2 -Proof points - Sonnet'!$AA:$AA)</f>
        <v>#N/A</v>
      </c>
      <c r="BH190" s="74"/>
      <c r="BI190" s="74"/>
      <c r="BJ190" s="74" t="s">
        <v>1574</v>
      </c>
      <c r="BK190" s="30"/>
      <c r="BL190" s="30"/>
      <c r="BM190" s="30"/>
      <c r="BN190" s="30"/>
      <c r="BO190" s="30"/>
      <c r="BP190" s="30"/>
      <c r="BQ190" s="30"/>
      <c r="BR190" s="30"/>
      <c r="BS190" s="30"/>
      <c r="BT190" s="30"/>
      <c r="BU190" s="30"/>
      <c r="BV190" s="113"/>
    </row>
    <row r="191" spans="1:74" ht="217.5" hidden="1" x14ac:dyDescent="0.35">
      <c r="A191" s="22">
        <v>5</v>
      </c>
      <c r="B191" s="22" t="s">
        <v>1451</v>
      </c>
      <c r="C191" s="22" t="s">
        <v>1452</v>
      </c>
      <c r="D191" s="22" t="s">
        <v>1224</v>
      </c>
      <c r="E191" s="22" t="s">
        <v>1453</v>
      </c>
      <c r="F191" s="22"/>
      <c r="G191" s="22" t="s">
        <v>1274</v>
      </c>
      <c r="H191" s="21" t="s">
        <v>1281</v>
      </c>
      <c r="I191" s="22"/>
      <c r="J191" s="21" t="s">
        <v>1326</v>
      </c>
      <c r="K191" s="30"/>
      <c r="L191" s="30" t="s">
        <v>1239</v>
      </c>
      <c r="M191" s="35" t="str">
        <f>VLOOKUP(H191,'1_Value &amp; risk levers'!$H$9:$O$1048576,2,FALSE)</f>
        <v>Not undertaken</v>
      </c>
      <c r="N191" s="35" t="str">
        <f>VLOOKUP(H191,'1_Value &amp; risk levers'!$H$9:$O$1048576,3,FALSE)</f>
        <v>Initial stages of exploration, requires more work</v>
      </c>
      <c r="O191" s="35" t="str">
        <f>VLOOKUP(H191,'1_Value &amp; risk levers'!$H$9:$O$1048576,4,FALSE)</f>
        <v>Ad-hoc but frequent rationalization initiatives</v>
      </c>
      <c r="P191" s="35" t="str">
        <f>VLOOKUP(H191,'1_Value &amp; risk levers'!$H$9:$O$1048576,5,FALSE)</f>
        <v>Fully optimized methodology to review cost and simplicity periodically</v>
      </c>
      <c r="Q191" s="77">
        <f>IF(VLOOKUP(H191,'1_Value &amp; risk levers'!$H$9:$T$1048576,13,FALSE)=0,"",VLOOKUP(H191,'1_Value &amp; risk levers'!$H$9:$T$1048576,13,FALSE))</f>
        <v>4</v>
      </c>
      <c r="R191" s="128">
        <f t="shared" si="44"/>
        <v>2</v>
      </c>
      <c r="S191" s="128" t="e">
        <f t="shared" si="45"/>
        <v>#DIV/0!</v>
      </c>
      <c r="T191" s="77"/>
      <c r="U191" s="77"/>
      <c r="V191" s="55"/>
      <c r="W191" s="71">
        <v>0.04</v>
      </c>
      <c r="X191" s="71">
        <v>0.1</v>
      </c>
      <c r="Y191" s="71">
        <f>VLOOKUP(H191,'1_Value &amp; risk levers'!$H$9:$O$1048576,8,FALSE)</f>
        <v>0.8</v>
      </c>
      <c r="Z191" s="51">
        <f t="shared" si="46"/>
        <v>7.0000000000000007E-2</v>
      </c>
      <c r="AA191" s="51">
        <f t="shared" si="48"/>
        <v>8.5000000000000006E-2</v>
      </c>
      <c r="AB191" s="55">
        <f t="shared" si="49"/>
        <v>2800000.0000000005</v>
      </c>
      <c r="AC191" s="55">
        <f t="shared" si="50"/>
        <v>3400000.0000000005</v>
      </c>
      <c r="AD191" s="80">
        <f t="shared" si="51"/>
        <v>7</v>
      </c>
      <c r="AE191" s="84">
        <f t="shared" si="52"/>
        <v>0.48864540816326468</v>
      </c>
      <c r="AF191" s="71" t="str">
        <f t="shared" si="53"/>
        <v>Low</v>
      </c>
      <c r="AG191" s="84">
        <f t="shared" si="54"/>
        <v>5.9772908163265304E-2</v>
      </c>
      <c r="AH191" s="84">
        <f t="shared" si="55"/>
        <v>9.5227091836734709E-2</v>
      </c>
      <c r="AI191" s="73">
        <f t="shared" si="56"/>
        <v>2390916.3265306121</v>
      </c>
      <c r="AJ191" s="73">
        <f t="shared" si="57"/>
        <v>3809083.6734693884</v>
      </c>
      <c r="AK191" s="46">
        <f>VLOOKUP(H191,'1_Value &amp; risk levers'!$H$9:$O$1048576,6,FALSE)</f>
        <v>0.02</v>
      </c>
      <c r="AL191" s="46">
        <f>VLOOKUP(H191,'1_Value &amp; risk levers'!$H$9:$O$1048576,7,FALSE)</f>
        <v>0.03</v>
      </c>
      <c r="AM191" s="50">
        <f t="shared" si="58"/>
        <v>0.02</v>
      </c>
      <c r="AN191" s="72">
        <f t="shared" si="59"/>
        <v>9.3023255813953487E-2</v>
      </c>
      <c r="AO191" s="84">
        <f t="shared" si="60"/>
        <v>5.5602705268153769E-3</v>
      </c>
      <c r="AP191" s="84">
        <f t="shared" si="61"/>
        <v>8.858334124347415E-3</v>
      </c>
      <c r="AQ191" s="55">
        <f t="shared" si="62"/>
        <v>260465.1162790698</v>
      </c>
      <c r="AR191" s="55">
        <f t="shared" si="63"/>
        <v>316279.06976744189</v>
      </c>
      <c r="AS191" s="83">
        <f t="shared" si="47"/>
        <v>41</v>
      </c>
      <c r="AT191" s="50">
        <f t="shared" si="64"/>
        <v>3.75</v>
      </c>
      <c r="AU191" s="55" t="str">
        <f t="shared" si="65"/>
        <v>Low</v>
      </c>
      <c r="AV191" s="34" t="s">
        <v>1507</v>
      </c>
      <c r="AW191" s="111"/>
      <c r="AX191" s="30" t="s">
        <v>1493</v>
      </c>
      <c r="AY191" s="30"/>
      <c r="AZ191" s="85" t="str">
        <f>IF(ISERROR(_xlfn.XLOOKUP(CONCATENATE(A191,"_",AV191),'Reference-Proof pt impact flag'!$I$3:$I$1048576,'Reference-Proof pt impact flag'!$G$3:$G$1048576)),"",_xlfn.XLOOKUP(CONCATENATE(A191,"_",AV191),'Reference-Proof pt impact flag'!$I$3:$I$1048576,'Reference-Proof pt impact flag'!$G$3:$G$1048576))</f>
        <v/>
      </c>
      <c r="BA191" s="74"/>
      <c r="BB191" s="74"/>
      <c r="BC191" s="74"/>
      <c r="BD191" s="74"/>
      <c r="BE191" s="74"/>
      <c r="BF191" s="74" t="e">
        <f>_xlfn.XLOOKUP(CONCATENATE(H191,"_",AV191),'Test 2 - Proof points - GPT5'!$T:$T,'Test 2 - Proof points - GPT5'!$S:$S)</f>
        <v>#N/A</v>
      </c>
      <c r="BG191" s="74" t="e">
        <f>_xlfn.XLOOKUP(CONCATENATE(H191,"_",AV191),'Test 2 -Proof points - Sonnet'!$AB:$AB,'Test 2 -Proof points - Sonnet'!$AA:$AA)</f>
        <v>#N/A</v>
      </c>
      <c r="BH191" s="74"/>
      <c r="BI191" s="74"/>
      <c r="BJ191" s="74" t="s">
        <v>1574</v>
      </c>
      <c r="BK191" s="30"/>
      <c r="BL191" s="30"/>
      <c r="BM191" s="30"/>
      <c r="BN191" s="30"/>
      <c r="BO191" s="30"/>
      <c r="BP191" s="30"/>
      <c r="BQ191" s="30"/>
      <c r="BR191" s="30"/>
      <c r="BS191" s="30"/>
      <c r="BT191" s="30"/>
      <c r="BU191" s="30"/>
      <c r="BV191" s="113"/>
    </row>
    <row r="192" spans="1:74" ht="217.5" hidden="1" x14ac:dyDescent="0.35">
      <c r="A192" s="22">
        <v>5</v>
      </c>
      <c r="B192" s="22" t="s">
        <v>1451</v>
      </c>
      <c r="C192" s="22" t="s">
        <v>1452</v>
      </c>
      <c r="D192" s="22" t="s">
        <v>1224</v>
      </c>
      <c r="E192" s="22" t="s">
        <v>1453</v>
      </c>
      <c r="F192" s="22"/>
      <c r="G192" s="22" t="s">
        <v>1274</v>
      </c>
      <c r="H192" s="21" t="s">
        <v>1281</v>
      </c>
      <c r="I192" s="22"/>
      <c r="J192" s="21" t="s">
        <v>1326</v>
      </c>
      <c r="K192" s="30"/>
      <c r="L192" s="30" t="s">
        <v>1239</v>
      </c>
      <c r="M192" s="35" t="str">
        <f>VLOOKUP(H192,'1_Value &amp; risk levers'!$H$9:$O$1048576,2,FALSE)</f>
        <v>Not undertaken</v>
      </c>
      <c r="N192" s="35" t="str">
        <f>VLOOKUP(H192,'1_Value &amp; risk levers'!$H$9:$O$1048576,3,FALSE)</f>
        <v>Initial stages of exploration, requires more work</v>
      </c>
      <c r="O192" s="35" t="str">
        <f>VLOOKUP(H192,'1_Value &amp; risk levers'!$H$9:$O$1048576,4,FALSE)</f>
        <v>Ad-hoc but frequent rationalization initiatives</v>
      </c>
      <c r="P192" s="35" t="str">
        <f>VLOOKUP(H192,'1_Value &amp; risk levers'!$H$9:$O$1048576,5,FALSE)</f>
        <v>Fully optimized methodology to review cost and simplicity periodically</v>
      </c>
      <c r="Q192" s="77">
        <f>IF(VLOOKUP(H192,'1_Value &amp; risk levers'!$H$9:$T$1048576,13,FALSE)=0,"",VLOOKUP(H192,'1_Value &amp; risk levers'!$H$9:$T$1048576,13,FALSE))</f>
        <v>4</v>
      </c>
      <c r="R192" s="128">
        <f t="shared" si="44"/>
        <v>2</v>
      </c>
      <c r="S192" s="128" t="e">
        <f t="shared" si="45"/>
        <v>#DIV/0!</v>
      </c>
      <c r="T192" s="77"/>
      <c r="U192" s="77"/>
      <c r="V192" s="55"/>
      <c r="W192" s="71">
        <v>0.04</v>
      </c>
      <c r="X192" s="71">
        <v>0.1</v>
      </c>
      <c r="Y192" s="71">
        <f>VLOOKUP(H192,'1_Value &amp; risk levers'!$H$9:$O$1048576,8,FALSE)</f>
        <v>0.8</v>
      </c>
      <c r="Z192" s="51">
        <f t="shared" si="46"/>
        <v>7.0000000000000007E-2</v>
      </c>
      <c r="AA192" s="51">
        <f t="shared" si="48"/>
        <v>8.5000000000000006E-2</v>
      </c>
      <c r="AB192" s="55">
        <f t="shared" si="49"/>
        <v>2800000.0000000005</v>
      </c>
      <c r="AC192" s="55">
        <f t="shared" si="50"/>
        <v>3400000.0000000005</v>
      </c>
      <c r="AD192" s="80">
        <f t="shared" si="51"/>
        <v>7</v>
      </c>
      <c r="AE192" s="84">
        <f t="shared" si="52"/>
        <v>0.48864540816326468</v>
      </c>
      <c r="AF192" s="71" t="str">
        <f t="shared" si="53"/>
        <v>Low</v>
      </c>
      <c r="AG192" s="84">
        <f t="shared" si="54"/>
        <v>5.9772908163265304E-2</v>
      </c>
      <c r="AH192" s="84">
        <f t="shared" si="55"/>
        <v>9.5227091836734709E-2</v>
      </c>
      <c r="AI192" s="73">
        <f t="shared" si="56"/>
        <v>2390916.3265306121</v>
      </c>
      <c r="AJ192" s="73">
        <f t="shared" si="57"/>
        <v>3809083.6734693884</v>
      </c>
      <c r="AK192" s="46">
        <f>VLOOKUP(H192,'1_Value &amp; risk levers'!$H$9:$O$1048576,6,FALSE)</f>
        <v>0.02</v>
      </c>
      <c r="AL192" s="46">
        <f>VLOOKUP(H192,'1_Value &amp; risk levers'!$H$9:$O$1048576,7,FALSE)</f>
        <v>0.03</v>
      </c>
      <c r="AM192" s="50">
        <f t="shared" si="58"/>
        <v>0.02</v>
      </c>
      <c r="AN192" s="72">
        <f t="shared" si="59"/>
        <v>9.3023255813953487E-2</v>
      </c>
      <c r="AO192" s="84">
        <f t="shared" si="60"/>
        <v>5.5602705268153769E-3</v>
      </c>
      <c r="AP192" s="84">
        <f t="shared" si="61"/>
        <v>8.858334124347415E-3</v>
      </c>
      <c r="AQ192" s="55">
        <f t="shared" si="62"/>
        <v>260465.1162790698</v>
      </c>
      <c r="AR192" s="55">
        <f t="shared" si="63"/>
        <v>316279.06976744189</v>
      </c>
      <c r="AS192" s="83">
        <f t="shared" si="47"/>
        <v>41</v>
      </c>
      <c r="AT192" s="50">
        <f t="shared" si="64"/>
        <v>3.75</v>
      </c>
      <c r="AU192" s="55" t="str">
        <f t="shared" si="65"/>
        <v>Low</v>
      </c>
      <c r="AV192" s="34" t="s">
        <v>1508</v>
      </c>
      <c r="AW192" s="111"/>
      <c r="AX192" s="30" t="s">
        <v>1493</v>
      </c>
      <c r="AY192" s="27"/>
      <c r="AZ192" s="85" t="str">
        <f>IF(ISERROR(_xlfn.XLOOKUP(CONCATENATE(A192,"_",AV192),'Reference-Proof pt impact flag'!$I$3:$I$1048576,'Reference-Proof pt impact flag'!$G$3:$G$1048576)),"",_xlfn.XLOOKUP(CONCATENATE(A192,"_",AV192),'Reference-Proof pt impact flag'!$I$3:$I$1048576,'Reference-Proof pt impact flag'!$G$3:$G$1048576))</f>
        <v/>
      </c>
      <c r="BA192" s="74"/>
      <c r="BB192" s="74"/>
      <c r="BC192" s="74"/>
      <c r="BD192" s="74"/>
      <c r="BE192" s="74"/>
      <c r="BF192" s="74" t="e">
        <f>_xlfn.XLOOKUP(CONCATENATE(H192,"_",AV192),'Test 2 - Proof points - GPT5'!$T:$T,'Test 2 - Proof points - GPT5'!$S:$S)</f>
        <v>#N/A</v>
      </c>
      <c r="BG192" s="74" t="e">
        <f>_xlfn.XLOOKUP(CONCATENATE(H192,"_",AV192),'Test 2 -Proof points - Sonnet'!$AB:$AB,'Test 2 -Proof points - Sonnet'!$AA:$AA)</f>
        <v>#N/A</v>
      </c>
      <c r="BH192" s="74"/>
      <c r="BI192" s="74"/>
      <c r="BJ192" s="74" t="s">
        <v>1574</v>
      </c>
      <c r="BK192" s="30"/>
      <c r="BL192" s="30"/>
      <c r="BM192" s="30"/>
      <c r="BN192" s="30"/>
      <c r="BO192" s="30"/>
      <c r="BP192" s="30"/>
      <c r="BQ192" s="30"/>
      <c r="BR192" s="30"/>
      <c r="BS192" s="30"/>
      <c r="BT192" s="30"/>
      <c r="BU192" s="30"/>
      <c r="BV192" s="113"/>
    </row>
    <row r="193" spans="1:74" ht="217.5" hidden="1" x14ac:dyDescent="0.35">
      <c r="A193" s="22">
        <v>5</v>
      </c>
      <c r="B193" s="22" t="s">
        <v>1451</v>
      </c>
      <c r="C193" s="22" t="s">
        <v>1452</v>
      </c>
      <c r="D193" s="22" t="s">
        <v>1224</v>
      </c>
      <c r="E193" s="22" t="s">
        <v>1453</v>
      </c>
      <c r="F193" s="22"/>
      <c r="G193" s="22" t="s">
        <v>1274</v>
      </c>
      <c r="H193" s="21" t="s">
        <v>1281</v>
      </c>
      <c r="I193" s="22"/>
      <c r="J193" s="21" t="s">
        <v>1326</v>
      </c>
      <c r="K193" s="30"/>
      <c r="L193" s="30" t="s">
        <v>1239</v>
      </c>
      <c r="M193" s="35" t="str">
        <f>VLOOKUP(H193,'1_Value &amp; risk levers'!$H$9:$O$1048576,2,FALSE)</f>
        <v>Not undertaken</v>
      </c>
      <c r="N193" s="35" t="str">
        <f>VLOOKUP(H193,'1_Value &amp; risk levers'!$H$9:$O$1048576,3,FALSE)</f>
        <v>Initial stages of exploration, requires more work</v>
      </c>
      <c r="O193" s="35" t="str">
        <f>VLOOKUP(H193,'1_Value &amp; risk levers'!$H$9:$O$1048576,4,FALSE)</f>
        <v>Ad-hoc but frequent rationalization initiatives</v>
      </c>
      <c r="P193" s="35" t="str">
        <f>VLOOKUP(H193,'1_Value &amp; risk levers'!$H$9:$O$1048576,5,FALSE)</f>
        <v>Fully optimized methodology to review cost and simplicity periodically</v>
      </c>
      <c r="Q193" s="77">
        <f>IF(VLOOKUP(H193,'1_Value &amp; risk levers'!$H$9:$T$1048576,13,FALSE)=0,"",VLOOKUP(H193,'1_Value &amp; risk levers'!$H$9:$T$1048576,13,FALSE))</f>
        <v>4</v>
      </c>
      <c r="R193" s="128">
        <f t="shared" si="44"/>
        <v>2</v>
      </c>
      <c r="S193" s="128" t="e">
        <f t="shared" si="45"/>
        <v>#DIV/0!</v>
      </c>
      <c r="T193" s="77"/>
      <c r="U193" s="77"/>
      <c r="V193" s="55"/>
      <c r="W193" s="71">
        <v>0.04</v>
      </c>
      <c r="X193" s="71">
        <v>0.1</v>
      </c>
      <c r="Y193" s="71">
        <f>VLOOKUP(H193,'1_Value &amp; risk levers'!$H$9:$O$1048576,8,FALSE)</f>
        <v>0.8</v>
      </c>
      <c r="Z193" s="51">
        <f t="shared" si="46"/>
        <v>7.0000000000000007E-2</v>
      </c>
      <c r="AA193" s="51">
        <f t="shared" si="48"/>
        <v>8.5000000000000006E-2</v>
      </c>
      <c r="AB193" s="55">
        <f t="shared" si="49"/>
        <v>2800000.0000000005</v>
      </c>
      <c r="AC193" s="55">
        <f t="shared" si="50"/>
        <v>3400000.0000000005</v>
      </c>
      <c r="AD193" s="80">
        <f t="shared" si="51"/>
        <v>7</v>
      </c>
      <c r="AE193" s="84">
        <f t="shared" si="52"/>
        <v>0.48864540816326468</v>
      </c>
      <c r="AF193" s="71" t="str">
        <f t="shared" si="53"/>
        <v>Low</v>
      </c>
      <c r="AG193" s="84">
        <f t="shared" si="54"/>
        <v>5.9772908163265304E-2</v>
      </c>
      <c r="AH193" s="84">
        <f t="shared" si="55"/>
        <v>9.5227091836734709E-2</v>
      </c>
      <c r="AI193" s="73">
        <f t="shared" si="56"/>
        <v>2390916.3265306121</v>
      </c>
      <c r="AJ193" s="73">
        <f t="shared" si="57"/>
        <v>3809083.6734693884</v>
      </c>
      <c r="AK193" s="46">
        <f>VLOOKUP(H193,'1_Value &amp; risk levers'!$H$9:$O$1048576,6,FALSE)</f>
        <v>0.02</v>
      </c>
      <c r="AL193" s="46">
        <f>VLOOKUP(H193,'1_Value &amp; risk levers'!$H$9:$O$1048576,7,FALSE)</f>
        <v>0.03</v>
      </c>
      <c r="AM193" s="50">
        <f t="shared" si="58"/>
        <v>0.02</v>
      </c>
      <c r="AN193" s="72">
        <f t="shared" si="59"/>
        <v>9.3023255813953487E-2</v>
      </c>
      <c r="AO193" s="84">
        <f t="shared" si="60"/>
        <v>5.5602705268153769E-3</v>
      </c>
      <c r="AP193" s="84">
        <f t="shared" si="61"/>
        <v>8.858334124347415E-3</v>
      </c>
      <c r="AQ193" s="55">
        <f t="shared" si="62"/>
        <v>260465.1162790698</v>
      </c>
      <c r="AR193" s="55">
        <f t="shared" si="63"/>
        <v>316279.06976744189</v>
      </c>
      <c r="AS193" s="83">
        <f t="shared" si="47"/>
        <v>41</v>
      </c>
      <c r="AT193" s="50">
        <f t="shared" si="64"/>
        <v>3.75</v>
      </c>
      <c r="AU193" s="55" t="str">
        <f t="shared" si="65"/>
        <v>Low</v>
      </c>
      <c r="AV193" s="34" t="s">
        <v>1509</v>
      </c>
      <c r="AW193" s="111"/>
      <c r="AX193" s="30" t="s">
        <v>1493</v>
      </c>
      <c r="AY193" s="30"/>
      <c r="AZ193" s="85" t="str">
        <f>IF(ISERROR(_xlfn.XLOOKUP(CONCATENATE(A193,"_",AV193),'Reference-Proof pt impact flag'!$I$3:$I$1048576,'Reference-Proof pt impact flag'!$G$3:$G$1048576)),"",_xlfn.XLOOKUP(CONCATENATE(A193,"_",AV193),'Reference-Proof pt impact flag'!$I$3:$I$1048576,'Reference-Proof pt impact flag'!$G$3:$G$1048576))</f>
        <v/>
      </c>
      <c r="BA193" s="74"/>
      <c r="BB193" s="74"/>
      <c r="BC193" s="74"/>
      <c r="BD193" s="74"/>
      <c r="BE193" s="74"/>
      <c r="BF193" s="74" t="e">
        <f>_xlfn.XLOOKUP(CONCATENATE(H193,"_",AV193),'Test 2 - Proof points - GPT5'!$T:$T,'Test 2 - Proof points - GPT5'!$S:$S)</f>
        <v>#N/A</v>
      </c>
      <c r="BG193" s="74" t="e">
        <f>_xlfn.XLOOKUP(CONCATENATE(H193,"_",AV193),'Test 2 -Proof points - Sonnet'!$AB:$AB,'Test 2 -Proof points - Sonnet'!$AA:$AA)</f>
        <v>#N/A</v>
      </c>
      <c r="BH193" s="74"/>
      <c r="BI193" s="74"/>
      <c r="BJ193" s="74" t="s">
        <v>1574</v>
      </c>
      <c r="BK193" s="30"/>
      <c r="BL193" s="30"/>
      <c r="BM193" s="30"/>
      <c r="BN193" s="30"/>
      <c r="BO193" s="30"/>
      <c r="BP193" s="30"/>
      <c r="BQ193" s="30"/>
      <c r="BR193" s="30"/>
      <c r="BS193" s="30"/>
      <c r="BT193" s="30"/>
      <c r="BU193" s="30"/>
      <c r="BV193" s="113"/>
    </row>
    <row r="194" spans="1:74" ht="217.5" hidden="1" x14ac:dyDescent="0.35">
      <c r="A194" s="22">
        <v>5</v>
      </c>
      <c r="B194" s="22" t="s">
        <v>1451</v>
      </c>
      <c r="C194" s="22" t="s">
        <v>1452</v>
      </c>
      <c r="D194" s="22" t="s">
        <v>1224</v>
      </c>
      <c r="E194" s="22" t="s">
        <v>1453</v>
      </c>
      <c r="F194" s="22"/>
      <c r="G194" s="22" t="s">
        <v>1274</v>
      </c>
      <c r="H194" s="21" t="s">
        <v>1281</v>
      </c>
      <c r="I194" s="22"/>
      <c r="J194" s="21" t="s">
        <v>1326</v>
      </c>
      <c r="K194" s="30"/>
      <c r="L194" s="30" t="s">
        <v>1239</v>
      </c>
      <c r="M194" s="35" t="str">
        <f>VLOOKUP(H194,'1_Value &amp; risk levers'!$H$9:$O$1048576,2,FALSE)</f>
        <v>Not undertaken</v>
      </c>
      <c r="N194" s="35" t="str">
        <f>VLOOKUP(H194,'1_Value &amp; risk levers'!$H$9:$O$1048576,3,FALSE)</f>
        <v>Initial stages of exploration, requires more work</v>
      </c>
      <c r="O194" s="35" t="str">
        <f>VLOOKUP(H194,'1_Value &amp; risk levers'!$H$9:$O$1048576,4,FALSE)</f>
        <v>Ad-hoc but frequent rationalization initiatives</v>
      </c>
      <c r="P194" s="35" t="str">
        <f>VLOOKUP(H194,'1_Value &amp; risk levers'!$H$9:$O$1048576,5,FALSE)</f>
        <v>Fully optimized methodology to review cost and simplicity periodically</v>
      </c>
      <c r="Q194" s="128">
        <f>IF(VLOOKUP(H194,'1_Value &amp; risk levers'!$H$9:$T$1048576,13,FALSE)=0,"",VLOOKUP(H194,'1_Value &amp; risk levers'!$H$9:$T$1048576,13,FALSE))</f>
        <v>4</v>
      </c>
      <c r="R194" s="128">
        <f t="shared" si="44"/>
        <v>2</v>
      </c>
      <c r="S194" s="128" t="e">
        <f t="shared" si="45"/>
        <v>#DIV/0!</v>
      </c>
      <c r="T194" s="77"/>
      <c r="U194" s="77"/>
      <c r="V194" s="55"/>
      <c r="W194" s="71">
        <v>0.04</v>
      </c>
      <c r="X194" s="71">
        <v>0.1</v>
      </c>
      <c r="Y194" s="71">
        <f>VLOOKUP(H194,'1_Value &amp; risk levers'!$H$9:$O$1048576,8,FALSE)</f>
        <v>0.8</v>
      </c>
      <c r="Z194" s="51">
        <f t="shared" si="46"/>
        <v>7.0000000000000007E-2</v>
      </c>
      <c r="AA194" s="51">
        <f t="shared" si="48"/>
        <v>8.5000000000000006E-2</v>
      </c>
      <c r="AB194" s="55">
        <f t="shared" si="49"/>
        <v>2800000.0000000005</v>
      </c>
      <c r="AC194" s="55">
        <f t="shared" si="50"/>
        <v>3400000.0000000005</v>
      </c>
      <c r="AD194" s="80">
        <f t="shared" si="51"/>
        <v>7</v>
      </c>
      <c r="AE194" s="84">
        <f t="shared" si="52"/>
        <v>0.48864540816326468</v>
      </c>
      <c r="AF194" s="71" t="str">
        <f t="shared" si="53"/>
        <v>Low</v>
      </c>
      <c r="AG194" s="84">
        <f t="shared" si="54"/>
        <v>5.9772908163265304E-2</v>
      </c>
      <c r="AH194" s="84">
        <f t="shared" si="55"/>
        <v>9.5227091836734709E-2</v>
      </c>
      <c r="AI194" s="73">
        <f t="shared" si="56"/>
        <v>2390916.3265306121</v>
      </c>
      <c r="AJ194" s="73">
        <f t="shared" si="57"/>
        <v>3809083.6734693884</v>
      </c>
      <c r="AK194" s="46">
        <f>VLOOKUP(H194,'1_Value &amp; risk levers'!$H$9:$O$1048576,6,FALSE)</f>
        <v>0.02</v>
      </c>
      <c r="AL194" s="46">
        <f>VLOOKUP(H194,'1_Value &amp; risk levers'!$H$9:$O$1048576,7,FALSE)</f>
        <v>0.03</v>
      </c>
      <c r="AM194" s="50">
        <f t="shared" si="58"/>
        <v>0.02</v>
      </c>
      <c r="AN194" s="72">
        <f t="shared" si="59"/>
        <v>9.3023255813953487E-2</v>
      </c>
      <c r="AO194" s="84">
        <f t="shared" si="60"/>
        <v>5.5602705268153769E-3</v>
      </c>
      <c r="AP194" s="84">
        <f t="shared" si="61"/>
        <v>8.858334124347415E-3</v>
      </c>
      <c r="AQ194" s="55">
        <f t="shared" si="62"/>
        <v>260465.1162790698</v>
      </c>
      <c r="AR194" s="55">
        <f t="shared" si="63"/>
        <v>316279.06976744189</v>
      </c>
      <c r="AS194" s="83">
        <f t="shared" si="47"/>
        <v>41</v>
      </c>
      <c r="AT194" s="50">
        <f t="shared" si="64"/>
        <v>3.75</v>
      </c>
      <c r="AU194" s="55" t="str">
        <f t="shared" si="65"/>
        <v>Low</v>
      </c>
      <c r="AV194" s="34" t="s">
        <v>1510</v>
      </c>
      <c r="AW194" s="111"/>
      <c r="AX194" s="30" t="s">
        <v>1493</v>
      </c>
      <c r="AY194" s="30"/>
      <c r="AZ194" s="85" t="str">
        <f>IF(ISERROR(_xlfn.XLOOKUP(CONCATENATE(A194,"_",AV194),'Reference-Proof pt impact flag'!$I$3:$I$1048576,'Reference-Proof pt impact flag'!$G$3:$G$1048576)),"",_xlfn.XLOOKUP(CONCATENATE(A194,"_",AV194),'Reference-Proof pt impact flag'!$I$3:$I$1048576,'Reference-Proof pt impact flag'!$G$3:$G$1048576))</f>
        <v/>
      </c>
      <c r="BA194" s="74"/>
      <c r="BB194" s="74"/>
      <c r="BC194" s="74"/>
      <c r="BD194" s="74"/>
      <c r="BE194" s="74"/>
      <c r="BF194" s="74" t="e">
        <f>_xlfn.XLOOKUP(CONCATENATE(H194,"_",AV194),'Test 2 - Proof points - GPT5'!$T:$T,'Test 2 - Proof points - GPT5'!$S:$S)</f>
        <v>#N/A</v>
      </c>
      <c r="BG194" s="74" t="e">
        <f>_xlfn.XLOOKUP(CONCATENATE(H194,"_",AV194),'Test 2 -Proof points - Sonnet'!$AB:$AB,'Test 2 -Proof points - Sonnet'!$AA:$AA)</f>
        <v>#N/A</v>
      </c>
      <c r="BH194" s="74"/>
      <c r="BI194" s="74"/>
      <c r="BJ194" s="74" t="s">
        <v>1574</v>
      </c>
      <c r="BK194" s="30"/>
      <c r="BL194" s="30"/>
      <c r="BM194" s="30"/>
      <c r="BN194" s="30"/>
      <c r="BO194" s="30"/>
      <c r="BP194" s="30"/>
      <c r="BQ194" s="30"/>
      <c r="BR194" s="30"/>
      <c r="BS194" s="30"/>
      <c r="BT194" s="30"/>
      <c r="BU194" s="30"/>
      <c r="BV194" s="113"/>
    </row>
    <row r="195" spans="1:74" ht="217.5" hidden="1" x14ac:dyDescent="0.35">
      <c r="A195" s="22">
        <v>5</v>
      </c>
      <c r="B195" s="22" t="s">
        <v>1451</v>
      </c>
      <c r="C195" s="22" t="s">
        <v>1452</v>
      </c>
      <c r="D195" s="22" t="s">
        <v>1224</v>
      </c>
      <c r="E195" s="22" t="s">
        <v>1453</v>
      </c>
      <c r="F195" s="22"/>
      <c r="G195" s="22" t="s">
        <v>1274</v>
      </c>
      <c r="H195" s="21" t="s">
        <v>1281</v>
      </c>
      <c r="I195" s="22"/>
      <c r="J195" s="21" t="s">
        <v>1326</v>
      </c>
      <c r="K195" s="30"/>
      <c r="L195" s="30" t="s">
        <v>1239</v>
      </c>
      <c r="M195" s="35" t="str">
        <f>VLOOKUP(H195,'1_Value &amp; risk levers'!$H$9:$O$1048576,2,FALSE)</f>
        <v>Not undertaken</v>
      </c>
      <c r="N195" s="35" t="str">
        <f>VLOOKUP(H195,'1_Value &amp; risk levers'!$H$9:$O$1048576,3,FALSE)</f>
        <v>Initial stages of exploration, requires more work</v>
      </c>
      <c r="O195" s="35" t="str">
        <f>VLOOKUP(H195,'1_Value &amp; risk levers'!$H$9:$O$1048576,4,FALSE)</f>
        <v>Ad-hoc but frequent rationalization initiatives</v>
      </c>
      <c r="P195" s="35" t="str">
        <f>VLOOKUP(H195,'1_Value &amp; risk levers'!$H$9:$O$1048576,5,FALSE)</f>
        <v>Fully optimized methodology to review cost and simplicity periodically</v>
      </c>
      <c r="Q195" s="77">
        <f>IF(VLOOKUP(H195,'1_Value &amp; risk levers'!$H$9:$T$1048576,13,FALSE)=0,"",VLOOKUP(H195,'1_Value &amp; risk levers'!$H$9:$T$1048576,13,FALSE))</f>
        <v>4</v>
      </c>
      <c r="R195" s="128">
        <f t="shared" ref="R195:R258" si="66">AVERAGEIFS($Q$3:$Q$1048576,$G$3:$G$1048576,"Value")</f>
        <v>2</v>
      </c>
      <c r="S195" s="128" t="e">
        <f t="shared" ref="S195:S258" si="67">AVERAGEIFS($Q$3:$Q$1048576,$G$3:$G$1048576,"Risk")</f>
        <v>#DIV/0!</v>
      </c>
      <c r="T195" s="77"/>
      <c r="U195" s="77"/>
      <c r="V195" s="55"/>
      <c r="W195" s="71">
        <v>0.04</v>
      </c>
      <c r="X195" s="71">
        <v>0.1</v>
      </c>
      <c r="Y195" s="71">
        <f>VLOOKUP(H195,'1_Value &amp; risk levers'!$H$9:$O$1048576,8,FALSE)</f>
        <v>0.8</v>
      </c>
      <c r="Z195" s="51">
        <f t="shared" ref="Z195:Z258" si="68">(4-AVERAGEIFS($Q$3:$Q$1048576,$AV$3:$AV$1048576,"Inflation"))*(X195-W195)/4+W195</f>
        <v>7.0000000000000007E-2</v>
      </c>
      <c r="AA195" s="51">
        <f t="shared" si="48"/>
        <v>8.5000000000000006E-2</v>
      </c>
      <c r="AB195" s="55">
        <f t="shared" si="49"/>
        <v>2800000.0000000005</v>
      </c>
      <c r="AC195" s="55">
        <f t="shared" si="50"/>
        <v>3400000.0000000005</v>
      </c>
      <c r="AD195" s="80">
        <f t="shared" si="51"/>
        <v>7</v>
      </c>
      <c r="AE195" s="84">
        <f t="shared" si="52"/>
        <v>0.48864540816326468</v>
      </c>
      <c r="AF195" s="71" t="str">
        <f t="shared" si="53"/>
        <v>Low</v>
      </c>
      <c r="AG195" s="84">
        <f t="shared" si="54"/>
        <v>5.9772908163265304E-2</v>
      </c>
      <c r="AH195" s="84">
        <f t="shared" si="55"/>
        <v>9.5227091836734709E-2</v>
      </c>
      <c r="AI195" s="73">
        <f t="shared" si="56"/>
        <v>2390916.3265306121</v>
      </c>
      <c r="AJ195" s="73">
        <f t="shared" si="57"/>
        <v>3809083.6734693884</v>
      </c>
      <c r="AK195" s="46">
        <f>VLOOKUP(H195,'1_Value &amp; risk levers'!$H$9:$O$1048576,6,FALSE)</f>
        <v>0.02</v>
      </c>
      <c r="AL195" s="46">
        <f>VLOOKUP(H195,'1_Value &amp; risk levers'!$H$9:$O$1048576,7,FALSE)</f>
        <v>0.03</v>
      </c>
      <c r="AM195" s="50">
        <f t="shared" si="58"/>
        <v>0.02</v>
      </c>
      <c r="AN195" s="72">
        <f t="shared" si="59"/>
        <v>9.3023255813953487E-2</v>
      </c>
      <c r="AO195" s="84">
        <f t="shared" si="60"/>
        <v>5.5602705268153769E-3</v>
      </c>
      <c r="AP195" s="84">
        <f t="shared" si="61"/>
        <v>8.858334124347415E-3</v>
      </c>
      <c r="AQ195" s="55">
        <f t="shared" si="62"/>
        <v>260465.1162790698</v>
      </c>
      <c r="AR195" s="55">
        <f t="shared" si="63"/>
        <v>316279.06976744189</v>
      </c>
      <c r="AS195" s="83">
        <f t="shared" ref="AS195:AS258" si="69">COUNTIFS($A$3:$A$1048576,A195,$BG$3:$BG$1048576,"&lt;&gt;")</f>
        <v>41</v>
      </c>
      <c r="AT195" s="50">
        <f t="shared" si="64"/>
        <v>3.75</v>
      </c>
      <c r="AU195" s="55" t="str">
        <f t="shared" si="65"/>
        <v>Low</v>
      </c>
      <c r="AV195" s="34" t="s">
        <v>1511</v>
      </c>
      <c r="AW195" s="111"/>
      <c r="AX195" s="30" t="s">
        <v>1493</v>
      </c>
      <c r="AY195" s="30"/>
      <c r="AZ195" s="85" t="str">
        <f>IF(ISERROR(_xlfn.XLOOKUP(CONCATENATE(A195,"_",AV195),'Reference-Proof pt impact flag'!$I$3:$I$1048576,'Reference-Proof pt impact flag'!$G$3:$G$1048576)),"",_xlfn.XLOOKUP(CONCATENATE(A195,"_",AV195),'Reference-Proof pt impact flag'!$I$3:$I$1048576,'Reference-Proof pt impact flag'!$G$3:$G$1048576))</f>
        <v/>
      </c>
      <c r="BA195" s="74"/>
      <c r="BB195" s="74"/>
      <c r="BC195" s="74"/>
      <c r="BD195" s="74"/>
      <c r="BE195" s="74"/>
      <c r="BF195" s="74" t="e">
        <f>_xlfn.XLOOKUP(CONCATENATE(H195,"_",AV195),'Test 2 - Proof points - GPT5'!$T:$T,'Test 2 - Proof points - GPT5'!$S:$S)</f>
        <v>#N/A</v>
      </c>
      <c r="BG195" s="74" t="e">
        <f>_xlfn.XLOOKUP(CONCATENATE(H195,"_",AV195),'Test 2 -Proof points - Sonnet'!$AB:$AB,'Test 2 -Proof points - Sonnet'!$AA:$AA)</f>
        <v>#N/A</v>
      </c>
      <c r="BH195" s="74"/>
      <c r="BI195" s="74"/>
      <c r="BJ195" s="74" t="s">
        <v>1574</v>
      </c>
      <c r="BK195" s="30"/>
      <c r="BL195" s="30"/>
      <c r="BM195" s="30"/>
      <c r="BN195" s="30"/>
      <c r="BO195" s="30"/>
      <c r="BP195" s="30"/>
      <c r="BQ195" s="30"/>
      <c r="BR195" s="30"/>
      <c r="BS195" s="30"/>
      <c r="BT195" s="30"/>
      <c r="BU195" s="30"/>
      <c r="BV195" s="113"/>
    </row>
    <row r="196" spans="1:74" ht="217.5" hidden="1" x14ac:dyDescent="0.35">
      <c r="A196" s="22">
        <v>5</v>
      </c>
      <c r="B196" s="22" t="s">
        <v>1451</v>
      </c>
      <c r="C196" s="22" t="s">
        <v>1452</v>
      </c>
      <c r="D196" s="22" t="s">
        <v>1224</v>
      </c>
      <c r="E196" s="22" t="s">
        <v>1453</v>
      </c>
      <c r="F196" s="22"/>
      <c r="G196" s="22" t="s">
        <v>1274</v>
      </c>
      <c r="H196" s="21" t="s">
        <v>1281</v>
      </c>
      <c r="I196" s="22"/>
      <c r="J196" s="21" t="s">
        <v>1326</v>
      </c>
      <c r="K196" s="30"/>
      <c r="L196" s="30" t="s">
        <v>1239</v>
      </c>
      <c r="M196" s="35" t="str">
        <f>VLOOKUP(H196,'1_Value &amp; risk levers'!$H$9:$O$1048576,2,FALSE)</f>
        <v>Not undertaken</v>
      </c>
      <c r="N196" s="35" t="str">
        <f>VLOOKUP(H196,'1_Value &amp; risk levers'!$H$9:$O$1048576,3,FALSE)</f>
        <v>Initial stages of exploration, requires more work</v>
      </c>
      <c r="O196" s="35" t="str">
        <f>VLOOKUP(H196,'1_Value &amp; risk levers'!$H$9:$O$1048576,4,FALSE)</f>
        <v>Ad-hoc but frequent rationalization initiatives</v>
      </c>
      <c r="P196" s="35" t="str">
        <f>VLOOKUP(H196,'1_Value &amp; risk levers'!$H$9:$O$1048576,5,FALSE)</f>
        <v>Fully optimized methodology to review cost and simplicity periodically</v>
      </c>
      <c r="Q196" s="77">
        <f>IF(VLOOKUP(H196,'1_Value &amp; risk levers'!$H$9:$T$1048576,13,FALSE)=0,"",VLOOKUP(H196,'1_Value &amp; risk levers'!$H$9:$T$1048576,13,FALSE))</f>
        <v>4</v>
      </c>
      <c r="R196" s="128">
        <f t="shared" si="66"/>
        <v>2</v>
      </c>
      <c r="S196" s="128" t="e">
        <f t="shared" si="67"/>
        <v>#DIV/0!</v>
      </c>
      <c r="T196" s="77"/>
      <c r="U196" s="77"/>
      <c r="V196" s="55"/>
      <c r="W196" s="71">
        <v>0.04</v>
      </c>
      <c r="X196" s="71">
        <v>0.1</v>
      </c>
      <c r="Y196" s="71">
        <f>VLOOKUP(H196,'1_Value &amp; risk levers'!$H$9:$O$1048576,8,FALSE)</f>
        <v>0.8</v>
      </c>
      <c r="Z196" s="51">
        <f t="shared" si="68"/>
        <v>7.0000000000000007E-2</v>
      </c>
      <c r="AA196" s="51">
        <f t="shared" ref="AA196:AA259" si="70">Z196+(X196-W196)/4</f>
        <v>8.5000000000000006E-2</v>
      </c>
      <c r="AB196" s="55">
        <f t="shared" ref="AB196:AB248" si="71">Y196*Z196*50000000</f>
        <v>2800000.0000000005</v>
      </c>
      <c r="AC196" s="55">
        <f t="shared" ref="AC196:AC248" si="72">Y196*AA196*50000000</f>
        <v>3400000.0000000005</v>
      </c>
      <c r="AD196" s="80">
        <f t="shared" ref="AD196:AD259" si="73">(COUNTA($Q$3:$Q$1048576)-COUNTIFS($Q$3:$Q$1048576,"",$A$3:$A$1048576,"&lt;&gt;"))/41</f>
        <v>7</v>
      </c>
      <c r="AE196" s="84">
        <f t="shared" ref="AE196:AE259" si="74">AVERAGE($AT$3:$AT$1048576)/10</f>
        <v>0.48864540816326468</v>
      </c>
      <c r="AF196" s="71" t="str">
        <f t="shared" ref="AF196:AF248" si="75">IF(AE196&lt;0.5,"Low",IF(AE196&lt;0.75,"Medium","High"))</f>
        <v>Low</v>
      </c>
      <c r="AG196" s="84">
        <f t="shared" ref="AG196:AG259" si="76">Z196-(1-AE196)*2/100</f>
        <v>5.9772908163265304E-2</v>
      </c>
      <c r="AH196" s="84">
        <f t="shared" ref="AH196:AH259" si="77">AA196+(1-AE196)*2/100</f>
        <v>9.5227091836734709E-2</v>
      </c>
      <c r="AI196" s="73">
        <f t="shared" ref="AI196:AI248" si="78">Y196*AG196*50000000</f>
        <v>2390916.3265306121</v>
      </c>
      <c r="AJ196" s="73">
        <f t="shared" ref="AJ196:AJ248" si="79">Y196*AH196*50000000</f>
        <v>3809083.6734693884</v>
      </c>
      <c r="AK196" s="46">
        <f>VLOOKUP(H196,'1_Value &amp; risk levers'!$H$9:$O$1048576,6,FALSE)</f>
        <v>0.02</v>
      </c>
      <c r="AL196" s="46">
        <f>VLOOKUP(H196,'1_Value &amp; risk levers'!$H$9:$O$1048576,7,FALSE)</f>
        <v>0.03</v>
      </c>
      <c r="AM196" s="50">
        <f t="shared" ref="AM196:AM259" si="80">IF(ISERROR((AK196+((AL196-AK196)*(4-Q196))/4)),"",(AK196+((AL196-AK196)*(4-Q196))/4))</f>
        <v>0.02</v>
      </c>
      <c r="AN196" s="72">
        <f t="shared" ref="AN196:AN259" si="81">IF(AM196="","",AM196/SUMIFS($AM$3:$AM$1048576,$AV$3:$AV$1048576,"Regional Spend Addressability"))</f>
        <v>9.3023255813953487E-2</v>
      </c>
      <c r="AO196" s="84">
        <f t="shared" ref="AO196:AO259" si="82">IF(AN196="","",AN196*AG196)</f>
        <v>5.5602705268153769E-3</v>
      </c>
      <c r="AP196" s="84">
        <f t="shared" ref="AP196:AP259" si="83">IF(AN196="","",AN196*AH196)</f>
        <v>8.858334124347415E-3</v>
      </c>
      <c r="AQ196" s="55">
        <f t="shared" ref="AQ196:AQ259" si="84">IF(AN196="","",AN196*AB196)</f>
        <v>260465.1162790698</v>
      </c>
      <c r="AR196" s="55">
        <f t="shared" ref="AR196:AR259" si="85">IF(AN196="","",AN196*AC196)</f>
        <v>316279.06976744189</v>
      </c>
      <c r="AS196" s="83">
        <f t="shared" si="69"/>
        <v>41</v>
      </c>
      <c r="AT196" s="50">
        <f t="shared" ref="AT196:AT259" si="86">10*(COUNTIFS($A$3:$A$1048576,A196,$AZ$3:$AZ$1048576,"Medium",$BG$3:$BG$1048576,"&lt;&gt;")*0.625+COUNTIFS($A$3:$A$1048576,A196,$AZ$3:$AZ$1048576,"Low",$BG$3:$BG$1048576,"&lt;&gt;")*0.25+COUNTIFS($A$3:$A$1048576,A196,$AZ$3:$AZ$1048576,"High",$BG$3:$BG$1048576,"&lt;&gt;")*0.874)/COUNTIFS($A$3:$A$1048576,A196,$AY$3:$AY$1048576,"&lt;&gt;")</f>
        <v>3.75</v>
      </c>
      <c r="AU196" s="55" t="str">
        <f t="shared" ref="AU196:AU259" si="87">IF(AT196&lt;5,"Low",IF(AT196&lt;7.5,"Medium","High"))</f>
        <v>Low</v>
      </c>
      <c r="AV196" s="34" t="s">
        <v>1512</v>
      </c>
      <c r="AW196" s="111"/>
      <c r="AX196" s="30" t="s">
        <v>1493</v>
      </c>
      <c r="AY196" s="30"/>
      <c r="AZ196" s="85" t="str">
        <f>IF(ISERROR(_xlfn.XLOOKUP(CONCATENATE(A196,"_",AV196),'Reference-Proof pt impact flag'!$I$3:$I$1048576,'Reference-Proof pt impact flag'!$G$3:$G$1048576)),"",_xlfn.XLOOKUP(CONCATENATE(A196,"_",AV196),'Reference-Proof pt impact flag'!$I$3:$I$1048576,'Reference-Proof pt impact flag'!$G$3:$G$1048576))</f>
        <v/>
      </c>
      <c r="BA196" s="74"/>
      <c r="BB196" s="74"/>
      <c r="BC196" s="74"/>
      <c r="BD196" s="74"/>
      <c r="BE196" s="74"/>
      <c r="BF196" s="74" t="e">
        <f>_xlfn.XLOOKUP(CONCATENATE(H196,"_",AV196),'Test 2 - Proof points - GPT5'!$T:$T,'Test 2 - Proof points - GPT5'!$S:$S)</f>
        <v>#N/A</v>
      </c>
      <c r="BG196" s="74" t="e">
        <f>_xlfn.XLOOKUP(CONCATENATE(H196,"_",AV196),'Test 2 -Proof points - Sonnet'!$AB:$AB,'Test 2 -Proof points - Sonnet'!$AA:$AA)</f>
        <v>#N/A</v>
      </c>
      <c r="BH196" s="74"/>
      <c r="BI196" s="74"/>
      <c r="BJ196" s="74" t="s">
        <v>1574</v>
      </c>
      <c r="BK196" s="30"/>
      <c r="BL196" s="30"/>
      <c r="BM196" s="30"/>
      <c r="BN196" s="30"/>
      <c r="BO196" s="30"/>
      <c r="BP196" s="30"/>
      <c r="BQ196" s="30"/>
      <c r="BR196" s="30"/>
      <c r="BS196" s="30"/>
      <c r="BT196" s="30"/>
      <c r="BU196" s="30"/>
      <c r="BV196" s="113"/>
    </row>
    <row r="197" spans="1:74" ht="217.5" hidden="1" x14ac:dyDescent="0.35">
      <c r="A197" s="22">
        <v>5</v>
      </c>
      <c r="B197" s="22" t="s">
        <v>1451</v>
      </c>
      <c r="C197" s="22" t="s">
        <v>1452</v>
      </c>
      <c r="D197" s="22" t="s">
        <v>1224</v>
      </c>
      <c r="E197" s="22" t="s">
        <v>1453</v>
      </c>
      <c r="F197" s="22"/>
      <c r="G197" s="22" t="s">
        <v>1274</v>
      </c>
      <c r="H197" s="21" t="s">
        <v>1281</v>
      </c>
      <c r="I197" s="22"/>
      <c r="J197" s="21" t="s">
        <v>1326</v>
      </c>
      <c r="K197" s="30"/>
      <c r="L197" s="30" t="s">
        <v>1239</v>
      </c>
      <c r="M197" s="35" t="str">
        <f>VLOOKUP(H197,'1_Value &amp; risk levers'!$H$9:$O$1048576,2,FALSE)</f>
        <v>Not undertaken</v>
      </c>
      <c r="N197" s="35" t="str">
        <f>VLOOKUP(H197,'1_Value &amp; risk levers'!$H$9:$O$1048576,3,FALSE)</f>
        <v>Initial stages of exploration, requires more work</v>
      </c>
      <c r="O197" s="35" t="str">
        <f>VLOOKUP(H197,'1_Value &amp; risk levers'!$H$9:$O$1048576,4,FALSE)</f>
        <v>Ad-hoc but frequent rationalization initiatives</v>
      </c>
      <c r="P197" s="35" t="str">
        <f>VLOOKUP(H197,'1_Value &amp; risk levers'!$H$9:$O$1048576,5,FALSE)</f>
        <v>Fully optimized methodology to review cost and simplicity periodically</v>
      </c>
      <c r="Q197" s="77">
        <f>IF(VLOOKUP(H197,'1_Value &amp; risk levers'!$H$9:$T$1048576,13,FALSE)=0,"",VLOOKUP(H197,'1_Value &amp; risk levers'!$H$9:$T$1048576,13,FALSE))</f>
        <v>4</v>
      </c>
      <c r="R197" s="128">
        <f t="shared" si="66"/>
        <v>2</v>
      </c>
      <c r="S197" s="128" t="e">
        <f t="shared" si="67"/>
        <v>#DIV/0!</v>
      </c>
      <c r="T197" s="77"/>
      <c r="U197" s="77"/>
      <c r="V197" s="55"/>
      <c r="W197" s="71">
        <v>0.04</v>
      </c>
      <c r="X197" s="71">
        <v>0.1</v>
      </c>
      <c r="Y197" s="71">
        <f>VLOOKUP(H197,'1_Value &amp; risk levers'!$H$9:$O$1048576,8,FALSE)</f>
        <v>0.8</v>
      </c>
      <c r="Z197" s="51">
        <f t="shared" si="68"/>
        <v>7.0000000000000007E-2</v>
      </c>
      <c r="AA197" s="51">
        <f t="shared" si="70"/>
        <v>8.5000000000000006E-2</v>
      </c>
      <c r="AB197" s="55">
        <f t="shared" si="71"/>
        <v>2800000.0000000005</v>
      </c>
      <c r="AC197" s="55">
        <f t="shared" si="72"/>
        <v>3400000.0000000005</v>
      </c>
      <c r="AD197" s="80">
        <f t="shared" si="73"/>
        <v>7</v>
      </c>
      <c r="AE197" s="84">
        <f t="shared" si="74"/>
        <v>0.48864540816326468</v>
      </c>
      <c r="AF197" s="71" t="str">
        <f t="shared" si="75"/>
        <v>Low</v>
      </c>
      <c r="AG197" s="84">
        <f t="shared" si="76"/>
        <v>5.9772908163265304E-2</v>
      </c>
      <c r="AH197" s="84">
        <f t="shared" si="77"/>
        <v>9.5227091836734709E-2</v>
      </c>
      <c r="AI197" s="73">
        <f t="shared" si="78"/>
        <v>2390916.3265306121</v>
      </c>
      <c r="AJ197" s="73">
        <f t="shared" si="79"/>
        <v>3809083.6734693884</v>
      </c>
      <c r="AK197" s="46">
        <f>VLOOKUP(H197,'1_Value &amp; risk levers'!$H$9:$O$1048576,6,FALSE)</f>
        <v>0.02</v>
      </c>
      <c r="AL197" s="46">
        <f>VLOOKUP(H197,'1_Value &amp; risk levers'!$H$9:$O$1048576,7,FALSE)</f>
        <v>0.03</v>
      </c>
      <c r="AM197" s="50">
        <f t="shared" si="80"/>
        <v>0.02</v>
      </c>
      <c r="AN197" s="72">
        <f t="shared" si="81"/>
        <v>9.3023255813953487E-2</v>
      </c>
      <c r="AO197" s="84">
        <f t="shared" si="82"/>
        <v>5.5602705268153769E-3</v>
      </c>
      <c r="AP197" s="84">
        <f t="shared" si="83"/>
        <v>8.858334124347415E-3</v>
      </c>
      <c r="AQ197" s="55">
        <f t="shared" si="84"/>
        <v>260465.1162790698</v>
      </c>
      <c r="AR197" s="55">
        <f t="shared" si="85"/>
        <v>316279.06976744189</v>
      </c>
      <c r="AS197" s="83">
        <f t="shared" si="69"/>
        <v>41</v>
      </c>
      <c r="AT197" s="50">
        <f t="shared" si="86"/>
        <v>3.75</v>
      </c>
      <c r="AU197" s="55" t="str">
        <f t="shared" si="87"/>
        <v>Low</v>
      </c>
      <c r="AV197" s="34" t="s">
        <v>1513</v>
      </c>
      <c r="AW197" s="111"/>
      <c r="AX197" s="30" t="s">
        <v>1493</v>
      </c>
      <c r="AY197" s="30"/>
      <c r="AZ197" s="85" t="str">
        <f>IF(ISERROR(_xlfn.XLOOKUP(CONCATENATE(A197,"_",AV197),'Reference-Proof pt impact flag'!$I$3:$I$1048576,'Reference-Proof pt impact flag'!$G$3:$G$1048576)),"",_xlfn.XLOOKUP(CONCATENATE(A197,"_",AV197),'Reference-Proof pt impact flag'!$I$3:$I$1048576,'Reference-Proof pt impact flag'!$G$3:$G$1048576))</f>
        <v/>
      </c>
      <c r="BA197" s="74"/>
      <c r="BB197" s="74"/>
      <c r="BC197" s="74"/>
      <c r="BD197" s="74"/>
      <c r="BE197" s="74"/>
      <c r="BF197" s="74" t="e">
        <f>_xlfn.XLOOKUP(CONCATENATE(H197,"_",AV197),'Test 2 - Proof points - GPT5'!$T:$T,'Test 2 - Proof points - GPT5'!$S:$S)</f>
        <v>#N/A</v>
      </c>
      <c r="BG197" s="74" t="e">
        <f>_xlfn.XLOOKUP(CONCATENATE(H197,"_",AV197),'Test 2 -Proof points - Sonnet'!$AB:$AB,'Test 2 -Proof points - Sonnet'!$AA:$AA)</f>
        <v>#N/A</v>
      </c>
      <c r="BH197" s="74"/>
      <c r="BI197" s="74"/>
      <c r="BJ197" s="74" t="s">
        <v>1574</v>
      </c>
      <c r="BK197" s="30"/>
      <c r="BL197" s="30"/>
      <c r="BM197" s="30"/>
      <c r="BN197" s="30"/>
      <c r="BO197" s="30"/>
      <c r="BP197" s="30"/>
      <c r="BQ197" s="30"/>
      <c r="BR197" s="30"/>
      <c r="BS197" s="30"/>
      <c r="BT197" s="30"/>
      <c r="BU197" s="30"/>
      <c r="BV197" s="113"/>
    </row>
    <row r="198" spans="1:74" ht="217.5" hidden="1" x14ac:dyDescent="0.35">
      <c r="A198" s="22">
        <v>5</v>
      </c>
      <c r="B198" s="22" t="s">
        <v>1451</v>
      </c>
      <c r="C198" s="22" t="s">
        <v>1452</v>
      </c>
      <c r="D198" s="22" t="s">
        <v>1224</v>
      </c>
      <c r="E198" s="22" t="s">
        <v>1453</v>
      </c>
      <c r="F198" s="22"/>
      <c r="G198" s="22" t="s">
        <v>1274</v>
      </c>
      <c r="H198" s="21" t="s">
        <v>1281</v>
      </c>
      <c r="I198" s="22"/>
      <c r="J198" s="21" t="s">
        <v>1326</v>
      </c>
      <c r="K198" s="30"/>
      <c r="L198" s="30" t="s">
        <v>1239</v>
      </c>
      <c r="M198" s="35" t="str">
        <f>VLOOKUP(H198,'1_Value &amp; risk levers'!$H$9:$O$1048576,2,FALSE)</f>
        <v>Not undertaken</v>
      </c>
      <c r="N198" s="35" t="str">
        <f>VLOOKUP(H198,'1_Value &amp; risk levers'!$H$9:$O$1048576,3,FALSE)</f>
        <v>Initial stages of exploration, requires more work</v>
      </c>
      <c r="O198" s="35" t="str">
        <f>VLOOKUP(H198,'1_Value &amp; risk levers'!$H$9:$O$1048576,4,FALSE)</f>
        <v>Ad-hoc but frequent rationalization initiatives</v>
      </c>
      <c r="P198" s="35" t="str">
        <f>VLOOKUP(H198,'1_Value &amp; risk levers'!$H$9:$O$1048576,5,FALSE)</f>
        <v>Fully optimized methodology to review cost and simplicity periodically</v>
      </c>
      <c r="Q198" s="77">
        <f>IF(VLOOKUP(H198,'1_Value &amp; risk levers'!$H$9:$T$1048576,13,FALSE)=0,"",VLOOKUP(H198,'1_Value &amp; risk levers'!$H$9:$T$1048576,13,FALSE))</f>
        <v>4</v>
      </c>
      <c r="R198" s="128">
        <f t="shared" si="66"/>
        <v>2</v>
      </c>
      <c r="S198" s="128" t="e">
        <f t="shared" si="67"/>
        <v>#DIV/0!</v>
      </c>
      <c r="T198" s="77"/>
      <c r="U198" s="77"/>
      <c r="V198" s="55"/>
      <c r="W198" s="71">
        <v>0.04</v>
      </c>
      <c r="X198" s="71">
        <v>0.1</v>
      </c>
      <c r="Y198" s="71">
        <f>VLOOKUP(H198,'1_Value &amp; risk levers'!$H$9:$O$1048576,8,FALSE)</f>
        <v>0.8</v>
      </c>
      <c r="Z198" s="51">
        <f t="shared" si="68"/>
        <v>7.0000000000000007E-2</v>
      </c>
      <c r="AA198" s="51">
        <f t="shared" si="70"/>
        <v>8.5000000000000006E-2</v>
      </c>
      <c r="AB198" s="55">
        <f t="shared" si="71"/>
        <v>2800000.0000000005</v>
      </c>
      <c r="AC198" s="55">
        <f t="shared" si="72"/>
        <v>3400000.0000000005</v>
      </c>
      <c r="AD198" s="80">
        <f t="shared" si="73"/>
        <v>7</v>
      </c>
      <c r="AE198" s="84">
        <f t="shared" si="74"/>
        <v>0.48864540816326468</v>
      </c>
      <c r="AF198" s="71" t="str">
        <f t="shared" si="75"/>
        <v>Low</v>
      </c>
      <c r="AG198" s="84">
        <f t="shared" si="76"/>
        <v>5.9772908163265304E-2</v>
      </c>
      <c r="AH198" s="84">
        <f t="shared" si="77"/>
        <v>9.5227091836734709E-2</v>
      </c>
      <c r="AI198" s="73">
        <f t="shared" si="78"/>
        <v>2390916.3265306121</v>
      </c>
      <c r="AJ198" s="73">
        <f t="shared" si="79"/>
        <v>3809083.6734693884</v>
      </c>
      <c r="AK198" s="46">
        <f>VLOOKUP(H198,'1_Value &amp; risk levers'!$H$9:$O$1048576,6,FALSE)</f>
        <v>0.02</v>
      </c>
      <c r="AL198" s="46">
        <f>VLOOKUP(H198,'1_Value &amp; risk levers'!$H$9:$O$1048576,7,FALSE)</f>
        <v>0.03</v>
      </c>
      <c r="AM198" s="50">
        <f t="shared" si="80"/>
        <v>0.02</v>
      </c>
      <c r="AN198" s="72">
        <f t="shared" si="81"/>
        <v>9.3023255813953487E-2</v>
      </c>
      <c r="AO198" s="84">
        <f t="shared" si="82"/>
        <v>5.5602705268153769E-3</v>
      </c>
      <c r="AP198" s="84">
        <f t="shared" si="83"/>
        <v>8.858334124347415E-3</v>
      </c>
      <c r="AQ198" s="55">
        <f t="shared" si="84"/>
        <v>260465.1162790698</v>
      </c>
      <c r="AR198" s="55">
        <f t="shared" si="85"/>
        <v>316279.06976744189</v>
      </c>
      <c r="AS198" s="83">
        <f t="shared" si="69"/>
        <v>41</v>
      </c>
      <c r="AT198" s="50">
        <f t="shared" si="86"/>
        <v>3.75</v>
      </c>
      <c r="AU198" s="55" t="str">
        <f t="shared" si="87"/>
        <v>Low</v>
      </c>
      <c r="AV198" s="34" t="s">
        <v>1514</v>
      </c>
      <c r="AW198" s="111"/>
      <c r="AX198" s="30" t="s">
        <v>1493</v>
      </c>
      <c r="AY198" s="30"/>
      <c r="AZ198" s="85" t="str">
        <f>IF(ISERROR(_xlfn.XLOOKUP(CONCATENATE(A198,"_",AV198),'Reference-Proof pt impact flag'!$I$3:$I$1048576,'Reference-Proof pt impact flag'!$G$3:$G$1048576)),"",_xlfn.XLOOKUP(CONCATENATE(A198,"_",AV198),'Reference-Proof pt impact flag'!$I$3:$I$1048576,'Reference-Proof pt impact flag'!$G$3:$G$1048576))</f>
        <v/>
      </c>
      <c r="BA198" s="74"/>
      <c r="BB198" s="74"/>
      <c r="BC198" s="74"/>
      <c r="BD198" s="74"/>
      <c r="BE198" s="74"/>
      <c r="BF198" s="74" t="e">
        <f>_xlfn.XLOOKUP(CONCATENATE(H198,"_",AV198),'Test 2 - Proof points - GPT5'!$T:$T,'Test 2 - Proof points - GPT5'!$S:$S)</f>
        <v>#N/A</v>
      </c>
      <c r="BG198" s="74" t="e">
        <f>_xlfn.XLOOKUP(CONCATENATE(H198,"_",AV198),'Test 2 -Proof points - Sonnet'!$AB:$AB,'Test 2 -Proof points - Sonnet'!$AA:$AA)</f>
        <v>#N/A</v>
      </c>
      <c r="BH198" s="74"/>
      <c r="BI198" s="74"/>
      <c r="BJ198" s="74" t="s">
        <v>1574</v>
      </c>
      <c r="BK198" s="30"/>
      <c r="BL198" s="30"/>
      <c r="BM198" s="30"/>
      <c r="BN198" s="30"/>
      <c r="BO198" s="30"/>
      <c r="BP198" s="30"/>
      <c r="BQ198" s="30"/>
      <c r="BR198" s="30"/>
      <c r="BS198" s="30"/>
      <c r="BT198" s="30"/>
      <c r="BU198" s="30"/>
      <c r="BV198" s="113"/>
    </row>
    <row r="199" spans="1:74" ht="217.5" hidden="1" x14ac:dyDescent="0.35">
      <c r="A199" s="22">
        <v>5</v>
      </c>
      <c r="B199" s="22" t="s">
        <v>1451</v>
      </c>
      <c r="C199" s="22" t="s">
        <v>1452</v>
      </c>
      <c r="D199" s="22" t="s">
        <v>1224</v>
      </c>
      <c r="E199" s="22" t="s">
        <v>1453</v>
      </c>
      <c r="F199" s="22"/>
      <c r="G199" s="22" t="s">
        <v>1274</v>
      </c>
      <c r="H199" s="21" t="s">
        <v>1281</v>
      </c>
      <c r="I199" s="22"/>
      <c r="J199" s="21" t="s">
        <v>1326</v>
      </c>
      <c r="K199" s="30"/>
      <c r="L199" s="30" t="s">
        <v>1239</v>
      </c>
      <c r="M199" s="35" t="str">
        <f>VLOOKUP(H199,'1_Value &amp; risk levers'!$H$9:$O$1048576,2,FALSE)</f>
        <v>Not undertaken</v>
      </c>
      <c r="N199" s="35" t="str">
        <f>VLOOKUP(H199,'1_Value &amp; risk levers'!$H$9:$O$1048576,3,FALSE)</f>
        <v>Initial stages of exploration, requires more work</v>
      </c>
      <c r="O199" s="35" t="str">
        <f>VLOOKUP(H199,'1_Value &amp; risk levers'!$H$9:$O$1048576,4,FALSE)</f>
        <v>Ad-hoc but frequent rationalization initiatives</v>
      </c>
      <c r="P199" s="35" t="str">
        <f>VLOOKUP(H199,'1_Value &amp; risk levers'!$H$9:$O$1048576,5,FALSE)</f>
        <v>Fully optimized methodology to review cost and simplicity periodically</v>
      </c>
      <c r="Q199" s="77">
        <f>IF(VLOOKUP(H199,'1_Value &amp; risk levers'!$H$9:$T$1048576,13,FALSE)=0,"",VLOOKUP(H199,'1_Value &amp; risk levers'!$H$9:$T$1048576,13,FALSE))</f>
        <v>4</v>
      </c>
      <c r="R199" s="128">
        <f t="shared" si="66"/>
        <v>2</v>
      </c>
      <c r="S199" s="128" t="e">
        <f t="shared" si="67"/>
        <v>#DIV/0!</v>
      </c>
      <c r="T199" s="77"/>
      <c r="U199" s="77"/>
      <c r="V199" s="55"/>
      <c r="W199" s="71">
        <v>0.04</v>
      </c>
      <c r="X199" s="71">
        <v>0.1</v>
      </c>
      <c r="Y199" s="71">
        <f>VLOOKUP(H199,'1_Value &amp; risk levers'!$H$9:$O$1048576,8,FALSE)</f>
        <v>0.8</v>
      </c>
      <c r="Z199" s="51">
        <f t="shared" si="68"/>
        <v>7.0000000000000007E-2</v>
      </c>
      <c r="AA199" s="51">
        <f t="shared" si="70"/>
        <v>8.5000000000000006E-2</v>
      </c>
      <c r="AB199" s="55">
        <f t="shared" si="71"/>
        <v>2800000.0000000005</v>
      </c>
      <c r="AC199" s="55">
        <f t="shared" si="72"/>
        <v>3400000.0000000005</v>
      </c>
      <c r="AD199" s="80">
        <f t="shared" si="73"/>
        <v>7</v>
      </c>
      <c r="AE199" s="84">
        <f t="shared" si="74"/>
        <v>0.48864540816326468</v>
      </c>
      <c r="AF199" s="71" t="str">
        <f t="shared" si="75"/>
        <v>Low</v>
      </c>
      <c r="AG199" s="84">
        <f t="shared" si="76"/>
        <v>5.9772908163265304E-2</v>
      </c>
      <c r="AH199" s="84">
        <f t="shared" si="77"/>
        <v>9.5227091836734709E-2</v>
      </c>
      <c r="AI199" s="73">
        <f t="shared" si="78"/>
        <v>2390916.3265306121</v>
      </c>
      <c r="AJ199" s="73">
        <f t="shared" si="79"/>
        <v>3809083.6734693884</v>
      </c>
      <c r="AK199" s="46">
        <f>VLOOKUP(H199,'1_Value &amp; risk levers'!$H$9:$O$1048576,6,FALSE)</f>
        <v>0.02</v>
      </c>
      <c r="AL199" s="46">
        <f>VLOOKUP(H199,'1_Value &amp; risk levers'!$H$9:$O$1048576,7,FALSE)</f>
        <v>0.03</v>
      </c>
      <c r="AM199" s="50">
        <f t="shared" si="80"/>
        <v>0.02</v>
      </c>
      <c r="AN199" s="72">
        <f t="shared" si="81"/>
        <v>9.3023255813953487E-2</v>
      </c>
      <c r="AO199" s="84">
        <f t="shared" si="82"/>
        <v>5.5602705268153769E-3</v>
      </c>
      <c r="AP199" s="84">
        <f t="shared" si="83"/>
        <v>8.858334124347415E-3</v>
      </c>
      <c r="AQ199" s="55">
        <f t="shared" si="84"/>
        <v>260465.1162790698</v>
      </c>
      <c r="AR199" s="55">
        <f t="shared" si="85"/>
        <v>316279.06976744189</v>
      </c>
      <c r="AS199" s="83">
        <f t="shared" si="69"/>
        <v>41</v>
      </c>
      <c r="AT199" s="50">
        <f t="shared" si="86"/>
        <v>3.75</v>
      </c>
      <c r="AU199" s="55" t="str">
        <f t="shared" si="87"/>
        <v>Low</v>
      </c>
      <c r="AV199" s="34" t="s">
        <v>1515</v>
      </c>
      <c r="AW199" s="111"/>
      <c r="AX199" s="30" t="s">
        <v>1493</v>
      </c>
      <c r="AY199" s="30"/>
      <c r="AZ199" s="85" t="str">
        <f>IF(ISERROR(_xlfn.XLOOKUP(CONCATENATE(A199,"_",AV199),'Reference-Proof pt impact flag'!$I$3:$I$1048576,'Reference-Proof pt impact flag'!$G$3:$G$1048576)),"",_xlfn.XLOOKUP(CONCATENATE(A199,"_",AV199),'Reference-Proof pt impact flag'!$I$3:$I$1048576,'Reference-Proof pt impact flag'!$G$3:$G$1048576))</f>
        <v/>
      </c>
      <c r="BA199" s="74"/>
      <c r="BB199" s="74"/>
      <c r="BC199" s="74"/>
      <c r="BD199" s="74"/>
      <c r="BE199" s="74"/>
      <c r="BF199" s="74" t="e">
        <f>_xlfn.XLOOKUP(CONCATENATE(H199,"_",AV199),'Test 2 - Proof points - GPT5'!$T:$T,'Test 2 - Proof points - GPT5'!$S:$S)</f>
        <v>#N/A</v>
      </c>
      <c r="BG199" s="74" t="e">
        <f>_xlfn.XLOOKUP(CONCATENATE(H199,"_",AV199),'Test 2 -Proof points - Sonnet'!$AB:$AB,'Test 2 -Proof points - Sonnet'!$AA:$AA)</f>
        <v>#N/A</v>
      </c>
      <c r="BH199" s="74"/>
      <c r="BI199" s="74"/>
      <c r="BJ199" s="74" t="s">
        <v>1574</v>
      </c>
      <c r="BK199" s="30"/>
      <c r="BL199" s="30"/>
      <c r="BM199" s="30"/>
      <c r="BN199" s="30"/>
      <c r="BO199" s="30"/>
      <c r="BP199" s="30"/>
      <c r="BQ199" s="30"/>
      <c r="BR199" s="30"/>
      <c r="BS199" s="30"/>
      <c r="BT199" s="30"/>
      <c r="BU199" s="30"/>
      <c r="BV199" s="113"/>
    </row>
    <row r="200" spans="1:74" ht="217.5" hidden="1" x14ac:dyDescent="0.35">
      <c r="A200" s="22">
        <v>5</v>
      </c>
      <c r="B200" s="22" t="s">
        <v>1451</v>
      </c>
      <c r="C200" s="22" t="s">
        <v>1452</v>
      </c>
      <c r="D200" s="22" t="s">
        <v>1224</v>
      </c>
      <c r="E200" s="22" t="s">
        <v>1453</v>
      </c>
      <c r="F200" s="22"/>
      <c r="G200" s="22" t="s">
        <v>1274</v>
      </c>
      <c r="H200" s="21" t="s">
        <v>1281</v>
      </c>
      <c r="I200" s="22"/>
      <c r="J200" s="21" t="s">
        <v>1326</v>
      </c>
      <c r="K200" s="30"/>
      <c r="L200" s="30" t="s">
        <v>1239</v>
      </c>
      <c r="M200" s="35" t="str">
        <f>VLOOKUP(H200,'1_Value &amp; risk levers'!$H$9:$O$1048576,2,FALSE)</f>
        <v>Not undertaken</v>
      </c>
      <c r="N200" s="35" t="str">
        <f>VLOOKUP(H200,'1_Value &amp; risk levers'!$H$9:$O$1048576,3,FALSE)</f>
        <v>Initial stages of exploration, requires more work</v>
      </c>
      <c r="O200" s="35" t="str">
        <f>VLOOKUP(H200,'1_Value &amp; risk levers'!$H$9:$O$1048576,4,FALSE)</f>
        <v>Ad-hoc but frequent rationalization initiatives</v>
      </c>
      <c r="P200" s="35" t="str">
        <f>VLOOKUP(H200,'1_Value &amp; risk levers'!$H$9:$O$1048576,5,FALSE)</f>
        <v>Fully optimized methodology to review cost and simplicity periodically</v>
      </c>
      <c r="Q200" s="77">
        <f>IF(VLOOKUP(H200,'1_Value &amp; risk levers'!$H$9:$T$1048576,13,FALSE)=0,"",VLOOKUP(H200,'1_Value &amp; risk levers'!$H$9:$T$1048576,13,FALSE))</f>
        <v>4</v>
      </c>
      <c r="R200" s="128">
        <f t="shared" si="66"/>
        <v>2</v>
      </c>
      <c r="S200" s="128" t="e">
        <f t="shared" si="67"/>
        <v>#DIV/0!</v>
      </c>
      <c r="T200" s="77"/>
      <c r="U200" s="77"/>
      <c r="V200" s="55"/>
      <c r="W200" s="71">
        <v>0.04</v>
      </c>
      <c r="X200" s="71">
        <v>0.1</v>
      </c>
      <c r="Y200" s="71">
        <f>VLOOKUP(H200,'1_Value &amp; risk levers'!$H$9:$O$1048576,8,FALSE)</f>
        <v>0.8</v>
      </c>
      <c r="Z200" s="51">
        <f t="shared" si="68"/>
        <v>7.0000000000000007E-2</v>
      </c>
      <c r="AA200" s="51">
        <f t="shared" si="70"/>
        <v>8.5000000000000006E-2</v>
      </c>
      <c r="AB200" s="55">
        <f t="shared" si="71"/>
        <v>2800000.0000000005</v>
      </c>
      <c r="AC200" s="55">
        <f t="shared" si="72"/>
        <v>3400000.0000000005</v>
      </c>
      <c r="AD200" s="80">
        <f t="shared" si="73"/>
        <v>7</v>
      </c>
      <c r="AE200" s="84">
        <f t="shared" si="74"/>
        <v>0.48864540816326468</v>
      </c>
      <c r="AF200" s="71" t="str">
        <f t="shared" si="75"/>
        <v>Low</v>
      </c>
      <c r="AG200" s="84">
        <f t="shared" si="76"/>
        <v>5.9772908163265304E-2</v>
      </c>
      <c r="AH200" s="84">
        <f t="shared" si="77"/>
        <v>9.5227091836734709E-2</v>
      </c>
      <c r="AI200" s="73">
        <f t="shared" si="78"/>
        <v>2390916.3265306121</v>
      </c>
      <c r="AJ200" s="73">
        <f t="shared" si="79"/>
        <v>3809083.6734693884</v>
      </c>
      <c r="AK200" s="46">
        <f>VLOOKUP(H200,'1_Value &amp; risk levers'!$H$9:$O$1048576,6,FALSE)</f>
        <v>0.02</v>
      </c>
      <c r="AL200" s="46">
        <f>VLOOKUP(H200,'1_Value &amp; risk levers'!$H$9:$O$1048576,7,FALSE)</f>
        <v>0.03</v>
      </c>
      <c r="AM200" s="50">
        <f t="shared" si="80"/>
        <v>0.02</v>
      </c>
      <c r="AN200" s="72">
        <f t="shared" si="81"/>
        <v>9.3023255813953487E-2</v>
      </c>
      <c r="AO200" s="84">
        <f t="shared" si="82"/>
        <v>5.5602705268153769E-3</v>
      </c>
      <c r="AP200" s="84">
        <f t="shared" si="83"/>
        <v>8.858334124347415E-3</v>
      </c>
      <c r="AQ200" s="55">
        <f t="shared" si="84"/>
        <v>260465.1162790698</v>
      </c>
      <c r="AR200" s="55">
        <f t="shared" si="85"/>
        <v>316279.06976744189</v>
      </c>
      <c r="AS200" s="83">
        <f t="shared" si="69"/>
        <v>41</v>
      </c>
      <c r="AT200" s="50">
        <f t="shared" si="86"/>
        <v>3.75</v>
      </c>
      <c r="AU200" s="55" t="str">
        <f t="shared" si="87"/>
        <v>Low</v>
      </c>
      <c r="AV200" s="34" t="s">
        <v>1516</v>
      </c>
      <c r="AW200" s="111"/>
      <c r="AX200" s="30" t="s">
        <v>1493</v>
      </c>
      <c r="AY200" s="30"/>
      <c r="AZ200" s="85" t="str">
        <f>IF(ISERROR(_xlfn.XLOOKUP(CONCATENATE(A200,"_",AV200),'Reference-Proof pt impact flag'!$I$3:$I$1048576,'Reference-Proof pt impact flag'!$G$3:$G$1048576)),"",_xlfn.XLOOKUP(CONCATENATE(A200,"_",AV200),'Reference-Proof pt impact flag'!$I$3:$I$1048576,'Reference-Proof pt impact flag'!$G$3:$G$1048576))</f>
        <v/>
      </c>
      <c r="BA200" s="74"/>
      <c r="BB200" s="74"/>
      <c r="BC200" s="74"/>
      <c r="BD200" s="74"/>
      <c r="BE200" s="74"/>
      <c r="BF200" s="74" t="e">
        <f>_xlfn.XLOOKUP(CONCATENATE(H200,"_",AV200),'Test 2 - Proof points - GPT5'!$T:$T,'Test 2 - Proof points - GPT5'!$S:$S)</f>
        <v>#N/A</v>
      </c>
      <c r="BG200" s="74" t="e">
        <f>_xlfn.XLOOKUP(CONCATENATE(H200,"_",AV200),'Test 2 -Proof points - Sonnet'!$AB:$AB,'Test 2 -Proof points - Sonnet'!$AA:$AA)</f>
        <v>#N/A</v>
      </c>
      <c r="BH200" s="74"/>
      <c r="BI200" s="74"/>
      <c r="BJ200" s="74" t="s">
        <v>1574</v>
      </c>
      <c r="BK200" s="30"/>
      <c r="BL200" s="30"/>
      <c r="BM200" s="30"/>
      <c r="BN200" s="30"/>
      <c r="BO200" s="30"/>
      <c r="BP200" s="30"/>
      <c r="BQ200" s="30"/>
      <c r="BR200" s="30"/>
      <c r="BS200" s="30"/>
      <c r="BT200" s="30"/>
      <c r="BU200" s="30"/>
      <c r="BV200" s="113"/>
    </row>
    <row r="201" spans="1:74" ht="217.5" hidden="1" x14ac:dyDescent="0.35">
      <c r="A201" s="22">
        <v>5</v>
      </c>
      <c r="B201" s="22" t="s">
        <v>1451</v>
      </c>
      <c r="C201" s="22" t="s">
        <v>1452</v>
      </c>
      <c r="D201" s="22" t="s">
        <v>1224</v>
      </c>
      <c r="E201" s="22" t="s">
        <v>1453</v>
      </c>
      <c r="F201" s="22"/>
      <c r="G201" s="22" t="s">
        <v>1274</v>
      </c>
      <c r="H201" s="21" t="s">
        <v>1281</v>
      </c>
      <c r="I201" s="22"/>
      <c r="J201" s="21" t="s">
        <v>1326</v>
      </c>
      <c r="K201" s="30"/>
      <c r="L201" s="30" t="s">
        <v>1239</v>
      </c>
      <c r="M201" s="35" t="str">
        <f>VLOOKUP(H201,'1_Value &amp; risk levers'!$H$9:$O$1048576,2,FALSE)</f>
        <v>Not undertaken</v>
      </c>
      <c r="N201" s="35" t="str">
        <f>VLOOKUP(H201,'1_Value &amp; risk levers'!$H$9:$O$1048576,3,FALSE)</f>
        <v>Initial stages of exploration, requires more work</v>
      </c>
      <c r="O201" s="35" t="str">
        <f>VLOOKUP(H201,'1_Value &amp; risk levers'!$H$9:$O$1048576,4,FALSE)</f>
        <v>Ad-hoc but frequent rationalization initiatives</v>
      </c>
      <c r="P201" s="35" t="str">
        <f>VLOOKUP(H201,'1_Value &amp; risk levers'!$H$9:$O$1048576,5,FALSE)</f>
        <v>Fully optimized methodology to review cost and simplicity periodically</v>
      </c>
      <c r="Q201" s="77">
        <f>IF(VLOOKUP(H201,'1_Value &amp; risk levers'!$H$9:$T$1048576,13,FALSE)=0,"",VLOOKUP(H201,'1_Value &amp; risk levers'!$H$9:$T$1048576,13,FALSE))</f>
        <v>4</v>
      </c>
      <c r="R201" s="128">
        <f t="shared" si="66"/>
        <v>2</v>
      </c>
      <c r="S201" s="128" t="e">
        <f t="shared" si="67"/>
        <v>#DIV/0!</v>
      </c>
      <c r="T201" s="77"/>
      <c r="U201" s="77"/>
      <c r="V201" s="55"/>
      <c r="W201" s="71">
        <v>0.04</v>
      </c>
      <c r="X201" s="71">
        <v>0.1</v>
      </c>
      <c r="Y201" s="71">
        <f>VLOOKUP(H201,'1_Value &amp; risk levers'!$H$9:$O$1048576,8,FALSE)</f>
        <v>0.8</v>
      </c>
      <c r="Z201" s="51">
        <f t="shared" si="68"/>
        <v>7.0000000000000007E-2</v>
      </c>
      <c r="AA201" s="51">
        <f t="shared" si="70"/>
        <v>8.5000000000000006E-2</v>
      </c>
      <c r="AB201" s="55">
        <f t="shared" si="71"/>
        <v>2800000.0000000005</v>
      </c>
      <c r="AC201" s="55">
        <f t="shared" si="72"/>
        <v>3400000.0000000005</v>
      </c>
      <c r="AD201" s="80">
        <f t="shared" si="73"/>
        <v>7</v>
      </c>
      <c r="AE201" s="84">
        <f t="shared" si="74"/>
        <v>0.48864540816326468</v>
      </c>
      <c r="AF201" s="71" t="str">
        <f t="shared" si="75"/>
        <v>Low</v>
      </c>
      <c r="AG201" s="84">
        <f t="shared" si="76"/>
        <v>5.9772908163265304E-2</v>
      </c>
      <c r="AH201" s="84">
        <f t="shared" si="77"/>
        <v>9.5227091836734709E-2</v>
      </c>
      <c r="AI201" s="73">
        <f t="shared" si="78"/>
        <v>2390916.3265306121</v>
      </c>
      <c r="AJ201" s="73">
        <f t="shared" si="79"/>
        <v>3809083.6734693884</v>
      </c>
      <c r="AK201" s="46">
        <f>VLOOKUP(H201,'1_Value &amp; risk levers'!$H$9:$O$1048576,6,FALSE)</f>
        <v>0.02</v>
      </c>
      <c r="AL201" s="46">
        <f>VLOOKUP(H201,'1_Value &amp; risk levers'!$H$9:$O$1048576,7,FALSE)</f>
        <v>0.03</v>
      </c>
      <c r="AM201" s="50">
        <f t="shared" si="80"/>
        <v>0.02</v>
      </c>
      <c r="AN201" s="72">
        <f t="shared" si="81"/>
        <v>9.3023255813953487E-2</v>
      </c>
      <c r="AO201" s="84">
        <f t="shared" si="82"/>
        <v>5.5602705268153769E-3</v>
      </c>
      <c r="AP201" s="84">
        <f t="shared" si="83"/>
        <v>8.858334124347415E-3</v>
      </c>
      <c r="AQ201" s="55">
        <f t="shared" si="84"/>
        <v>260465.1162790698</v>
      </c>
      <c r="AR201" s="55">
        <f t="shared" si="85"/>
        <v>316279.06976744189</v>
      </c>
      <c r="AS201" s="83">
        <f t="shared" si="69"/>
        <v>41</v>
      </c>
      <c r="AT201" s="50">
        <f t="shared" si="86"/>
        <v>3.75</v>
      </c>
      <c r="AU201" s="55" t="str">
        <f t="shared" si="87"/>
        <v>Low</v>
      </c>
      <c r="AV201" s="34" t="s">
        <v>1517</v>
      </c>
      <c r="AW201" s="111"/>
      <c r="AX201" s="30" t="s">
        <v>1493</v>
      </c>
      <c r="AY201" s="30"/>
      <c r="AZ201" s="85" t="str">
        <f>IF(ISERROR(_xlfn.XLOOKUP(CONCATENATE(A201,"_",AV201),'Reference-Proof pt impact flag'!$I$3:$I$1048576,'Reference-Proof pt impact flag'!$G$3:$G$1048576)),"",_xlfn.XLOOKUP(CONCATENATE(A201,"_",AV201),'Reference-Proof pt impact flag'!$I$3:$I$1048576,'Reference-Proof pt impact flag'!$G$3:$G$1048576))</f>
        <v/>
      </c>
      <c r="BA201" s="74"/>
      <c r="BB201" s="74"/>
      <c r="BC201" s="74"/>
      <c r="BD201" s="74"/>
      <c r="BE201" s="74"/>
      <c r="BF201" s="74" t="e">
        <f>_xlfn.XLOOKUP(CONCATENATE(H201,"_",AV201),'Test 2 - Proof points - GPT5'!$T:$T,'Test 2 - Proof points - GPT5'!$S:$S)</f>
        <v>#N/A</v>
      </c>
      <c r="BG201" s="74" t="e">
        <f>_xlfn.XLOOKUP(CONCATENATE(H201,"_",AV201),'Test 2 -Proof points - Sonnet'!$AB:$AB,'Test 2 -Proof points - Sonnet'!$AA:$AA)</f>
        <v>#N/A</v>
      </c>
      <c r="BH201" s="74"/>
      <c r="BI201" s="74"/>
      <c r="BJ201" s="74" t="s">
        <v>1574</v>
      </c>
      <c r="BK201" s="30"/>
      <c r="BL201" s="30"/>
      <c r="BM201" s="30"/>
      <c r="BN201" s="30"/>
      <c r="BO201" s="30"/>
      <c r="BP201" s="30"/>
      <c r="BQ201" s="30"/>
      <c r="BR201" s="30"/>
      <c r="BS201" s="30"/>
      <c r="BT201" s="30"/>
      <c r="BU201" s="30"/>
      <c r="BV201" s="113"/>
    </row>
    <row r="202" spans="1:74" ht="217.5" hidden="1" x14ac:dyDescent="0.35">
      <c r="A202" s="22">
        <v>5</v>
      </c>
      <c r="B202" s="22" t="s">
        <v>1451</v>
      </c>
      <c r="C202" s="22" t="s">
        <v>1452</v>
      </c>
      <c r="D202" s="22" t="s">
        <v>1224</v>
      </c>
      <c r="E202" s="22" t="s">
        <v>1453</v>
      </c>
      <c r="F202" s="22"/>
      <c r="G202" s="22" t="s">
        <v>1274</v>
      </c>
      <c r="H202" s="21" t="s">
        <v>1281</v>
      </c>
      <c r="I202" s="22"/>
      <c r="J202" s="21" t="s">
        <v>1326</v>
      </c>
      <c r="K202" s="30"/>
      <c r="L202" s="30" t="s">
        <v>1239</v>
      </c>
      <c r="M202" s="35" t="str">
        <f>VLOOKUP(H202,'1_Value &amp; risk levers'!$H$9:$O$1048576,2,FALSE)</f>
        <v>Not undertaken</v>
      </c>
      <c r="N202" s="35" t="str">
        <f>VLOOKUP(H202,'1_Value &amp; risk levers'!$H$9:$O$1048576,3,FALSE)</f>
        <v>Initial stages of exploration, requires more work</v>
      </c>
      <c r="O202" s="35" t="str">
        <f>VLOOKUP(H202,'1_Value &amp; risk levers'!$H$9:$O$1048576,4,FALSE)</f>
        <v>Ad-hoc but frequent rationalization initiatives</v>
      </c>
      <c r="P202" s="35" t="str">
        <f>VLOOKUP(H202,'1_Value &amp; risk levers'!$H$9:$O$1048576,5,FALSE)</f>
        <v>Fully optimized methodology to review cost and simplicity periodically</v>
      </c>
      <c r="Q202" s="77">
        <f>IF(VLOOKUP(H202,'1_Value &amp; risk levers'!$H$9:$T$1048576,13,FALSE)=0,"",VLOOKUP(H202,'1_Value &amp; risk levers'!$H$9:$T$1048576,13,FALSE))</f>
        <v>4</v>
      </c>
      <c r="R202" s="128">
        <f t="shared" si="66"/>
        <v>2</v>
      </c>
      <c r="S202" s="128" t="e">
        <f t="shared" si="67"/>
        <v>#DIV/0!</v>
      </c>
      <c r="T202" s="77"/>
      <c r="U202" s="77"/>
      <c r="V202" s="55"/>
      <c r="W202" s="71">
        <v>0.04</v>
      </c>
      <c r="X202" s="71">
        <v>0.1</v>
      </c>
      <c r="Y202" s="71">
        <f>VLOOKUP(H202,'1_Value &amp; risk levers'!$H$9:$O$1048576,8,FALSE)</f>
        <v>0.8</v>
      </c>
      <c r="Z202" s="51">
        <f t="shared" si="68"/>
        <v>7.0000000000000007E-2</v>
      </c>
      <c r="AA202" s="51">
        <f t="shared" si="70"/>
        <v>8.5000000000000006E-2</v>
      </c>
      <c r="AB202" s="55">
        <f t="shared" si="71"/>
        <v>2800000.0000000005</v>
      </c>
      <c r="AC202" s="55">
        <f t="shared" si="72"/>
        <v>3400000.0000000005</v>
      </c>
      <c r="AD202" s="80">
        <f t="shared" si="73"/>
        <v>7</v>
      </c>
      <c r="AE202" s="84">
        <f t="shared" si="74"/>
        <v>0.48864540816326468</v>
      </c>
      <c r="AF202" s="71" t="str">
        <f t="shared" si="75"/>
        <v>Low</v>
      </c>
      <c r="AG202" s="84">
        <f t="shared" si="76"/>
        <v>5.9772908163265304E-2</v>
      </c>
      <c r="AH202" s="84">
        <f t="shared" si="77"/>
        <v>9.5227091836734709E-2</v>
      </c>
      <c r="AI202" s="73">
        <f t="shared" si="78"/>
        <v>2390916.3265306121</v>
      </c>
      <c r="AJ202" s="73">
        <f t="shared" si="79"/>
        <v>3809083.6734693884</v>
      </c>
      <c r="AK202" s="46">
        <f>VLOOKUP(H202,'1_Value &amp; risk levers'!$H$9:$O$1048576,6,FALSE)</f>
        <v>0.02</v>
      </c>
      <c r="AL202" s="46">
        <f>VLOOKUP(H202,'1_Value &amp; risk levers'!$H$9:$O$1048576,7,FALSE)</f>
        <v>0.03</v>
      </c>
      <c r="AM202" s="50">
        <f t="shared" si="80"/>
        <v>0.02</v>
      </c>
      <c r="AN202" s="72">
        <f t="shared" si="81"/>
        <v>9.3023255813953487E-2</v>
      </c>
      <c r="AO202" s="84">
        <f t="shared" si="82"/>
        <v>5.5602705268153769E-3</v>
      </c>
      <c r="AP202" s="84">
        <f t="shared" si="83"/>
        <v>8.858334124347415E-3</v>
      </c>
      <c r="AQ202" s="55">
        <f t="shared" si="84"/>
        <v>260465.1162790698</v>
      </c>
      <c r="AR202" s="55">
        <f t="shared" si="85"/>
        <v>316279.06976744189</v>
      </c>
      <c r="AS202" s="83">
        <f t="shared" si="69"/>
        <v>41</v>
      </c>
      <c r="AT202" s="50">
        <f t="shared" si="86"/>
        <v>3.75</v>
      </c>
      <c r="AU202" s="55" t="str">
        <f t="shared" si="87"/>
        <v>Low</v>
      </c>
      <c r="AV202" s="34" t="s">
        <v>1524</v>
      </c>
      <c r="AW202" s="111"/>
      <c r="AX202" s="30" t="s">
        <v>1493</v>
      </c>
      <c r="AY202" s="30"/>
      <c r="AZ202" s="85" t="str">
        <f>IF(ISERROR(_xlfn.XLOOKUP(CONCATENATE(A202,"_",AV202),'Reference-Proof pt impact flag'!$I$3:$I$1048576,'Reference-Proof pt impact flag'!$G$3:$G$1048576)),"",_xlfn.XLOOKUP(CONCATENATE(A202,"_",AV202),'Reference-Proof pt impact flag'!$I$3:$I$1048576,'Reference-Proof pt impact flag'!$G$3:$G$1048576))</f>
        <v/>
      </c>
      <c r="BA202" s="74"/>
      <c r="BB202" s="74"/>
      <c r="BC202" s="74"/>
      <c r="BD202" s="74"/>
      <c r="BE202" s="74"/>
      <c r="BF202" s="74" t="e">
        <f>_xlfn.XLOOKUP(CONCATENATE(H202,"_",AV202),'Test 2 - Proof points - GPT5'!$T:$T,'Test 2 - Proof points - GPT5'!$S:$S)</f>
        <v>#N/A</v>
      </c>
      <c r="BG202" s="74" t="e">
        <f>_xlfn.XLOOKUP(CONCATENATE(H202,"_",AV202),'Test 2 -Proof points - Sonnet'!$AB:$AB,'Test 2 -Proof points - Sonnet'!$AA:$AA)</f>
        <v>#N/A</v>
      </c>
      <c r="BH202" s="74"/>
      <c r="BI202" s="74"/>
      <c r="BJ202" s="74" t="s">
        <v>1574</v>
      </c>
      <c r="BK202" s="30"/>
      <c r="BL202" s="30"/>
      <c r="BM202" s="30"/>
      <c r="BN202" s="30"/>
      <c r="BO202" s="30"/>
      <c r="BP202" s="30"/>
      <c r="BQ202" s="30"/>
      <c r="BR202" s="30"/>
      <c r="BS202" s="30"/>
      <c r="BT202" s="30"/>
      <c r="BU202" s="30"/>
      <c r="BV202" s="113"/>
    </row>
    <row r="203" spans="1:74" ht="217.5" hidden="1" x14ac:dyDescent="0.35">
      <c r="A203" s="22">
        <v>5</v>
      </c>
      <c r="B203" s="22" t="s">
        <v>1451</v>
      </c>
      <c r="C203" s="22" t="s">
        <v>1452</v>
      </c>
      <c r="D203" s="22" t="s">
        <v>1224</v>
      </c>
      <c r="E203" s="22" t="s">
        <v>1453</v>
      </c>
      <c r="F203" s="22"/>
      <c r="G203" s="22" t="s">
        <v>1274</v>
      </c>
      <c r="H203" s="21" t="s">
        <v>1281</v>
      </c>
      <c r="I203" s="22"/>
      <c r="J203" s="21" t="s">
        <v>1326</v>
      </c>
      <c r="K203" s="30"/>
      <c r="L203" s="30" t="s">
        <v>1239</v>
      </c>
      <c r="M203" s="35" t="str">
        <f>VLOOKUP(H203,'1_Value &amp; risk levers'!$H$9:$O$1048576,2,FALSE)</f>
        <v>Not undertaken</v>
      </c>
      <c r="N203" s="35" t="str">
        <f>VLOOKUP(H203,'1_Value &amp; risk levers'!$H$9:$O$1048576,3,FALSE)</f>
        <v>Initial stages of exploration, requires more work</v>
      </c>
      <c r="O203" s="35" t="str">
        <f>VLOOKUP(H203,'1_Value &amp; risk levers'!$H$9:$O$1048576,4,FALSE)</f>
        <v>Ad-hoc but frequent rationalization initiatives</v>
      </c>
      <c r="P203" s="35" t="str">
        <f>VLOOKUP(H203,'1_Value &amp; risk levers'!$H$9:$O$1048576,5,FALSE)</f>
        <v>Fully optimized methodology to review cost and simplicity periodically</v>
      </c>
      <c r="Q203" s="77">
        <f>IF(VLOOKUP(H203,'1_Value &amp; risk levers'!$H$9:$T$1048576,13,FALSE)=0,"",VLOOKUP(H203,'1_Value &amp; risk levers'!$H$9:$T$1048576,13,FALSE))</f>
        <v>4</v>
      </c>
      <c r="R203" s="128">
        <f t="shared" si="66"/>
        <v>2</v>
      </c>
      <c r="S203" s="128" t="e">
        <f t="shared" si="67"/>
        <v>#DIV/0!</v>
      </c>
      <c r="T203" s="77"/>
      <c r="U203" s="77"/>
      <c r="V203" s="55"/>
      <c r="W203" s="71">
        <v>0.04</v>
      </c>
      <c r="X203" s="71">
        <v>0.1</v>
      </c>
      <c r="Y203" s="71">
        <f>VLOOKUP(H203,'1_Value &amp; risk levers'!$H$9:$O$1048576,8,FALSE)</f>
        <v>0.8</v>
      </c>
      <c r="Z203" s="51">
        <f t="shared" si="68"/>
        <v>7.0000000000000007E-2</v>
      </c>
      <c r="AA203" s="51">
        <f t="shared" si="70"/>
        <v>8.5000000000000006E-2</v>
      </c>
      <c r="AB203" s="55">
        <f t="shared" si="71"/>
        <v>2800000.0000000005</v>
      </c>
      <c r="AC203" s="55">
        <f t="shared" si="72"/>
        <v>3400000.0000000005</v>
      </c>
      <c r="AD203" s="80">
        <f t="shared" si="73"/>
        <v>7</v>
      </c>
      <c r="AE203" s="84">
        <f t="shared" si="74"/>
        <v>0.48864540816326468</v>
      </c>
      <c r="AF203" s="71" t="str">
        <f t="shared" si="75"/>
        <v>Low</v>
      </c>
      <c r="AG203" s="84">
        <f t="shared" si="76"/>
        <v>5.9772908163265304E-2</v>
      </c>
      <c r="AH203" s="84">
        <f t="shared" si="77"/>
        <v>9.5227091836734709E-2</v>
      </c>
      <c r="AI203" s="73">
        <f t="shared" si="78"/>
        <v>2390916.3265306121</v>
      </c>
      <c r="AJ203" s="73">
        <f t="shared" si="79"/>
        <v>3809083.6734693884</v>
      </c>
      <c r="AK203" s="46">
        <f>VLOOKUP(H203,'1_Value &amp; risk levers'!$H$9:$O$1048576,6,FALSE)</f>
        <v>0.02</v>
      </c>
      <c r="AL203" s="46">
        <f>VLOOKUP(H203,'1_Value &amp; risk levers'!$H$9:$O$1048576,7,FALSE)</f>
        <v>0.03</v>
      </c>
      <c r="AM203" s="50">
        <f t="shared" si="80"/>
        <v>0.02</v>
      </c>
      <c r="AN203" s="72">
        <f t="shared" si="81"/>
        <v>9.3023255813953487E-2</v>
      </c>
      <c r="AO203" s="84">
        <f t="shared" si="82"/>
        <v>5.5602705268153769E-3</v>
      </c>
      <c r="AP203" s="84">
        <f t="shared" si="83"/>
        <v>8.858334124347415E-3</v>
      </c>
      <c r="AQ203" s="55">
        <f t="shared" si="84"/>
        <v>260465.1162790698</v>
      </c>
      <c r="AR203" s="55">
        <f t="shared" si="85"/>
        <v>316279.06976744189</v>
      </c>
      <c r="AS203" s="83">
        <f t="shared" si="69"/>
        <v>41</v>
      </c>
      <c r="AT203" s="50">
        <f t="shared" si="86"/>
        <v>3.75</v>
      </c>
      <c r="AU203" s="55" t="str">
        <f t="shared" si="87"/>
        <v>Low</v>
      </c>
      <c r="AV203" s="34" t="s">
        <v>1528</v>
      </c>
      <c r="AW203" s="111"/>
      <c r="AX203" s="30" t="s">
        <v>1493</v>
      </c>
      <c r="AY203" s="30"/>
      <c r="AZ203" s="85" t="str">
        <f>IF(ISERROR(_xlfn.XLOOKUP(CONCATENATE(A203,"_",AV203),'Reference-Proof pt impact flag'!$I$3:$I$1048576,'Reference-Proof pt impact flag'!$G$3:$G$1048576)),"",_xlfn.XLOOKUP(CONCATENATE(A203,"_",AV203),'Reference-Proof pt impact flag'!$I$3:$I$1048576,'Reference-Proof pt impact flag'!$G$3:$G$1048576))</f>
        <v/>
      </c>
      <c r="BA203" s="74"/>
      <c r="BB203" s="74"/>
      <c r="BC203" s="74"/>
      <c r="BD203" s="74"/>
      <c r="BE203" s="74"/>
      <c r="BF203" s="74" t="e">
        <f>_xlfn.XLOOKUP(CONCATENATE(H203,"_",AV203),'Test 2 - Proof points - GPT5'!$T:$T,'Test 2 - Proof points - GPT5'!$S:$S)</f>
        <v>#N/A</v>
      </c>
      <c r="BG203" s="74" t="e">
        <f>_xlfn.XLOOKUP(CONCATENATE(H203,"_",AV203),'Test 2 -Proof points - Sonnet'!$AB:$AB,'Test 2 -Proof points - Sonnet'!$AA:$AA)</f>
        <v>#N/A</v>
      </c>
      <c r="BH203" s="74"/>
      <c r="BI203" s="74"/>
      <c r="BJ203" s="74" t="s">
        <v>1574</v>
      </c>
      <c r="BK203" s="30"/>
      <c r="BL203" s="30"/>
      <c r="BM203" s="30"/>
      <c r="BN203" s="30"/>
      <c r="BO203" s="30"/>
      <c r="BP203" s="30"/>
      <c r="BQ203" s="30"/>
      <c r="BR203" s="30"/>
      <c r="BS203" s="30"/>
      <c r="BT203" s="30"/>
      <c r="BU203" s="30"/>
      <c r="BV203" s="113"/>
    </row>
    <row r="204" spans="1:74" ht="217.5" hidden="1" x14ac:dyDescent="0.35">
      <c r="A204" s="22">
        <v>5</v>
      </c>
      <c r="B204" s="22" t="s">
        <v>1451</v>
      </c>
      <c r="C204" s="22" t="s">
        <v>1452</v>
      </c>
      <c r="D204" s="22" t="s">
        <v>1224</v>
      </c>
      <c r="E204" s="22" t="s">
        <v>1453</v>
      </c>
      <c r="F204" s="22"/>
      <c r="G204" s="22" t="s">
        <v>1274</v>
      </c>
      <c r="H204" s="21" t="s">
        <v>1281</v>
      </c>
      <c r="I204" s="22"/>
      <c r="J204" s="21" t="s">
        <v>1326</v>
      </c>
      <c r="K204" s="30"/>
      <c r="L204" s="30" t="s">
        <v>1239</v>
      </c>
      <c r="M204" s="35" t="str">
        <f>VLOOKUP(H204,'1_Value &amp; risk levers'!$H$9:$O$1048576,2,FALSE)</f>
        <v>Not undertaken</v>
      </c>
      <c r="N204" s="35" t="str">
        <f>VLOOKUP(H204,'1_Value &amp; risk levers'!$H$9:$O$1048576,3,FALSE)</f>
        <v>Initial stages of exploration, requires more work</v>
      </c>
      <c r="O204" s="35" t="str">
        <f>VLOOKUP(H204,'1_Value &amp; risk levers'!$H$9:$O$1048576,4,FALSE)</f>
        <v>Ad-hoc but frequent rationalization initiatives</v>
      </c>
      <c r="P204" s="35" t="str">
        <f>VLOOKUP(H204,'1_Value &amp; risk levers'!$H$9:$O$1048576,5,FALSE)</f>
        <v>Fully optimized methodology to review cost and simplicity periodically</v>
      </c>
      <c r="Q204" s="77">
        <f>IF(VLOOKUP(H204,'1_Value &amp; risk levers'!$H$9:$T$1048576,13,FALSE)=0,"",VLOOKUP(H204,'1_Value &amp; risk levers'!$H$9:$T$1048576,13,FALSE))</f>
        <v>4</v>
      </c>
      <c r="R204" s="128">
        <f t="shared" si="66"/>
        <v>2</v>
      </c>
      <c r="S204" s="128" t="e">
        <f t="shared" si="67"/>
        <v>#DIV/0!</v>
      </c>
      <c r="T204" s="77"/>
      <c r="U204" s="77"/>
      <c r="V204" s="55"/>
      <c r="W204" s="71">
        <v>0.04</v>
      </c>
      <c r="X204" s="71">
        <v>0.1</v>
      </c>
      <c r="Y204" s="71">
        <f>VLOOKUP(H204,'1_Value &amp; risk levers'!$H$9:$O$1048576,8,FALSE)</f>
        <v>0.8</v>
      </c>
      <c r="Z204" s="51">
        <f t="shared" si="68"/>
        <v>7.0000000000000007E-2</v>
      </c>
      <c r="AA204" s="51">
        <f t="shared" si="70"/>
        <v>8.5000000000000006E-2</v>
      </c>
      <c r="AB204" s="55">
        <f t="shared" si="71"/>
        <v>2800000.0000000005</v>
      </c>
      <c r="AC204" s="55">
        <f t="shared" si="72"/>
        <v>3400000.0000000005</v>
      </c>
      <c r="AD204" s="80">
        <f t="shared" si="73"/>
        <v>7</v>
      </c>
      <c r="AE204" s="84">
        <f t="shared" si="74"/>
        <v>0.48864540816326468</v>
      </c>
      <c r="AF204" s="71" t="str">
        <f t="shared" si="75"/>
        <v>Low</v>
      </c>
      <c r="AG204" s="84">
        <f t="shared" si="76"/>
        <v>5.9772908163265304E-2</v>
      </c>
      <c r="AH204" s="84">
        <f t="shared" si="77"/>
        <v>9.5227091836734709E-2</v>
      </c>
      <c r="AI204" s="73">
        <f t="shared" si="78"/>
        <v>2390916.3265306121</v>
      </c>
      <c r="AJ204" s="73">
        <f t="shared" si="79"/>
        <v>3809083.6734693884</v>
      </c>
      <c r="AK204" s="46">
        <f>VLOOKUP(H204,'1_Value &amp; risk levers'!$H$9:$O$1048576,6,FALSE)</f>
        <v>0.02</v>
      </c>
      <c r="AL204" s="46">
        <f>VLOOKUP(H204,'1_Value &amp; risk levers'!$H$9:$O$1048576,7,FALSE)</f>
        <v>0.03</v>
      </c>
      <c r="AM204" s="50">
        <f t="shared" si="80"/>
        <v>0.02</v>
      </c>
      <c r="AN204" s="72">
        <f t="shared" si="81"/>
        <v>9.3023255813953487E-2</v>
      </c>
      <c r="AO204" s="84">
        <f t="shared" si="82"/>
        <v>5.5602705268153769E-3</v>
      </c>
      <c r="AP204" s="84">
        <f t="shared" si="83"/>
        <v>8.858334124347415E-3</v>
      </c>
      <c r="AQ204" s="55">
        <f t="shared" si="84"/>
        <v>260465.1162790698</v>
      </c>
      <c r="AR204" s="55">
        <f t="shared" si="85"/>
        <v>316279.06976744189</v>
      </c>
      <c r="AS204" s="83">
        <f t="shared" si="69"/>
        <v>41</v>
      </c>
      <c r="AT204" s="50">
        <f t="shared" si="86"/>
        <v>3.75</v>
      </c>
      <c r="AU204" s="55" t="str">
        <f t="shared" si="87"/>
        <v>Low</v>
      </c>
      <c r="AV204" s="34" t="s">
        <v>1529</v>
      </c>
      <c r="AW204" s="111"/>
      <c r="AX204" s="30" t="s">
        <v>1493</v>
      </c>
      <c r="AY204" s="30"/>
      <c r="AZ204" s="85" t="str">
        <f>IF(ISERROR(_xlfn.XLOOKUP(CONCATENATE(A204,"_",AV204),'Reference-Proof pt impact flag'!$I$3:$I$1048576,'Reference-Proof pt impact flag'!$G$3:$G$1048576)),"",_xlfn.XLOOKUP(CONCATENATE(A204,"_",AV204),'Reference-Proof pt impact flag'!$I$3:$I$1048576,'Reference-Proof pt impact flag'!$G$3:$G$1048576))</f>
        <v/>
      </c>
      <c r="BA204" s="74"/>
      <c r="BB204" s="74"/>
      <c r="BC204" s="74"/>
      <c r="BD204" s="74"/>
      <c r="BE204" s="74"/>
      <c r="BF204" s="74" t="e">
        <f>_xlfn.XLOOKUP(CONCATENATE(H204,"_",AV204),'Test 2 - Proof points - GPT5'!$T:$T,'Test 2 - Proof points - GPT5'!$S:$S)</f>
        <v>#N/A</v>
      </c>
      <c r="BG204" s="74" t="e">
        <f>_xlfn.XLOOKUP(CONCATENATE(H204,"_",AV204),'Test 2 -Proof points - Sonnet'!$AB:$AB,'Test 2 -Proof points - Sonnet'!$AA:$AA)</f>
        <v>#N/A</v>
      </c>
      <c r="BH204" s="74"/>
      <c r="BI204" s="74"/>
      <c r="BJ204" s="74" t="s">
        <v>1574</v>
      </c>
      <c r="BK204" s="30"/>
      <c r="BL204" s="30"/>
      <c r="BM204" s="30"/>
      <c r="BN204" s="30"/>
      <c r="BO204" s="30"/>
      <c r="BP204" s="30"/>
      <c r="BQ204" s="30"/>
      <c r="BR204" s="30"/>
      <c r="BS204" s="30"/>
      <c r="BT204" s="30"/>
      <c r="BU204" s="30"/>
      <c r="BV204" s="113"/>
    </row>
    <row r="205" spans="1:74" ht="217.5" hidden="1" x14ac:dyDescent="0.35">
      <c r="A205" s="22">
        <v>5</v>
      </c>
      <c r="B205" s="22" t="s">
        <v>1451</v>
      </c>
      <c r="C205" s="22" t="s">
        <v>1452</v>
      </c>
      <c r="D205" s="22" t="s">
        <v>1224</v>
      </c>
      <c r="E205" s="22" t="s">
        <v>1453</v>
      </c>
      <c r="F205" s="22"/>
      <c r="G205" s="22" t="s">
        <v>1274</v>
      </c>
      <c r="H205" s="21" t="s">
        <v>1281</v>
      </c>
      <c r="I205" s="22"/>
      <c r="J205" s="21" t="s">
        <v>1326</v>
      </c>
      <c r="K205" s="30"/>
      <c r="L205" s="30" t="s">
        <v>1239</v>
      </c>
      <c r="M205" s="35" t="str">
        <f>VLOOKUP(H205,'1_Value &amp; risk levers'!$H$9:$O$1048576,2,FALSE)</f>
        <v>Not undertaken</v>
      </c>
      <c r="N205" s="35" t="str">
        <f>VLOOKUP(H205,'1_Value &amp; risk levers'!$H$9:$O$1048576,3,FALSE)</f>
        <v>Initial stages of exploration, requires more work</v>
      </c>
      <c r="O205" s="35" t="str">
        <f>VLOOKUP(H205,'1_Value &amp; risk levers'!$H$9:$O$1048576,4,FALSE)</f>
        <v>Ad-hoc but frequent rationalization initiatives</v>
      </c>
      <c r="P205" s="35" t="str">
        <f>VLOOKUP(H205,'1_Value &amp; risk levers'!$H$9:$O$1048576,5,FALSE)</f>
        <v>Fully optimized methodology to review cost and simplicity periodically</v>
      </c>
      <c r="Q205" s="77">
        <f>IF(VLOOKUP(H205,'1_Value &amp; risk levers'!$H$9:$T$1048576,13,FALSE)=0,"",VLOOKUP(H205,'1_Value &amp; risk levers'!$H$9:$T$1048576,13,FALSE))</f>
        <v>4</v>
      </c>
      <c r="R205" s="128">
        <f t="shared" si="66"/>
        <v>2</v>
      </c>
      <c r="S205" s="128" t="e">
        <f t="shared" si="67"/>
        <v>#DIV/0!</v>
      </c>
      <c r="T205" s="77"/>
      <c r="U205" s="77"/>
      <c r="V205" s="55"/>
      <c r="W205" s="71">
        <v>0.04</v>
      </c>
      <c r="X205" s="71">
        <v>0.1</v>
      </c>
      <c r="Y205" s="71">
        <f>VLOOKUP(H205,'1_Value &amp; risk levers'!$H$9:$O$1048576,8,FALSE)</f>
        <v>0.8</v>
      </c>
      <c r="Z205" s="51">
        <f t="shared" si="68"/>
        <v>7.0000000000000007E-2</v>
      </c>
      <c r="AA205" s="51">
        <f t="shared" si="70"/>
        <v>8.5000000000000006E-2</v>
      </c>
      <c r="AB205" s="55">
        <f t="shared" si="71"/>
        <v>2800000.0000000005</v>
      </c>
      <c r="AC205" s="55">
        <f t="shared" si="72"/>
        <v>3400000.0000000005</v>
      </c>
      <c r="AD205" s="80">
        <f t="shared" si="73"/>
        <v>7</v>
      </c>
      <c r="AE205" s="84">
        <f t="shared" si="74"/>
        <v>0.48864540816326468</v>
      </c>
      <c r="AF205" s="71" t="str">
        <f t="shared" si="75"/>
        <v>Low</v>
      </c>
      <c r="AG205" s="84">
        <f t="shared" si="76"/>
        <v>5.9772908163265304E-2</v>
      </c>
      <c r="AH205" s="84">
        <f t="shared" si="77"/>
        <v>9.5227091836734709E-2</v>
      </c>
      <c r="AI205" s="73">
        <f t="shared" si="78"/>
        <v>2390916.3265306121</v>
      </c>
      <c r="AJ205" s="73">
        <f t="shared" si="79"/>
        <v>3809083.6734693884</v>
      </c>
      <c r="AK205" s="46">
        <f>VLOOKUP(H205,'1_Value &amp; risk levers'!$H$9:$O$1048576,6,FALSE)</f>
        <v>0.02</v>
      </c>
      <c r="AL205" s="46">
        <f>VLOOKUP(H205,'1_Value &amp; risk levers'!$H$9:$O$1048576,7,FALSE)</f>
        <v>0.03</v>
      </c>
      <c r="AM205" s="50">
        <f t="shared" si="80"/>
        <v>0.02</v>
      </c>
      <c r="AN205" s="72">
        <f t="shared" si="81"/>
        <v>9.3023255813953487E-2</v>
      </c>
      <c r="AO205" s="84">
        <f t="shared" si="82"/>
        <v>5.5602705268153769E-3</v>
      </c>
      <c r="AP205" s="84">
        <f t="shared" si="83"/>
        <v>8.858334124347415E-3</v>
      </c>
      <c r="AQ205" s="55">
        <f t="shared" si="84"/>
        <v>260465.1162790698</v>
      </c>
      <c r="AR205" s="55">
        <f t="shared" si="85"/>
        <v>316279.06976744189</v>
      </c>
      <c r="AS205" s="83">
        <f t="shared" si="69"/>
        <v>41</v>
      </c>
      <c r="AT205" s="50">
        <f t="shared" si="86"/>
        <v>3.75</v>
      </c>
      <c r="AU205" s="55" t="str">
        <f t="shared" si="87"/>
        <v>Low</v>
      </c>
      <c r="AV205" s="34" t="s">
        <v>1530</v>
      </c>
      <c r="AW205" s="111"/>
      <c r="AX205" s="30" t="s">
        <v>1493</v>
      </c>
      <c r="AY205" s="30"/>
      <c r="AZ205" s="85" t="str">
        <f>IF(ISERROR(_xlfn.XLOOKUP(CONCATENATE(A205,"_",AV205),'Reference-Proof pt impact flag'!$I$3:$I$1048576,'Reference-Proof pt impact flag'!$G$3:$G$1048576)),"",_xlfn.XLOOKUP(CONCATENATE(A205,"_",AV205),'Reference-Proof pt impact flag'!$I$3:$I$1048576,'Reference-Proof pt impact flag'!$G$3:$G$1048576))</f>
        <v/>
      </c>
      <c r="BA205" s="74"/>
      <c r="BB205" s="74"/>
      <c r="BC205" s="74"/>
      <c r="BD205" s="74"/>
      <c r="BE205" s="74"/>
      <c r="BF205" s="74" t="e">
        <f>_xlfn.XLOOKUP(CONCATENATE(H205,"_",AV205),'Test 2 - Proof points - GPT5'!$T:$T,'Test 2 - Proof points - GPT5'!$S:$S)</f>
        <v>#N/A</v>
      </c>
      <c r="BG205" s="74" t="e">
        <f>_xlfn.XLOOKUP(CONCATENATE(H205,"_",AV205),'Test 2 -Proof points - Sonnet'!$AB:$AB,'Test 2 -Proof points - Sonnet'!$AA:$AA)</f>
        <v>#N/A</v>
      </c>
      <c r="BH205" s="74"/>
      <c r="BI205" s="74"/>
      <c r="BJ205" s="74" t="s">
        <v>1574</v>
      </c>
      <c r="BK205" s="30"/>
      <c r="BL205" s="30"/>
      <c r="BM205" s="30"/>
      <c r="BN205" s="30"/>
      <c r="BO205" s="30"/>
      <c r="BP205" s="30"/>
      <c r="BQ205" s="30"/>
      <c r="BR205" s="30"/>
      <c r="BS205" s="30"/>
      <c r="BT205" s="30"/>
      <c r="BU205" s="30"/>
      <c r="BV205" s="113"/>
    </row>
    <row r="206" spans="1:74" ht="217.5" hidden="1" x14ac:dyDescent="0.35">
      <c r="A206" s="22">
        <v>5</v>
      </c>
      <c r="B206" s="22" t="s">
        <v>1451</v>
      </c>
      <c r="C206" s="22" t="s">
        <v>1452</v>
      </c>
      <c r="D206" s="22" t="s">
        <v>1224</v>
      </c>
      <c r="E206" s="22" t="s">
        <v>1453</v>
      </c>
      <c r="F206" s="22"/>
      <c r="G206" s="22" t="s">
        <v>1274</v>
      </c>
      <c r="H206" s="21" t="s">
        <v>1281</v>
      </c>
      <c r="I206" s="22"/>
      <c r="J206" s="21" t="s">
        <v>1326</v>
      </c>
      <c r="K206" s="30"/>
      <c r="L206" s="30" t="s">
        <v>1239</v>
      </c>
      <c r="M206" s="35" t="str">
        <f>VLOOKUP(H206,'1_Value &amp; risk levers'!$H$9:$O$1048576,2,FALSE)</f>
        <v>Not undertaken</v>
      </c>
      <c r="N206" s="35" t="str">
        <f>VLOOKUP(H206,'1_Value &amp; risk levers'!$H$9:$O$1048576,3,FALSE)</f>
        <v>Initial stages of exploration, requires more work</v>
      </c>
      <c r="O206" s="35" t="str">
        <f>VLOOKUP(H206,'1_Value &amp; risk levers'!$H$9:$O$1048576,4,FALSE)</f>
        <v>Ad-hoc but frequent rationalization initiatives</v>
      </c>
      <c r="P206" s="35" t="str">
        <f>VLOOKUP(H206,'1_Value &amp; risk levers'!$H$9:$O$1048576,5,FALSE)</f>
        <v>Fully optimized methodology to review cost and simplicity periodically</v>
      </c>
      <c r="Q206" s="77">
        <f>IF(VLOOKUP(H206,'1_Value &amp; risk levers'!$H$9:$T$1048576,13,FALSE)=0,"",VLOOKUP(H206,'1_Value &amp; risk levers'!$H$9:$T$1048576,13,FALSE))</f>
        <v>4</v>
      </c>
      <c r="R206" s="128">
        <f t="shared" si="66"/>
        <v>2</v>
      </c>
      <c r="S206" s="128" t="e">
        <f t="shared" si="67"/>
        <v>#DIV/0!</v>
      </c>
      <c r="T206" s="77"/>
      <c r="U206" s="77"/>
      <c r="V206" s="55"/>
      <c r="W206" s="71">
        <v>0.04</v>
      </c>
      <c r="X206" s="71">
        <v>0.1</v>
      </c>
      <c r="Y206" s="71">
        <f>VLOOKUP(H206,'1_Value &amp; risk levers'!$H$9:$O$1048576,8,FALSE)</f>
        <v>0.8</v>
      </c>
      <c r="Z206" s="51">
        <f t="shared" si="68"/>
        <v>7.0000000000000007E-2</v>
      </c>
      <c r="AA206" s="51">
        <f t="shared" si="70"/>
        <v>8.5000000000000006E-2</v>
      </c>
      <c r="AB206" s="55">
        <f t="shared" si="71"/>
        <v>2800000.0000000005</v>
      </c>
      <c r="AC206" s="55">
        <f t="shared" si="72"/>
        <v>3400000.0000000005</v>
      </c>
      <c r="AD206" s="80">
        <f t="shared" si="73"/>
        <v>7</v>
      </c>
      <c r="AE206" s="84">
        <f t="shared" si="74"/>
        <v>0.48864540816326468</v>
      </c>
      <c r="AF206" s="71" t="str">
        <f t="shared" si="75"/>
        <v>Low</v>
      </c>
      <c r="AG206" s="84">
        <f t="shared" si="76"/>
        <v>5.9772908163265304E-2</v>
      </c>
      <c r="AH206" s="84">
        <f t="shared" si="77"/>
        <v>9.5227091836734709E-2</v>
      </c>
      <c r="AI206" s="73">
        <f t="shared" si="78"/>
        <v>2390916.3265306121</v>
      </c>
      <c r="AJ206" s="73">
        <f t="shared" si="79"/>
        <v>3809083.6734693884</v>
      </c>
      <c r="AK206" s="46">
        <f>VLOOKUP(H206,'1_Value &amp; risk levers'!$H$9:$O$1048576,6,FALSE)</f>
        <v>0.02</v>
      </c>
      <c r="AL206" s="46">
        <f>VLOOKUP(H206,'1_Value &amp; risk levers'!$H$9:$O$1048576,7,FALSE)</f>
        <v>0.03</v>
      </c>
      <c r="AM206" s="50">
        <f t="shared" si="80"/>
        <v>0.02</v>
      </c>
      <c r="AN206" s="72">
        <f t="shared" si="81"/>
        <v>9.3023255813953487E-2</v>
      </c>
      <c r="AO206" s="84">
        <f t="shared" si="82"/>
        <v>5.5602705268153769E-3</v>
      </c>
      <c r="AP206" s="84">
        <f t="shared" si="83"/>
        <v>8.858334124347415E-3</v>
      </c>
      <c r="AQ206" s="55">
        <f t="shared" si="84"/>
        <v>260465.1162790698</v>
      </c>
      <c r="AR206" s="55">
        <f t="shared" si="85"/>
        <v>316279.06976744189</v>
      </c>
      <c r="AS206" s="83">
        <f t="shared" si="69"/>
        <v>41</v>
      </c>
      <c r="AT206" s="50">
        <f t="shared" si="86"/>
        <v>3.75</v>
      </c>
      <c r="AU206" s="55" t="str">
        <f t="shared" si="87"/>
        <v>Low</v>
      </c>
      <c r="AV206" s="34" t="s">
        <v>1531</v>
      </c>
      <c r="AW206" s="111"/>
      <c r="AX206" s="30" t="s">
        <v>1493</v>
      </c>
      <c r="AY206" s="30"/>
      <c r="AZ206" s="85" t="str">
        <f>IF(ISERROR(_xlfn.XLOOKUP(CONCATENATE(A206,"_",AV206),'Reference-Proof pt impact flag'!$I$3:$I$1048576,'Reference-Proof pt impact flag'!$G$3:$G$1048576)),"",_xlfn.XLOOKUP(CONCATENATE(A206,"_",AV206),'Reference-Proof pt impact flag'!$I$3:$I$1048576,'Reference-Proof pt impact flag'!$G$3:$G$1048576))</f>
        <v/>
      </c>
      <c r="BA206" s="74"/>
      <c r="BB206" s="74"/>
      <c r="BC206" s="74"/>
      <c r="BD206" s="74"/>
      <c r="BE206" s="74"/>
      <c r="BF206" s="74" t="e">
        <f>_xlfn.XLOOKUP(CONCATENATE(H206,"_",AV206),'Test 2 - Proof points - GPT5'!$T:$T,'Test 2 - Proof points - GPT5'!$S:$S)</f>
        <v>#N/A</v>
      </c>
      <c r="BG206" s="74" t="e">
        <f>_xlfn.XLOOKUP(CONCATENATE(H206,"_",AV206),'Test 2 -Proof points - Sonnet'!$AB:$AB,'Test 2 -Proof points - Sonnet'!$AA:$AA)</f>
        <v>#N/A</v>
      </c>
      <c r="BH206" s="74"/>
      <c r="BI206" s="74"/>
      <c r="BJ206" s="74" t="s">
        <v>1574</v>
      </c>
      <c r="BK206" s="30"/>
      <c r="BL206" s="30"/>
      <c r="BM206" s="30"/>
      <c r="BN206" s="30"/>
      <c r="BO206" s="30"/>
      <c r="BP206" s="30"/>
      <c r="BQ206" s="30"/>
      <c r="BR206" s="30"/>
      <c r="BS206" s="30"/>
      <c r="BT206" s="30"/>
      <c r="BU206" s="30"/>
      <c r="BV206" s="113"/>
    </row>
    <row r="207" spans="1:74" ht="217.5" hidden="1" x14ac:dyDescent="0.35">
      <c r="A207" s="22">
        <v>5</v>
      </c>
      <c r="B207" s="22" t="s">
        <v>1451</v>
      </c>
      <c r="C207" s="22" t="s">
        <v>1452</v>
      </c>
      <c r="D207" s="22" t="s">
        <v>1224</v>
      </c>
      <c r="E207" s="22" t="s">
        <v>1453</v>
      </c>
      <c r="F207" s="22"/>
      <c r="G207" s="22" t="s">
        <v>1274</v>
      </c>
      <c r="H207" s="21" t="s">
        <v>1281</v>
      </c>
      <c r="I207" s="22"/>
      <c r="J207" s="21" t="s">
        <v>1326</v>
      </c>
      <c r="K207" s="30"/>
      <c r="L207" s="30" t="s">
        <v>1239</v>
      </c>
      <c r="M207" s="35" t="str">
        <f>VLOOKUP(H207,'1_Value &amp; risk levers'!$H$9:$O$1048576,2,FALSE)</f>
        <v>Not undertaken</v>
      </c>
      <c r="N207" s="35" t="str">
        <f>VLOOKUP(H207,'1_Value &amp; risk levers'!$H$9:$O$1048576,3,FALSE)</f>
        <v>Initial stages of exploration, requires more work</v>
      </c>
      <c r="O207" s="35" t="str">
        <f>VLOOKUP(H207,'1_Value &amp; risk levers'!$H$9:$O$1048576,4,FALSE)</f>
        <v>Ad-hoc but frequent rationalization initiatives</v>
      </c>
      <c r="P207" s="35" t="str">
        <f>VLOOKUP(H207,'1_Value &amp; risk levers'!$H$9:$O$1048576,5,FALSE)</f>
        <v>Fully optimized methodology to review cost and simplicity periodically</v>
      </c>
      <c r="Q207" s="77">
        <f>IF(VLOOKUP(H207,'1_Value &amp; risk levers'!$H$9:$T$1048576,13,FALSE)=0,"",VLOOKUP(H207,'1_Value &amp; risk levers'!$H$9:$T$1048576,13,FALSE))</f>
        <v>4</v>
      </c>
      <c r="R207" s="128">
        <f t="shared" si="66"/>
        <v>2</v>
      </c>
      <c r="S207" s="128" t="e">
        <f t="shared" si="67"/>
        <v>#DIV/0!</v>
      </c>
      <c r="T207" s="77"/>
      <c r="U207" s="77"/>
      <c r="V207" s="55"/>
      <c r="W207" s="71">
        <v>0.04</v>
      </c>
      <c r="X207" s="71">
        <v>0.1</v>
      </c>
      <c r="Y207" s="71">
        <f>VLOOKUP(H207,'1_Value &amp; risk levers'!$H$9:$O$1048576,8,FALSE)</f>
        <v>0.8</v>
      </c>
      <c r="Z207" s="51">
        <f t="shared" si="68"/>
        <v>7.0000000000000007E-2</v>
      </c>
      <c r="AA207" s="51">
        <f t="shared" si="70"/>
        <v>8.5000000000000006E-2</v>
      </c>
      <c r="AB207" s="55">
        <f t="shared" si="71"/>
        <v>2800000.0000000005</v>
      </c>
      <c r="AC207" s="55">
        <f t="shared" si="72"/>
        <v>3400000.0000000005</v>
      </c>
      <c r="AD207" s="80">
        <f t="shared" si="73"/>
        <v>7</v>
      </c>
      <c r="AE207" s="84">
        <f t="shared" si="74"/>
        <v>0.48864540816326468</v>
      </c>
      <c r="AF207" s="71" t="str">
        <f t="shared" si="75"/>
        <v>Low</v>
      </c>
      <c r="AG207" s="84">
        <f t="shared" si="76"/>
        <v>5.9772908163265304E-2</v>
      </c>
      <c r="AH207" s="84">
        <f t="shared" si="77"/>
        <v>9.5227091836734709E-2</v>
      </c>
      <c r="AI207" s="73">
        <f t="shared" si="78"/>
        <v>2390916.3265306121</v>
      </c>
      <c r="AJ207" s="73">
        <f t="shared" si="79"/>
        <v>3809083.6734693884</v>
      </c>
      <c r="AK207" s="46">
        <f>VLOOKUP(H207,'1_Value &amp; risk levers'!$H$9:$O$1048576,6,FALSE)</f>
        <v>0.02</v>
      </c>
      <c r="AL207" s="46">
        <f>VLOOKUP(H207,'1_Value &amp; risk levers'!$H$9:$O$1048576,7,FALSE)</f>
        <v>0.03</v>
      </c>
      <c r="AM207" s="50">
        <f t="shared" si="80"/>
        <v>0.02</v>
      </c>
      <c r="AN207" s="72">
        <f t="shared" si="81"/>
        <v>9.3023255813953487E-2</v>
      </c>
      <c r="AO207" s="84">
        <f t="shared" si="82"/>
        <v>5.5602705268153769E-3</v>
      </c>
      <c r="AP207" s="84">
        <f t="shared" si="83"/>
        <v>8.858334124347415E-3</v>
      </c>
      <c r="AQ207" s="55">
        <f t="shared" si="84"/>
        <v>260465.1162790698</v>
      </c>
      <c r="AR207" s="55">
        <f t="shared" si="85"/>
        <v>316279.06976744189</v>
      </c>
      <c r="AS207" s="83">
        <f t="shared" si="69"/>
        <v>41</v>
      </c>
      <c r="AT207" s="50">
        <f t="shared" si="86"/>
        <v>3.75</v>
      </c>
      <c r="AU207" s="55" t="str">
        <f t="shared" si="87"/>
        <v>Low</v>
      </c>
      <c r="AV207" s="34" t="s">
        <v>1532</v>
      </c>
      <c r="AW207" s="111"/>
      <c r="AX207" s="30" t="s">
        <v>1493</v>
      </c>
      <c r="AY207" s="30"/>
      <c r="AZ207" s="85" t="str">
        <f>IF(ISERROR(_xlfn.XLOOKUP(CONCATENATE(A207,"_",AV207),'Reference-Proof pt impact flag'!$I$3:$I$1048576,'Reference-Proof pt impact flag'!$G$3:$G$1048576)),"",_xlfn.XLOOKUP(CONCATENATE(A207,"_",AV207),'Reference-Proof pt impact flag'!$I$3:$I$1048576,'Reference-Proof pt impact flag'!$G$3:$G$1048576))</f>
        <v/>
      </c>
      <c r="BA207" s="74"/>
      <c r="BB207" s="74"/>
      <c r="BC207" s="74"/>
      <c r="BD207" s="74"/>
      <c r="BE207" s="74"/>
      <c r="BF207" s="74" t="e">
        <f>_xlfn.XLOOKUP(CONCATENATE(H207,"_",AV207),'Test 2 - Proof points - GPT5'!$T:$T,'Test 2 - Proof points - GPT5'!$S:$S)</f>
        <v>#N/A</v>
      </c>
      <c r="BG207" s="74" t="e">
        <f>_xlfn.XLOOKUP(CONCATENATE(H207,"_",AV207),'Test 2 -Proof points - Sonnet'!$AB:$AB,'Test 2 -Proof points - Sonnet'!$AA:$AA)</f>
        <v>#N/A</v>
      </c>
      <c r="BH207" s="74"/>
      <c r="BI207" s="74"/>
      <c r="BJ207" s="74" t="s">
        <v>1574</v>
      </c>
      <c r="BK207" s="30"/>
      <c r="BL207" s="30"/>
      <c r="BM207" s="30"/>
      <c r="BN207" s="30"/>
      <c r="BO207" s="30"/>
      <c r="BP207" s="30"/>
      <c r="BQ207" s="30"/>
      <c r="BR207" s="30"/>
      <c r="BS207" s="30"/>
      <c r="BT207" s="30"/>
      <c r="BU207" s="30"/>
      <c r="BV207" s="113"/>
    </row>
    <row r="208" spans="1:74" ht="217.5" hidden="1" x14ac:dyDescent="0.35">
      <c r="A208" s="22">
        <v>6</v>
      </c>
      <c r="B208" s="22" t="s">
        <v>1451</v>
      </c>
      <c r="C208" s="22" t="s">
        <v>1452</v>
      </c>
      <c r="D208" s="22" t="s">
        <v>1224</v>
      </c>
      <c r="E208" s="22" t="s">
        <v>1453</v>
      </c>
      <c r="F208" s="22"/>
      <c r="G208" s="22" t="s">
        <v>1274</v>
      </c>
      <c r="H208" s="21" t="s">
        <v>1284</v>
      </c>
      <c r="I208" s="22"/>
      <c r="J208" s="21" t="s">
        <v>1579</v>
      </c>
      <c r="K208" s="30"/>
      <c r="L208" s="30" t="s">
        <v>1260</v>
      </c>
      <c r="M208" s="35" t="str">
        <f>VLOOKUP(H208,'1_Value &amp; risk levers'!$H$9:$O$1048576,2,FALSE)</f>
        <v>Not utilized</v>
      </c>
      <c r="N208" s="35" t="str">
        <f>VLOOKUP(H208,'1_Value &amp; risk levers'!$H$9:$O$1048576,3,FALSE)</f>
        <v>Basic usage for high-risk categories</v>
      </c>
      <c r="O208" s="35" t="str">
        <f>VLOOKUP(H208,'1_Value &amp; risk levers'!$H$9:$O$1048576,4,FALSE)</f>
        <v>Regularly employed for risk management</v>
      </c>
      <c r="P208" s="35" t="str">
        <f>VLOOKUP(H208,'1_Value &amp; risk levers'!$H$9:$O$1048576,5,FALSE)</f>
        <v>Strategically implemented with advanced forecasting</v>
      </c>
      <c r="Q208" s="77">
        <f>IF(VLOOKUP(H208,'1_Value &amp; risk levers'!$H$9:$T$1048576,13,FALSE)=0,"",VLOOKUP(H208,'1_Value &amp; risk levers'!$H$9:$T$1048576,13,FALSE))</f>
        <v>2</v>
      </c>
      <c r="R208" s="128">
        <f t="shared" si="66"/>
        <v>2</v>
      </c>
      <c r="S208" s="128" t="e">
        <f t="shared" si="67"/>
        <v>#DIV/0!</v>
      </c>
      <c r="T208" s="77"/>
      <c r="U208" s="77"/>
      <c r="V208" s="55"/>
      <c r="W208" s="71">
        <v>0.04</v>
      </c>
      <c r="X208" s="71">
        <v>0.1</v>
      </c>
      <c r="Y208" s="71">
        <f>VLOOKUP(H208,'1_Value &amp; risk levers'!$H$9:$O$1048576,8,FALSE)</f>
        <v>0.8</v>
      </c>
      <c r="Z208" s="51">
        <f t="shared" si="68"/>
        <v>7.0000000000000007E-2</v>
      </c>
      <c r="AA208" s="51">
        <f t="shared" si="70"/>
        <v>8.5000000000000006E-2</v>
      </c>
      <c r="AB208" s="55">
        <f t="shared" si="71"/>
        <v>2800000.0000000005</v>
      </c>
      <c r="AC208" s="55">
        <f t="shared" si="72"/>
        <v>3400000.0000000005</v>
      </c>
      <c r="AD208" s="80">
        <f t="shared" si="73"/>
        <v>7</v>
      </c>
      <c r="AE208" s="84">
        <f t="shared" si="74"/>
        <v>0.48864540816326468</v>
      </c>
      <c r="AF208" s="71" t="str">
        <f t="shared" si="75"/>
        <v>Low</v>
      </c>
      <c r="AG208" s="84">
        <f t="shared" si="76"/>
        <v>5.9772908163265304E-2</v>
      </c>
      <c r="AH208" s="84">
        <f t="shared" si="77"/>
        <v>9.5227091836734709E-2</v>
      </c>
      <c r="AI208" s="73">
        <f t="shared" si="78"/>
        <v>2390916.3265306121</v>
      </c>
      <c r="AJ208" s="73">
        <f t="shared" si="79"/>
        <v>3809083.6734693884</v>
      </c>
      <c r="AK208" s="46">
        <f>VLOOKUP(H208,'1_Value &amp; risk levers'!$H$9:$O$1048576,6,FALSE)</f>
        <v>0.02</v>
      </c>
      <c r="AL208" s="46">
        <f>VLOOKUP(H208,'1_Value &amp; risk levers'!$H$9:$O$1048576,7,FALSE)</f>
        <v>0.05</v>
      </c>
      <c r="AM208" s="50">
        <f t="shared" si="80"/>
        <v>3.5000000000000003E-2</v>
      </c>
      <c r="AN208" s="72">
        <f t="shared" si="81"/>
        <v>0.16279069767441862</v>
      </c>
      <c r="AO208" s="84">
        <f t="shared" si="82"/>
        <v>9.73047342192691E-3</v>
      </c>
      <c r="AP208" s="84">
        <f t="shared" si="83"/>
        <v>1.5502084717607978E-2</v>
      </c>
      <c r="AQ208" s="55">
        <f t="shared" si="84"/>
        <v>455813.95348837221</v>
      </c>
      <c r="AR208" s="55">
        <f t="shared" si="85"/>
        <v>553488.37209302338</v>
      </c>
      <c r="AS208" s="83">
        <f t="shared" si="69"/>
        <v>41</v>
      </c>
      <c r="AT208" s="50">
        <f t="shared" si="86"/>
        <v>3.3914285714285719</v>
      </c>
      <c r="AU208" s="55" t="str">
        <f t="shared" si="87"/>
        <v>Low</v>
      </c>
      <c r="AV208" s="36" t="s">
        <v>1454</v>
      </c>
      <c r="AW208" s="109" t="s">
        <v>1455</v>
      </c>
      <c r="AX208" s="37" t="s">
        <v>1456</v>
      </c>
      <c r="AY208" s="30"/>
      <c r="AZ208" s="85" t="str">
        <f>IF(ISERROR(_xlfn.XLOOKUP(CONCATENATE(A208,"_",AV208),'Reference-Proof pt impact flag'!$I$3:$I$1048576,'Reference-Proof pt impact flag'!$G$3:$G$1048576)),"",_xlfn.XLOOKUP(CONCATENATE(A208,"_",AV208),'Reference-Proof pt impact flag'!$I$3:$I$1048576,'Reference-Proof pt impact flag'!$G$3:$G$1048576))</f>
        <v/>
      </c>
      <c r="BA208" s="74"/>
      <c r="BB208" s="74"/>
      <c r="BC208" s="74"/>
      <c r="BD208" s="74"/>
      <c r="BE208" s="74"/>
      <c r="BF208" s="74" t="e">
        <f>_xlfn.XLOOKUP(CONCATENATE(H208,"_",AV208),'Test 2 - Proof points - GPT5'!$T:$T,'Test 2 - Proof points - GPT5'!$S:$S)</f>
        <v>#N/A</v>
      </c>
      <c r="BG208" s="74" t="e">
        <f>_xlfn.XLOOKUP(CONCATENATE(H208,"_",AV208),'Test 2 -Proof points - Sonnet'!$AB:$AB,'Test 2 -Proof points - Sonnet'!$AA:$AA)</f>
        <v>#N/A</v>
      </c>
      <c r="BH208" s="74"/>
      <c r="BI208" s="74"/>
      <c r="BJ208" s="74" t="s">
        <v>1580</v>
      </c>
      <c r="BK208" s="30"/>
      <c r="BL208" s="30"/>
      <c r="BM208" s="30"/>
      <c r="BN208" s="30"/>
      <c r="BO208" s="30"/>
      <c r="BP208" s="30"/>
      <c r="BQ208" s="30"/>
      <c r="BR208" s="30"/>
      <c r="BS208" s="30"/>
      <c r="BT208" s="30"/>
      <c r="BU208" s="30"/>
      <c r="BV208" s="113"/>
    </row>
    <row r="209" spans="1:74" ht="23.5" hidden="1" customHeight="1" x14ac:dyDescent="0.35">
      <c r="A209" s="22">
        <v>6</v>
      </c>
      <c r="B209" s="22" t="s">
        <v>1451</v>
      </c>
      <c r="C209" s="22" t="s">
        <v>1452</v>
      </c>
      <c r="D209" s="22" t="s">
        <v>1224</v>
      </c>
      <c r="E209" s="22" t="s">
        <v>1453</v>
      </c>
      <c r="F209" s="22"/>
      <c r="G209" s="22" t="s">
        <v>1274</v>
      </c>
      <c r="H209" s="21" t="s">
        <v>1284</v>
      </c>
      <c r="I209" s="22"/>
      <c r="J209" s="21" t="s">
        <v>1579</v>
      </c>
      <c r="K209" s="30"/>
      <c r="L209" s="30" t="s">
        <v>1260</v>
      </c>
      <c r="M209" s="35" t="str">
        <f>VLOOKUP(H209,'1_Value &amp; risk levers'!$H$9:$O$1048576,2,FALSE)</f>
        <v>Not utilized</v>
      </c>
      <c r="N209" s="35" t="str">
        <f>VLOOKUP(H209,'1_Value &amp; risk levers'!$H$9:$O$1048576,3,FALSE)</f>
        <v>Basic usage for high-risk categories</v>
      </c>
      <c r="O209" s="35" t="str">
        <f>VLOOKUP(H209,'1_Value &amp; risk levers'!$H$9:$O$1048576,4,FALSE)</f>
        <v>Regularly employed for risk management</v>
      </c>
      <c r="P209" s="35" t="str">
        <f>VLOOKUP(H209,'1_Value &amp; risk levers'!$H$9:$O$1048576,5,FALSE)</f>
        <v>Strategically implemented with advanced forecasting</v>
      </c>
      <c r="Q209" s="77">
        <f>IF(VLOOKUP(H209,'1_Value &amp; risk levers'!$H$9:$T$1048576,13,FALSE)=0,"",VLOOKUP(H209,'1_Value &amp; risk levers'!$H$9:$T$1048576,13,FALSE))</f>
        <v>2</v>
      </c>
      <c r="R209" s="128">
        <f t="shared" si="66"/>
        <v>2</v>
      </c>
      <c r="S209" s="128" t="e">
        <f t="shared" si="67"/>
        <v>#DIV/0!</v>
      </c>
      <c r="T209" s="77"/>
      <c r="U209" s="77"/>
      <c r="V209" s="55"/>
      <c r="W209" s="71">
        <v>0.04</v>
      </c>
      <c r="X209" s="71">
        <v>0.1</v>
      </c>
      <c r="Y209" s="71">
        <f>VLOOKUP(H209,'1_Value &amp; risk levers'!$H$9:$O$1048576,8,FALSE)</f>
        <v>0.8</v>
      </c>
      <c r="Z209" s="51">
        <f t="shared" si="68"/>
        <v>7.0000000000000007E-2</v>
      </c>
      <c r="AA209" s="51">
        <f t="shared" si="70"/>
        <v>8.5000000000000006E-2</v>
      </c>
      <c r="AB209" s="55">
        <f t="shared" si="71"/>
        <v>2800000.0000000005</v>
      </c>
      <c r="AC209" s="55">
        <f t="shared" si="72"/>
        <v>3400000.0000000005</v>
      </c>
      <c r="AD209" s="80">
        <f t="shared" si="73"/>
        <v>7</v>
      </c>
      <c r="AE209" s="84">
        <f t="shared" si="74"/>
        <v>0.48864540816326468</v>
      </c>
      <c r="AF209" s="71" t="str">
        <f t="shared" si="75"/>
        <v>Low</v>
      </c>
      <c r="AG209" s="84">
        <f t="shared" si="76"/>
        <v>5.9772908163265304E-2</v>
      </c>
      <c r="AH209" s="84">
        <f t="shared" si="77"/>
        <v>9.5227091836734709E-2</v>
      </c>
      <c r="AI209" s="73">
        <f t="shared" si="78"/>
        <v>2390916.3265306121</v>
      </c>
      <c r="AJ209" s="73">
        <f t="shared" si="79"/>
        <v>3809083.6734693884</v>
      </c>
      <c r="AK209" s="46">
        <f>VLOOKUP(H209,'1_Value &amp; risk levers'!$H$9:$O$1048576,6,FALSE)</f>
        <v>0.02</v>
      </c>
      <c r="AL209" s="46">
        <f>VLOOKUP(H209,'1_Value &amp; risk levers'!$H$9:$O$1048576,7,FALSE)</f>
        <v>0.05</v>
      </c>
      <c r="AM209" s="50">
        <f t="shared" si="80"/>
        <v>3.5000000000000003E-2</v>
      </c>
      <c r="AN209" s="72">
        <f t="shared" si="81"/>
        <v>0.16279069767441862</v>
      </c>
      <c r="AO209" s="84">
        <f t="shared" si="82"/>
        <v>9.73047342192691E-3</v>
      </c>
      <c r="AP209" s="84">
        <f t="shared" si="83"/>
        <v>1.5502084717607978E-2</v>
      </c>
      <c r="AQ209" s="55">
        <f t="shared" si="84"/>
        <v>455813.95348837221</v>
      </c>
      <c r="AR209" s="55">
        <f t="shared" si="85"/>
        <v>553488.37209302338</v>
      </c>
      <c r="AS209" s="83">
        <f t="shared" si="69"/>
        <v>41</v>
      </c>
      <c r="AT209" s="50">
        <f t="shared" si="86"/>
        <v>3.3914285714285719</v>
      </c>
      <c r="AU209" s="55" t="str">
        <f t="shared" si="87"/>
        <v>Low</v>
      </c>
      <c r="AV209" s="36" t="s">
        <v>1463</v>
      </c>
      <c r="AW209" s="109" t="s">
        <v>1464</v>
      </c>
      <c r="AX209" s="37" t="s">
        <v>1456</v>
      </c>
      <c r="AY209" s="27" t="s">
        <v>1581</v>
      </c>
      <c r="AZ209" s="85" t="str">
        <f>IF(ISERROR(_xlfn.XLOOKUP(CONCATENATE(A209,"_",AV209),'Reference-Proof pt impact flag'!$I$3:$I$1048576,'Reference-Proof pt impact flag'!$G$3:$G$1048576)),"",_xlfn.XLOOKUP(CONCATENATE(A209,"_",AV209),'Reference-Proof pt impact flag'!$I$3:$I$1048576,'Reference-Proof pt impact flag'!$G$3:$G$1048576))</f>
        <v>High</v>
      </c>
      <c r="BA209" s="27" t="s">
        <v>1458</v>
      </c>
      <c r="BB209" s="30" t="s">
        <v>1582</v>
      </c>
      <c r="BC209" s="27" t="s">
        <v>1583</v>
      </c>
      <c r="BD209" s="85" t="s">
        <v>1584</v>
      </c>
      <c r="BE209" s="74" t="s">
        <v>1585</v>
      </c>
      <c r="BF209" s="74" t="str">
        <f>_xlfn.XLOOKUP(CONCATENATE(H209,"_",AV209),'Test 2 - Proof points - GPT5'!$T:$T,'Test 2 - Proof points - GPT5'!$S:$S)</f>
        <v>Insights: Supplier base: 87 vendors; Top-1 share 8.6%; HHI ≈ 344 → fragmented. Leverage via bundled bids and two-tiering is feasible. Actions: Set minimum 2 qualified suppliers per critical SKU/region; design dual-source splits (60/40) with quarterly price review and volume swing clauses.</v>
      </c>
      <c r="BG209" s="74" t="str">
        <f>_xlfn.XLOOKUP(CONCATENATE(H209,"_",AV209),'Test 2 -Proof points - Sonnet'!$AB:$AB,'Test 2 -Proof points - Sonnet'!$AA:$AA)</f>
        <v>â€¢ **Implement hedging for price volatility**: Vegetable oil markets show high price volatility (15-25% annually) - establish financial hedging instruments for 60-70% of annual volume requirements to stabilize procurement costs and budget predictability.
â€¢ **Develop seasonal volume contracts**: Lock volumes early in harvest seasons with key suppliers like SHIVAGANGA and SIDDAGANGA to secure supply and capture seasonal price advantages while maintaining flexibility for market opportunities.
â€¢ **Future risk management sophistication**: Increasing commodity price volatility and supply chain disruptions will require advanced risk management tools including financial hedging, long-term contracts, and diversified sourcing strategies for competitive advantage and operational stability.</v>
      </c>
      <c r="BH209" s="74" t="s">
        <v>1586</v>
      </c>
      <c r="BI209" s="74" t="s">
        <v>1587</v>
      </c>
      <c r="BJ209" s="74" t="s">
        <v>1580</v>
      </c>
      <c r="BK209" s="30"/>
      <c r="BL209" s="30"/>
      <c r="BM209" s="30"/>
      <c r="BN209" s="30"/>
      <c r="BO209" s="30"/>
      <c r="BP209" s="30"/>
      <c r="BQ209" s="30" t="s">
        <v>132</v>
      </c>
      <c r="BR209" s="30"/>
      <c r="BS209" s="30"/>
      <c r="BT209" s="30"/>
      <c r="BU209" s="30"/>
      <c r="BV209" s="113" t="s">
        <v>132</v>
      </c>
    </row>
    <row r="210" spans="1:74" ht="23.5" hidden="1" customHeight="1" x14ac:dyDescent="0.35">
      <c r="A210" s="22">
        <v>6</v>
      </c>
      <c r="B210" s="22" t="s">
        <v>1451</v>
      </c>
      <c r="C210" s="22" t="s">
        <v>1452</v>
      </c>
      <c r="D210" s="22" t="s">
        <v>1224</v>
      </c>
      <c r="E210" s="22" t="s">
        <v>1453</v>
      </c>
      <c r="F210" s="22"/>
      <c r="G210" s="22" t="s">
        <v>1274</v>
      </c>
      <c r="H210" s="21" t="s">
        <v>1284</v>
      </c>
      <c r="I210" s="22"/>
      <c r="J210" s="21" t="s">
        <v>1579</v>
      </c>
      <c r="K210" s="30"/>
      <c r="L210" s="30" t="s">
        <v>1260</v>
      </c>
      <c r="M210" s="35" t="str">
        <f>VLOOKUP(H210,'1_Value &amp; risk levers'!$H$9:$O$1048576,2,FALSE)</f>
        <v>Not utilized</v>
      </c>
      <c r="N210" s="35" t="str">
        <f>VLOOKUP(H210,'1_Value &amp; risk levers'!$H$9:$O$1048576,3,FALSE)</f>
        <v>Basic usage for high-risk categories</v>
      </c>
      <c r="O210" s="35" t="str">
        <f>VLOOKUP(H210,'1_Value &amp; risk levers'!$H$9:$O$1048576,4,FALSE)</f>
        <v>Regularly employed for risk management</v>
      </c>
      <c r="P210" s="35" t="str">
        <f>VLOOKUP(H210,'1_Value &amp; risk levers'!$H$9:$O$1048576,5,FALSE)</f>
        <v>Strategically implemented with advanced forecasting</v>
      </c>
      <c r="Q210" s="77">
        <f>IF(VLOOKUP(H210,'1_Value &amp; risk levers'!$H$9:$T$1048576,13,FALSE)=0,"",VLOOKUP(H210,'1_Value &amp; risk levers'!$H$9:$T$1048576,13,FALSE))</f>
        <v>2</v>
      </c>
      <c r="R210" s="128">
        <f t="shared" si="66"/>
        <v>2</v>
      </c>
      <c r="S210" s="128" t="e">
        <f t="shared" si="67"/>
        <v>#DIV/0!</v>
      </c>
      <c r="T210" s="77"/>
      <c r="U210" s="77"/>
      <c r="V210" s="55"/>
      <c r="W210" s="71">
        <v>0.04</v>
      </c>
      <c r="X210" s="71">
        <v>0.1</v>
      </c>
      <c r="Y210" s="71">
        <f>VLOOKUP(H210,'1_Value &amp; risk levers'!$H$9:$O$1048576,8,FALSE)</f>
        <v>0.8</v>
      </c>
      <c r="Z210" s="51">
        <f t="shared" si="68"/>
        <v>7.0000000000000007E-2</v>
      </c>
      <c r="AA210" s="51">
        <f t="shared" si="70"/>
        <v>8.5000000000000006E-2</v>
      </c>
      <c r="AB210" s="55">
        <f t="shared" si="71"/>
        <v>2800000.0000000005</v>
      </c>
      <c r="AC210" s="55">
        <f t="shared" si="72"/>
        <v>3400000.0000000005</v>
      </c>
      <c r="AD210" s="80">
        <f t="shared" si="73"/>
        <v>7</v>
      </c>
      <c r="AE210" s="84">
        <f t="shared" si="74"/>
        <v>0.48864540816326468</v>
      </c>
      <c r="AF210" s="71" t="str">
        <f t="shared" si="75"/>
        <v>Low</v>
      </c>
      <c r="AG210" s="84">
        <f t="shared" si="76"/>
        <v>5.9772908163265304E-2</v>
      </c>
      <c r="AH210" s="84">
        <f t="shared" si="77"/>
        <v>9.5227091836734709E-2</v>
      </c>
      <c r="AI210" s="73">
        <f t="shared" si="78"/>
        <v>2390916.3265306121</v>
      </c>
      <c r="AJ210" s="73">
        <f t="shared" si="79"/>
        <v>3809083.6734693884</v>
      </c>
      <c r="AK210" s="46">
        <f>VLOOKUP(H210,'1_Value &amp; risk levers'!$H$9:$O$1048576,6,FALSE)</f>
        <v>0.02</v>
      </c>
      <c r="AL210" s="46">
        <f>VLOOKUP(H210,'1_Value &amp; risk levers'!$H$9:$O$1048576,7,FALSE)</f>
        <v>0.05</v>
      </c>
      <c r="AM210" s="50">
        <f t="shared" si="80"/>
        <v>3.5000000000000003E-2</v>
      </c>
      <c r="AN210" s="72">
        <f t="shared" si="81"/>
        <v>0.16279069767441862</v>
      </c>
      <c r="AO210" s="84">
        <f t="shared" si="82"/>
        <v>9.73047342192691E-3</v>
      </c>
      <c r="AP210" s="84">
        <f t="shared" si="83"/>
        <v>1.5502084717607978E-2</v>
      </c>
      <c r="AQ210" s="55">
        <f t="shared" si="84"/>
        <v>455813.95348837221</v>
      </c>
      <c r="AR210" s="55">
        <f t="shared" si="85"/>
        <v>553488.37209302338</v>
      </c>
      <c r="AS210" s="83">
        <f t="shared" si="69"/>
        <v>41</v>
      </c>
      <c r="AT210" s="50">
        <f t="shared" si="86"/>
        <v>3.3914285714285719</v>
      </c>
      <c r="AU210" s="55" t="str">
        <f t="shared" si="87"/>
        <v>Low</v>
      </c>
      <c r="AV210" s="36" t="s">
        <v>1465</v>
      </c>
      <c r="AW210" s="109" t="s">
        <v>1466</v>
      </c>
      <c r="AX210" s="37" t="s">
        <v>1456</v>
      </c>
      <c r="AY210" s="27" t="s">
        <v>1588</v>
      </c>
      <c r="AZ210" s="85" t="str">
        <f>IF(ISERROR(_xlfn.XLOOKUP(CONCATENATE(A210,"_",AV210),'Reference-Proof pt impact flag'!$I$3:$I$1048576,'Reference-Proof pt impact flag'!$G$3:$G$1048576)),"",_xlfn.XLOOKUP(CONCATENATE(A210,"_",AV210),'Reference-Proof pt impact flag'!$I$3:$I$1048576,'Reference-Proof pt impact flag'!$G$3:$G$1048576))</f>
        <v>Low</v>
      </c>
      <c r="BA210" s="27" t="s">
        <v>1458</v>
      </c>
      <c r="BB210" s="30" t="s">
        <v>1582</v>
      </c>
      <c r="BC210" s="27" t="s">
        <v>1583</v>
      </c>
      <c r="BD210" s="85" t="s">
        <v>1584</v>
      </c>
      <c r="BE210" s="74" t="s">
        <v>1589</v>
      </c>
      <c r="BF210" s="74" t="str">
        <f>_xlfn.XLOOKUP(CONCATENATE(H210,"_",AV210),'Test 2 - Proof points - GPT5'!$T:$T,'Test 2 - Proof points - GPT5'!$S:$S)</f>
        <v>Insights: Supplier base: 87 vendors; Top-1 share 8.6%; HHI ≈ 344 → fragmented. Leverage via bundled bids and two-tiering is feasible. Actions: Set minimum 2 qualified suppliers per critical SKU/region; design dual-source splits (60/40) with quarterly price review and volume swing clauses.</v>
      </c>
      <c r="BG210" s="74" t="e">
        <f>_xlfn.XLOOKUP(CONCATENATE(H210,"_",AV210),'Test 2 -Proof points - Sonnet'!$AB:$AB,'Test 2 -Proof points - Sonnet'!$AA:$AA)</f>
        <v>#N/A</v>
      </c>
      <c r="BH210" s="74" t="s">
        <v>1586</v>
      </c>
      <c r="BI210" s="74"/>
      <c r="BJ210" s="74" t="s">
        <v>1580</v>
      </c>
      <c r="BK210" s="30"/>
      <c r="BL210" s="30"/>
      <c r="BM210" s="30"/>
      <c r="BN210" s="30"/>
      <c r="BO210" s="30"/>
      <c r="BP210" s="30"/>
      <c r="BQ210" s="30" t="s">
        <v>132</v>
      </c>
      <c r="BR210" s="30"/>
      <c r="BS210" s="30"/>
      <c r="BT210" s="30"/>
      <c r="BU210" s="30"/>
      <c r="BV210" s="113" t="s">
        <v>132</v>
      </c>
    </row>
    <row r="211" spans="1:74" ht="217.5" hidden="1" x14ac:dyDescent="0.35">
      <c r="A211" s="22">
        <v>6</v>
      </c>
      <c r="B211" s="22" t="s">
        <v>1451</v>
      </c>
      <c r="C211" s="22" t="s">
        <v>1452</v>
      </c>
      <c r="D211" s="22" t="s">
        <v>1224</v>
      </c>
      <c r="E211" s="22" t="s">
        <v>1453</v>
      </c>
      <c r="F211" s="22"/>
      <c r="G211" s="22" t="s">
        <v>1274</v>
      </c>
      <c r="H211" s="21" t="s">
        <v>1284</v>
      </c>
      <c r="I211" s="22"/>
      <c r="J211" s="21" t="s">
        <v>1579</v>
      </c>
      <c r="K211" s="30"/>
      <c r="L211" s="30" t="s">
        <v>1260</v>
      </c>
      <c r="M211" s="35" t="str">
        <f>VLOOKUP(H211,'1_Value &amp; risk levers'!$H$9:$O$1048576,2,FALSE)</f>
        <v>Not utilized</v>
      </c>
      <c r="N211" s="35" t="str">
        <f>VLOOKUP(H211,'1_Value &amp; risk levers'!$H$9:$O$1048576,3,FALSE)</f>
        <v>Basic usage for high-risk categories</v>
      </c>
      <c r="O211" s="35" t="str">
        <f>VLOOKUP(H211,'1_Value &amp; risk levers'!$H$9:$O$1048576,4,FALSE)</f>
        <v>Regularly employed for risk management</v>
      </c>
      <c r="P211" s="35" t="str">
        <f>VLOOKUP(H211,'1_Value &amp; risk levers'!$H$9:$O$1048576,5,FALSE)</f>
        <v>Strategically implemented with advanced forecasting</v>
      </c>
      <c r="Q211" s="77">
        <f>IF(VLOOKUP(H211,'1_Value &amp; risk levers'!$H$9:$T$1048576,13,FALSE)=0,"",VLOOKUP(H211,'1_Value &amp; risk levers'!$H$9:$T$1048576,13,FALSE))</f>
        <v>2</v>
      </c>
      <c r="R211" s="128">
        <f t="shared" si="66"/>
        <v>2</v>
      </c>
      <c r="S211" s="128" t="e">
        <f t="shared" si="67"/>
        <v>#DIV/0!</v>
      </c>
      <c r="T211" s="77"/>
      <c r="U211" s="77"/>
      <c r="V211" s="55"/>
      <c r="W211" s="71">
        <v>0.04</v>
      </c>
      <c r="X211" s="71">
        <v>0.1</v>
      </c>
      <c r="Y211" s="71">
        <f>VLOOKUP(H211,'1_Value &amp; risk levers'!$H$9:$O$1048576,8,FALSE)</f>
        <v>0.8</v>
      </c>
      <c r="Z211" s="51">
        <f t="shared" si="68"/>
        <v>7.0000000000000007E-2</v>
      </c>
      <c r="AA211" s="51">
        <f t="shared" si="70"/>
        <v>8.5000000000000006E-2</v>
      </c>
      <c r="AB211" s="55">
        <f t="shared" si="71"/>
        <v>2800000.0000000005</v>
      </c>
      <c r="AC211" s="55">
        <f t="shared" si="72"/>
        <v>3400000.0000000005</v>
      </c>
      <c r="AD211" s="80">
        <f t="shared" si="73"/>
        <v>7</v>
      </c>
      <c r="AE211" s="84">
        <f t="shared" si="74"/>
        <v>0.48864540816326468</v>
      </c>
      <c r="AF211" s="71" t="str">
        <f t="shared" si="75"/>
        <v>Low</v>
      </c>
      <c r="AG211" s="84">
        <f t="shared" si="76"/>
        <v>5.9772908163265304E-2</v>
      </c>
      <c r="AH211" s="84">
        <f t="shared" si="77"/>
        <v>9.5227091836734709E-2</v>
      </c>
      <c r="AI211" s="73">
        <f t="shared" si="78"/>
        <v>2390916.3265306121</v>
      </c>
      <c r="AJ211" s="73">
        <f t="shared" si="79"/>
        <v>3809083.6734693884</v>
      </c>
      <c r="AK211" s="46">
        <f>VLOOKUP(H211,'1_Value &amp; risk levers'!$H$9:$O$1048576,6,FALSE)</f>
        <v>0.02</v>
      </c>
      <c r="AL211" s="46">
        <f>VLOOKUP(H211,'1_Value &amp; risk levers'!$H$9:$O$1048576,7,FALSE)</f>
        <v>0.05</v>
      </c>
      <c r="AM211" s="50">
        <f t="shared" si="80"/>
        <v>3.5000000000000003E-2</v>
      </c>
      <c r="AN211" s="72">
        <f t="shared" si="81"/>
        <v>0.16279069767441862</v>
      </c>
      <c r="AO211" s="84">
        <f t="shared" si="82"/>
        <v>9.73047342192691E-3</v>
      </c>
      <c r="AP211" s="84">
        <f t="shared" si="83"/>
        <v>1.5502084717607978E-2</v>
      </c>
      <c r="AQ211" s="55">
        <f t="shared" si="84"/>
        <v>455813.95348837221</v>
      </c>
      <c r="AR211" s="55">
        <f t="shared" si="85"/>
        <v>553488.37209302338</v>
      </c>
      <c r="AS211" s="83">
        <f t="shared" si="69"/>
        <v>41</v>
      </c>
      <c r="AT211" s="50">
        <f t="shared" si="86"/>
        <v>3.3914285714285719</v>
      </c>
      <c r="AU211" s="55" t="str">
        <f t="shared" si="87"/>
        <v>Low</v>
      </c>
      <c r="AV211" s="36" t="s">
        <v>1467</v>
      </c>
      <c r="AW211" s="109" t="s">
        <v>1468</v>
      </c>
      <c r="AX211" s="37" t="s">
        <v>1456</v>
      </c>
      <c r="AY211" s="30"/>
      <c r="AZ211" s="85" t="str">
        <f>IF(ISERROR(_xlfn.XLOOKUP(CONCATENATE(A211,"_",AV211),'Reference-Proof pt impact flag'!$I$3:$I$1048576,'Reference-Proof pt impact flag'!$G$3:$G$1048576)),"",_xlfn.XLOOKUP(CONCATENATE(A211,"_",AV211),'Reference-Proof pt impact flag'!$I$3:$I$1048576,'Reference-Proof pt impact flag'!$G$3:$G$1048576))</f>
        <v/>
      </c>
      <c r="BA211" s="74"/>
      <c r="BB211" s="74"/>
      <c r="BC211" s="74"/>
      <c r="BD211" s="74"/>
      <c r="BE211" s="74"/>
      <c r="BF211" s="74" t="e">
        <f>_xlfn.XLOOKUP(CONCATENATE(H211,"_",AV211),'Test 2 - Proof points - GPT5'!$T:$T,'Test 2 - Proof points - GPT5'!$S:$S)</f>
        <v>#N/A</v>
      </c>
      <c r="BG211" s="74" t="e">
        <f>_xlfn.XLOOKUP(CONCATENATE(H211,"_",AV211),'Test 2 -Proof points - Sonnet'!$AB:$AB,'Test 2 -Proof points - Sonnet'!$AA:$AA)</f>
        <v>#N/A</v>
      </c>
      <c r="BH211" s="74"/>
      <c r="BI211" s="74"/>
      <c r="BJ211" s="74" t="s">
        <v>1580</v>
      </c>
      <c r="BK211" s="30"/>
      <c r="BL211" s="30"/>
      <c r="BM211" s="30"/>
      <c r="BN211" s="30"/>
      <c r="BO211" s="30"/>
      <c r="BP211" s="30"/>
      <c r="BQ211" s="30"/>
      <c r="BR211" s="30"/>
      <c r="BS211" s="30"/>
      <c r="BT211" s="30"/>
      <c r="BU211" s="30"/>
      <c r="BV211" s="113"/>
    </row>
    <row r="212" spans="1:74" ht="217.5" hidden="1" x14ac:dyDescent="0.35">
      <c r="A212" s="22">
        <v>6</v>
      </c>
      <c r="B212" s="22" t="s">
        <v>1451</v>
      </c>
      <c r="C212" s="22" t="s">
        <v>1452</v>
      </c>
      <c r="D212" s="22" t="s">
        <v>1224</v>
      </c>
      <c r="E212" s="22" t="s">
        <v>1453</v>
      </c>
      <c r="F212" s="22"/>
      <c r="G212" s="22" t="s">
        <v>1274</v>
      </c>
      <c r="H212" s="21" t="s">
        <v>1284</v>
      </c>
      <c r="I212" s="22"/>
      <c r="J212" s="21" t="s">
        <v>1579</v>
      </c>
      <c r="K212" s="30"/>
      <c r="L212" s="30" t="s">
        <v>1260</v>
      </c>
      <c r="M212" s="35" t="str">
        <f>VLOOKUP(H212,'1_Value &amp; risk levers'!$H$9:$O$1048576,2,FALSE)</f>
        <v>Not utilized</v>
      </c>
      <c r="N212" s="35" t="str">
        <f>VLOOKUP(H212,'1_Value &amp; risk levers'!$H$9:$O$1048576,3,FALSE)</f>
        <v>Basic usage for high-risk categories</v>
      </c>
      <c r="O212" s="35" t="str">
        <f>VLOOKUP(H212,'1_Value &amp; risk levers'!$H$9:$O$1048576,4,FALSE)</f>
        <v>Regularly employed for risk management</v>
      </c>
      <c r="P212" s="35" t="str">
        <f>VLOOKUP(H212,'1_Value &amp; risk levers'!$H$9:$O$1048576,5,FALSE)</f>
        <v>Strategically implemented with advanced forecasting</v>
      </c>
      <c r="Q212" s="77">
        <f>IF(VLOOKUP(H212,'1_Value &amp; risk levers'!$H$9:$T$1048576,13,FALSE)=0,"",VLOOKUP(H212,'1_Value &amp; risk levers'!$H$9:$T$1048576,13,FALSE))</f>
        <v>2</v>
      </c>
      <c r="R212" s="128">
        <f t="shared" si="66"/>
        <v>2</v>
      </c>
      <c r="S212" s="128" t="e">
        <f t="shared" si="67"/>
        <v>#DIV/0!</v>
      </c>
      <c r="T212" s="77"/>
      <c r="U212" s="77"/>
      <c r="V212" s="55"/>
      <c r="W212" s="71">
        <v>0.04</v>
      </c>
      <c r="X212" s="71">
        <v>0.1</v>
      </c>
      <c r="Y212" s="71">
        <f>VLOOKUP(H212,'1_Value &amp; risk levers'!$H$9:$O$1048576,8,FALSE)</f>
        <v>0.8</v>
      </c>
      <c r="Z212" s="51">
        <f t="shared" si="68"/>
        <v>7.0000000000000007E-2</v>
      </c>
      <c r="AA212" s="51">
        <f t="shared" si="70"/>
        <v>8.5000000000000006E-2</v>
      </c>
      <c r="AB212" s="55">
        <f t="shared" si="71"/>
        <v>2800000.0000000005</v>
      </c>
      <c r="AC212" s="55">
        <f t="shared" si="72"/>
        <v>3400000.0000000005</v>
      </c>
      <c r="AD212" s="80">
        <f t="shared" si="73"/>
        <v>7</v>
      </c>
      <c r="AE212" s="84">
        <f t="shared" si="74"/>
        <v>0.48864540816326468</v>
      </c>
      <c r="AF212" s="71" t="str">
        <f t="shared" si="75"/>
        <v>Low</v>
      </c>
      <c r="AG212" s="84">
        <f t="shared" si="76"/>
        <v>5.9772908163265304E-2</v>
      </c>
      <c r="AH212" s="84">
        <f t="shared" si="77"/>
        <v>9.5227091836734709E-2</v>
      </c>
      <c r="AI212" s="73">
        <f t="shared" si="78"/>
        <v>2390916.3265306121</v>
      </c>
      <c r="AJ212" s="73">
        <f t="shared" si="79"/>
        <v>3809083.6734693884</v>
      </c>
      <c r="AK212" s="46">
        <f>VLOOKUP(H212,'1_Value &amp; risk levers'!$H$9:$O$1048576,6,FALSE)</f>
        <v>0.02</v>
      </c>
      <c r="AL212" s="46">
        <f>VLOOKUP(H212,'1_Value &amp; risk levers'!$H$9:$O$1048576,7,FALSE)</f>
        <v>0.05</v>
      </c>
      <c r="AM212" s="50">
        <f t="shared" si="80"/>
        <v>3.5000000000000003E-2</v>
      </c>
      <c r="AN212" s="72">
        <f t="shared" si="81"/>
        <v>0.16279069767441862</v>
      </c>
      <c r="AO212" s="84">
        <f t="shared" si="82"/>
        <v>9.73047342192691E-3</v>
      </c>
      <c r="AP212" s="84">
        <f t="shared" si="83"/>
        <v>1.5502084717607978E-2</v>
      </c>
      <c r="AQ212" s="55">
        <f t="shared" si="84"/>
        <v>455813.95348837221</v>
      </c>
      <c r="AR212" s="55">
        <f t="shared" si="85"/>
        <v>553488.37209302338</v>
      </c>
      <c r="AS212" s="83">
        <f t="shared" si="69"/>
        <v>41</v>
      </c>
      <c r="AT212" s="50">
        <f t="shared" si="86"/>
        <v>3.3914285714285719</v>
      </c>
      <c r="AU212" s="55" t="str">
        <f t="shared" si="87"/>
        <v>Low</v>
      </c>
      <c r="AV212" s="36" t="s">
        <v>1471</v>
      </c>
      <c r="AW212" s="109" t="s">
        <v>1472</v>
      </c>
      <c r="AX212" s="37" t="s">
        <v>1456</v>
      </c>
      <c r="AY212" s="30"/>
      <c r="AZ212" s="85" t="str">
        <f>IF(ISERROR(_xlfn.XLOOKUP(CONCATENATE(A212,"_",AV212),'Reference-Proof pt impact flag'!$I$3:$I$1048576,'Reference-Proof pt impact flag'!$G$3:$G$1048576)),"",_xlfn.XLOOKUP(CONCATENATE(A212,"_",AV212),'Reference-Proof pt impact flag'!$I$3:$I$1048576,'Reference-Proof pt impact flag'!$G$3:$G$1048576))</f>
        <v/>
      </c>
      <c r="BA212" s="74"/>
      <c r="BB212" s="74"/>
      <c r="BC212" s="74"/>
      <c r="BD212" s="74"/>
      <c r="BE212" s="74"/>
      <c r="BF212" s="74" t="e">
        <f>_xlfn.XLOOKUP(CONCATENATE(H212,"_",AV212),'Test 2 - Proof points - GPT5'!$T:$T,'Test 2 - Proof points - GPT5'!$S:$S)</f>
        <v>#N/A</v>
      </c>
      <c r="BG212" s="74" t="e">
        <f>_xlfn.XLOOKUP(CONCATENATE(H212,"_",AV212),'Test 2 -Proof points - Sonnet'!$AB:$AB,'Test 2 -Proof points - Sonnet'!$AA:$AA)</f>
        <v>#N/A</v>
      </c>
      <c r="BH212" s="74"/>
      <c r="BI212" s="74"/>
      <c r="BJ212" s="74" t="s">
        <v>1580</v>
      </c>
      <c r="BK212" s="30"/>
      <c r="BL212" s="30"/>
      <c r="BM212" s="30"/>
      <c r="BN212" s="30"/>
      <c r="BO212" s="30"/>
      <c r="BP212" s="30"/>
      <c r="BQ212" s="30"/>
      <c r="BR212" s="30"/>
      <c r="BS212" s="30"/>
      <c r="BT212" s="30"/>
      <c r="BU212" s="30"/>
      <c r="BV212" s="113"/>
    </row>
    <row r="213" spans="1:74" ht="217.5" hidden="1" x14ac:dyDescent="0.35">
      <c r="A213" s="22">
        <v>6</v>
      </c>
      <c r="B213" s="22" t="s">
        <v>1451</v>
      </c>
      <c r="C213" s="22" t="s">
        <v>1452</v>
      </c>
      <c r="D213" s="22" t="s">
        <v>1224</v>
      </c>
      <c r="E213" s="22" t="s">
        <v>1453</v>
      </c>
      <c r="F213" s="22"/>
      <c r="G213" s="22" t="s">
        <v>1274</v>
      </c>
      <c r="H213" s="21" t="s">
        <v>1284</v>
      </c>
      <c r="I213" s="22"/>
      <c r="J213" s="21" t="s">
        <v>1579</v>
      </c>
      <c r="K213" s="30"/>
      <c r="L213" s="30" t="s">
        <v>1260</v>
      </c>
      <c r="M213" s="35" t="str">
        <f>VLOOKUP(H213,'1_Value &amp; risk levers'!$H$9:$O$1048576,2,FALSE)</f>
        <v>Not utilized</v>
      </c>
      <c r="N213" s="35" t="str">
        <f>VLOOKUP(H213,'1_Value &amp; risk levers'!$H$9:$O$1048576,3,FALSE)</f>
        <v>Basic usage for high-risk categories</v>
      </c>
      <c r="O213" s="35" t="str">
        <f>VLOOKUP(H213,'1_Value &amp; risk levers'!$H$9:$O$1048576,4,FALSE)</f>
        <v>Regularly employed for risk management</v>
      </c>
      <c r="P213" s="35" t="str">
        <f>VLOOKUP(H213,'1_Value &amp; risk levers'!$H$9:$O$1048576,5,FALSE)</f>
        <v>Strategically implemented with advanced forecasting</v>
      </c>
      <c r="Q213" s="77">
        <f>IF(VLOOKUP(H213,'1_Value &amp; risk levers'!$H$9:$T$1048576,13,FALSE)=0,"",VLOOKUP(H213,'1_Value &amp; risk levers'!$H$9:$T$1048576,13,FALSE))</f>
        <v>2</v>
      </c>
      <c r="R213" s="128">
        <f t="shared" si="66"/>
        <v>2</v>
      </c>
      <c r="S213" s="128" t="e">
        <f t="shared" si="67"/>
        <v>#DIV/0!</v>
      </c>
      <c r="T213" s="77"/>
      <c r="U213" s="77"/>
      <c r="V213" s="55"/>
      <c r="W213" s="71">
        <v>0.04</v>
      </c>
      <c r="X213" s="71">
        <v>0.1</v>
      </c>
      <c r="Y213" s="71">
        <f>VLOOKUP(H213,'1_Value &amp; risk levers'!$H$9:$O$1048576,8,FALSE)</f>
        <v>0.8</v>
      </c>
      <c r="Z213" s="51">
        <f t="shared" si="68"/>
        <v>7.0000000000000007E-2</v>
      </c>
      <c r="AA213" s="51">
        <f t="shared" si="70"/>
        <v>8.5000000000000006E-2</v>
      </c>
      <c r="AB213" s="55">
        <f t="shared" si="71"/>
        <v>2800000.0000000005</v>
      </c>
      <c r="AC213" s="55">
        <f t="shared" si="72"/>
        <v>3400000.0000000005</v>
      </c>
      <c r="AD213" s="80">
        <f t="shared" si="73"/>
        <v>7</v>
      </c>
      <c r="AE213" s="84">
        <f t="shared" si="74"/>
        <v>0.48864540816326468</v>
      </c>
      <c r="AF213" s="71" t="str">
        <f t="shared" si="75"/>
        <v>Low</v>
      </c>
      <c r="AG213" s="84">
        <f t="shared" si="76"/>
        <v>5.9772908163265304E-2</v>
      </c>
      <c r="AH213" s="84">
        <f t="shared" si="77"/>
        <v>9.5227091836734709E-2</v>
      </c>
      <c r="AI213" s="73">
        <f t="shared" si="78"/>
        <v>2390916.3265306121</v>
      </c>
      <c r="AJ213" s="73">
        <f t="shared" si="79"/>
        <v>3809083.6734693884</v>
      </c>
      <c r="AK213" s="46">
        <f>VLOOKUP(H213,'1_Value &amp; risk levers'!$H$9:$O$1048576,6,FALSE)</f>
        <v>0.02</v>
      </c>
      <c r="AL213" s="46">
        <f>VLOOKUP(H213,'1_Value &amp; risk levers'!$H$9:$O$1048576,7,FALSE)</f>
        <v>0.05</v>
      </c>
      <c r="AM213" s="50">
        <f t="shared" si="80"/>
        <v>3.5000000000000003E-2</v>
      </c>
      <c r="AN213" s="72">
        <f t="shared" si="81"/>
        <v>0.16279069767441862</v>
      </c>
      <c r="AO213" s="84">
        <f t="shared" si="82"/>
        <v>9.73047342192691E-3</v>
      </c>
      <c r="AP213" s="84">
        <f t="shared" si="83"/>
        <v>1.5502084717607978E-2</v>
      </c>
      <c r="AQ213" s="55">
        <f t="shared" si="84"/>
        <v>455813.95348837221</v>
      </c>
      <c r="AR213" s="55">
        <f t="shared" si="85"/>
        <v>553488.37209302338</v>
      </c>
      <c r="AS213" s="83">
        <f t="shared" si="69"/>
        <v>41</v>
      </c>
      <c r="AT213" s="50">
        <f t="shared" si="86"/>
        <v>3.3914285714285719</v>
      </c>
      <c r="AU213" s="55" t="str">
        <f t="shared" si="87"/>
        <v>Low</v>
      </c>
      <c r="AV213" s="36" t="s">
        <v>1475</v>
      </c>
      <c r="AW213" s="109" t="s">
        <v>1476</v>
      </c>
      <c r="AX213" s="37" t="s">
        <v>1456</v>
      </c>
      <c r="AY213" s="30"/>
      <c r="AZ213" s="85" t="str">
        <f>IF(ISERROR(_xlfn.XLOOKUP(CONCATENATE(A213,"_",AV213),'Reference-Proof pt impact flag'!$I$3:$I$1048576,'Reference-Proof pt impact flag'!$G$3:$G$1048576)),"",_xlfn.XLOOKUP(CONCATENATE(A213,"_",AV213),'Reference-Proof pt impact flag'!$I$3:$I$1048576,'Reference-Proof pt impact flag'!$G$3:$G$1048576))</f>
        <v/>
      </c>
      <c r="BA213" s="74"/>
      <c r="BB213" s="74"/>
      <c r="BC213" s="74"/>
      <c r="BD213" s="74"/>
      <c r="BE213" s="74"/>
      <c r="BF213" s="74" t="e">
        <f>_xlfn.XLOOKUP(CONCATENATE(H213,"_",AV213),'Test 2 - Proof points - GPT5'!$T:$T,'Test 2 - Proof points - GPT5'!$S:$S)</f>
        <v>#N/A</v>
      </c>
      <c r="BG213" s="74" t="e">
        <f>_xlfn.XLOOKUP(CONCATENATE(H213,"_",AV213),'Test 2 -Proof points - Sonnet'!$AB:$AB,'Test 2 -Proof points - Sonnet'!$AA:$AA)</f>
        <v>#N/A</v>
      </c>
      <c r="BH213" s="74"/>
      <c r="BI213" s="74"/>
      <c r="BJ213" s="74" t="s">
        <v>1580</v>
      </c>
      <c r="BK213" s="30"/>
      <c r="BL213" s="30"/>
      <c r="BM213" s="30"/>
      <c r="BN213" s="30"/>
      <c r="BO213" s="30"/>
      <c r="BP213" s="30"/>
      <c r="BQ213" s="30"/>
      <c r="BR213" s="30"/>
      <c r="BS213" s="30"/>
      <c r="BT213" s="30"/>
      <c r="BU213" s="30"/>
      <c r="BV213" s="113"/>
    </row>
    <row r="214" spans="1:74" ht="217.5" hidden="1" x14ac:dyDescent="0.35">
      <c r="A214" s="22">
        <v>6</v>
      </c>
      <c r="B214" s="22" t="s">
        <v>1451</v>
      </c>
      <c r="C214" s="22" t="s">
        <v>1452</v>
      </c>
      <c r="D214" s="22" t="s">
        <v>1224</v>
      </c>
      <c r="E214" s="22" t="s">
        <v>1453</v>
      </c>
      <c r="F214" s="22"/>
      <c r="G214" s="22" t="s">
        <v>1274</v>
      </c>
      <c r="H214" s="21" t="s">
        <v>1284</v>
      </c>
      <c r="I214" s="22"/>
      <c r="J214" s="21" t="s">
        <v>1579</v>
      </c>
      <c r="K214" s="30"/>
      <c r="L214" s="30" t="s">
        <v>1260</v>
      </c>
      <c r="M214" s="35" t="str">
        <f>VLOOKUP(H214,'1_Value &amp; risk levers'!$H$9:$O$1048576,2,FALSE)</f>
        <v>Not utilized</v>
      </c>
      <c r="N214" s="35" t="str">
        <f>VLOOKUP(H214,'1_Value &amp; risk levers'!$H$9:$O$1048576,3,FALSE)</f>
        <v>Basic usage for high-risk categories</v>
      </c>
      <c r="O214" s="35" t="str">
        <f>VLOOKUP(H214,'1_Value &amp; risk levers'!$H$9:$O$1048576,4,FALSE)</f>
        <v>Regularly employed for risk management</v>
      </c>
      <c r="P214" s="35" t="str">
        <f>VLOOKUP(H214,'1_Value &amp; risk levers'!$H$9:$O$1048576,5,FALSE)</f>
        <v>Strategically implemented with advanced forecasting</v>
      </c>
      <c r="Q214" s="77">
        <f>IF(VLOOKUP(H214,'1_Value &amp; risk levers'!$H$9:$T$1048576,13,FALSE)=0,"",VLOOKUP(H214,'1_Value &amp; risk levers'!$H$9:$T$1048576,13,FALSE))</f>
        <v>2</v>
      </c>
      <c r="R214" s="128">
        <f t="shared" si="66"/>
        <v>2</v>
      </c>
      <c r="S214" s="128" t="e">
        <f t="shared" si="67"/>
        <v>#DIV/0!</v>
      </c>
      <c r="T214" s="77"/>
      <c r="U214" s="77"/>
      <c r="V214" s="55"/>
      <c r="W214" s="71">
        <v>0.04</v>
      </c>
      <c r="X214" s="71">
        <v>0.1</v>
      </c>
      <c r="Y214" s="71">
        <f>VLOOKUP(H214,'1_Value &amp; risk levers'!$H$9:$O$1048576,8,FALSE)</f>
        <v>0.8</v>
      </c>
      <c r="Z214" s="51">
        <f t="shared" si="68"/>
        <v>7.0000000000000007E-2</v>
      </c>
      <c r="AA214" s="51">
        <f t="shared" si="70"/>
        <v>8.5000000000000006E-2</v>
      </c>
      <c r="AB214" s="55">
        <f t="shared" si="71"/>
        <v>2800000.0000000005</v>
      </c>
      <c r="AC214" s="55">
        <f t="shared" si="72"/>
        <v>3400000.0000000005</v>
      </c>
      <c r="AD214" s="80">
        <f t="shared" si="73"/>
        <v>7</v>
      </c>
      <c r="AE214" s="84">
        <f t="shared" si="74"/>
        <v>0.48864540816326468</v>
      </c>
      <c r="AF214" s="71" t="str">
        <f t="shared" si="75"/>
        <v>Low</v>
      </c>
      <c r="AG214" s="84">
        <f t="shared" si="76"/>
        <v>5.9772908163265304E-2</v>
      </c>
      <c r="AH214" s="84">
        <f t="shared" si="77"/>
        <v>9.5227091836734709E-2</v>
      </c>
      <c r="AI214" s="73">
        <f t="shared" si="78"/>
        <v>2390916.3265306121</v>
      </c>
      <c r="AJ214" s="73">
        <f t="shared" si="79"/>
        <v>3809083.6734693884</v>
      </c>
      <c r="AK214" s="46">
        <f>VLOOKUP(H214,'1_Value &amp; risk levers'!$H$9:$O$1048576,6,FALSE)</f>
        <v>0.02</v>
      </c>
      <c r="AL214" s="46">
        <f>VLOOKUP(H214,'1_Value &amp; risk levers'!$H$9:$O$1048576,7,FALSE)</f>
        <v>0.05</v>
      </c>
      <c r="AM214" s="50">
        <f t="shared" si="80"/>
        <v>3.5000000000000003E-2</v>
      </c>
      <c r="AN214" s="72">
        <f t="shared" si="81"/>
        <v>0.16279069767441862</v>
      </c>
      <c r="AO214" s="84">
        <f t="shared" si="82"/>
        <v>9.73047342192691E-3</v>
      </c>
      <c r="AP214" s="84">
        <f t="shared" si="83"/>
        <v>1.5502084717607978E-2</v>
      </c>
      <c r="AQ214" s="55">
        <f t="shared" si="84"/>
        <v>455813.95348837221</v>
      </c>
      <c r="AR214" s="55">
        <f t="shared" si="85"/>
        <v>553488.37209302338</v>
      </c>
      <c r="AS214" s="83">
        <f t="shared" si="69"/>
        <v>41</v>
      </c>
      <c r="AT214" s="50">
        <f t="shared" si="86"/>
        <v>3.3914285714285719</v>
      </c>
      <c r="AU214" s="55" t="str">
        <f t="shared" si="87"/>
        <v>Low</v>
      </c>
      <c r="AV214" s="36" t="s">
        <v>1477</v>
      </c>
      <c r="AW214" s="110" t="s">
        <v>1478</v>
      </c>
      <c r="AX214" s="37" t="s">
        <v>1456</v>
      </c>
      <c r="AY214" s="30"/>
      <c r="AZ214" s="85" t="str">
        <f>IF(ISERROR(_xlfn.XLOOKUP(CONCATENATE(A214,"_",AV214),'Reference-Proof pt impact flag'!$I$3:$I$1048576,'Reference-Proof pt impact flag'!$G$3:$G$1048576)),"",_xlfn.XLOOKUP(CONCATENATE(A214,"_",AV214),'Reference-Proof pt impact flag'!$I$3:$I$1048576,'Reference-Proof pt impact flag'!$G$3:$G$1048576))</f>
        <v/>
      </c>
      <c r="BA214" s="74"/>
      <c r="BB214" s="74"/>
      <c r="BC214" s="74"/>
      <c r="BD214" s="74"/>
      <c r="BE214" s="74"/>
      <c r="BF214" s="74" t="e">
        <f>_xlfn.XLOOKUP(CONCATENATE(H214,"_",AV214),'Test 2 - Proof points - GPT5'!$T:$T,'Test 2 - Proof points - GPT5'!$S:$S)</f>
        <v>#N/A</v>
      </c>
      <c r="BG214" s="74" t="e">
        <f>_xlfn.XLOOKUP(CONCATENATE(H214,"_",AV214),'Test 2 -Proof points - Sonnet'!$AB:$AB,'Test 2 -Proof points - Sonnet'!$AA:$AA)</f>
        <v>#N/A</v>
      </c>
      <c r="BH214" s="74"/>
      <c r="BI214" s="74"/>
      <c r="BJ214" s="74" t="s">
        <v>1580</v>
      </c>
      <c r="BK214" s="30"/>
      <c r="BL214" s="30"/>
      <c r="BM214" s="30"/>
      <c r="BN214" s="30"/>
      <c r="BO214" s="30"/>
      <c r="BP214" s="30"/>
      <c r="BQ214" s="30"/>
      <c r="BR214" s="30"/>
      <c r="BS214" s="30"/>
      <c r="BT214" s="30"/>
      <c r="BU214" s="30"/>
      <c r="BV214" s="113"/>
    </row>
    <row r="215" spans="1:74" ht="217.5" hidden="1" x14ac:dyDescent="0.35">
      <c r="A215" s="22">
        <v>6</v>
      </c>
      <c r="B215" s="22" t="s">
        <v>1451</v>
      </c>
      <c r="C215" s="22" t="s">
        <v>1452</v>
      </c>
      <c r="D215" s="22" t="s">
        <v>1224</v>
      </c>
      <c r="E215" s="22" t="s">
        <v>1453</v>
      </c>
      <c r="F215" s="22"/>
      <c r="G215" s="22" t="s">
        <v>1274</v>
      </c>
      <c r="H215" s="21" t="s">
        <v>1284</v>
      </c>
      <c r="I215" s="22"/>
      <c r="J215" s="21" t="s">
        <v>1579</v>
      </c>
      <c r="K215" s="30"/>
      <c r="L215" s="30" t="s">
        <v>1260</v>
      </c>
      <c r="M215" s="35" t="str">
        <f>VLOOKUP(H215,'1_Value &amp; risk levers'!$H$9:$O$1048576,2,FALSE)</f>
        <v>Not utilized</v>
      </c>
      <c r="N215" s="35" t="str">
        <f>VLOOKUP(H215,'1_Value &amp; risk levers'!$H$9:$O$1048576,3,FALSE)</f>
        <v>Basic usage for high-risk categories</v>
      </c>
      <c r="O215" s="35" t="str">
        <f>VLOOKUP(H215,'1_Value &amp; risk levers'!$H$9:$O$1048576,4,FALSE)</f>
        <v>Regularly employed for risk management</v>
      </c>
      <c r="P215" s="35" t="str">
        <f>VLOOKUP(H215,'1_Value &amp; risk levers'!$H$9:$O$1048576,5,FALSE)</f>
        <v>Strategically implemented with advanced forecasting</v>
      </c>
      <c r="Q215" s="77">
        <f>IF(VLOOKUP(H215,'1_Value &amp; risk levers'!$H$9:$T$1048576,13,FALSE)=0,"",VLOOKUP(H215,'1_Value &amp; risk levers'!$H$9:$T$1048576,13,FALSE))</f>
        <v>2</v>
      </c>
      <c r="R215" s="128">
        <f t="shared" si="66"/>
        <v>2</v>
      </c>
      <c r="S215" s="128" t="e">
        <f t="shared" si="67"/>
        <v>#DIV/0!</v>
      </c>
      <c r="T215" s="77"/>
      <c r="U215" s="77"/>
      <c r="V215" s="55"/>
      <c r="W215" s="71">
        <v>0.04</v>
      </c>
      <c r="X215" s="71">
        <v>0.1</v>
      </c>
      <c r="Y215" s="71">
        <f>VLOOKUP(H215,'1_Value &amp; risk levers'!$H$9:$O$1048576,8,FALSE)</f>
        <v>0.8</v>
      </c>
      <c r="Z215" s="51">
        <f t="shared" si="68"/>
        <v>7.0000000000000007E-2</v>
      </c>
      <c r="AA215" s="51">
        <f t="shared" si="70"/>
        <v>8.5000000000000006E-2</v>
      </c>
      <c r="AB215" s="55">
        <f t="shared" si="71"/>
        <v>2800000.0000000005</v>
      </c>
      <c r="AC215" s="55">
        <f t="shared" si="72"/>
        <v>3400000.0000000005</v>
      </c>
      <c r="AD215" s="80">
        <f t="shared" si="73"/>
        <v>7</v>
      </c>
      <c r="AE215" s="84">
        <f t="shared" si="74"/>
        <v>0.48864540816326468</v>
      </c>
      <c r="AF215" s="71" t="str">
        <f t="shared" si="75"/>
        <v>Low</v>
      </c>
      <c r="AG215" s="84">
        <f t="shared" si="76"/>
        <v>5.9772908163265304E-2</v>
      </c>
      <c r="AH215" s="84">
        <f t="shared" si="77"/>
        <v>9.5227091836734709E-2</v>
      </c>
      <c r="AI215" s="73">
        <f t="shared" si="78"/>
        <v>2390916.3265306121</v>
      </c>
      <c r="AJ215" s="73">
        <f t="shared" si="79"/>
        <v>3809083.6734693884</v>
      </c>
      <c r="AK215" s="46">
        <f>VLOOKUP(H215,'1_Value &amp; risk levers'!$H$9:$O$1048576,6,FALSE)</f>
        <v>0.02</v>
      </c>
      <c r="AL215" s="46">
        <f>VLOOKUP(H215,'1_Value &amp; risk levers'!$H$9:$O$1048576,7,FALSE)</f>
        <v>0.05</v>
      </c>
      <c r="AM215" s="50">
        <f t="shared" si="80"/>
        <v>3.5000000000000003E-2</v>
      </c>
      <c r="AN215" s="72">
        <f t="shared" si="81"/>
        <v>0.16279069767441862</v>
      </c>
      <c r="AO215" s="84">
        <f t="shared" si="82"/>
        <v>9.73047342192691E-3</v>
      </c>
      <c r="AP215" s="84">
        <f t="shared" si="83"/>
        <v>1.5502084717607978E-2</v>
      </c>
      <c r="AQ215" s="55">
        <f t="shared" si="84"/>
        <v>455813.95348837221</v>
      </c>
      <c r="AR215" s="55">
        <f t="shared" si="85"/>
        <v>553488.37209302338</v>
      </c>
      <c r="AS215" s="83">
        <f t="shared" si="69"/>
        <v>41</v>
      </c>
      <c r="AT215" s="50">
        <f t="shared" si="86"/>
        <v>3.3914285714285719</v>
      </c>
      <c r="AU215" s="55" t="str">
        <f t="shared" si="87"/>
        <v>Low</v>
      </c>
      <c r="AV215" s="36" t="s">
        <v>1481</v>
      </c>
      <c r="AW215" s="110" t="s">
        <v>1482</v>
      </c>
      <c r="AX215" s="37" t="s">
        <v>1456</v>
      </c>
      <c r="AY215" s="30"/>
      <c r="AZ215" s="85" t="str">
        <f>IF(ISERROR(_xlfn.XLOOKUP(CONCATENATE(A215,"_",AV215),'Reference-Proof pt impact flag'!$I$3:$I$1048576,'Reference-Proof pt impact flag'!$G$3:$G$1048576)),"",_xlfn.XLOOKUP(CONCATENATE(A215,"_",AV215),'Reference-Proof pt impact flag'!$I$3:$I$1048576,'Reference-Proof pt impact flag'!$G$3:$G$1048576))</f>
        <v/>
      </c>
      <c r="BA215" s="74"/>
      <c r="BB215" s="74"/>
      <c r="BC215" s="74"/>
      <c r="BD215" s="74"/>
      <c r="BE215" s="74"/>
      <c r="BF215" s="74" t="e">
        <f>_xlfn.XLOOKUP(CONCATENATE(H215,"_",AV215),'Test 2 - Proof points - GPT5'!$T:$T,'Test 2 - Proof points - GPT5'!$S:$S)</f>
        <v>#N/A</v>
      </c>
      <c r="BG215" s="74" t="e">
        <f>_xlfn.XLOOKUP(CONCATENATE(H215,"_",AV215),'Test 2 -Proof points - Sonnet'!$AB:$AB,'Test 2 -Proof points - Sonnet'!$AA:$AA)</f>
        <v>#N/A</v>
      </c>
      <c r="BH215" s="74"/>
      <c r="BI215" s="74"/>
      <c r="BJ215" s="74" t="s">
        <v>1580</v>
      </c>
      <c r="BK215" s="30"/>
      <c r="BL215" s="30"/>
      <c r="BM215" s="30"/>
      <c r="BN215" s="30"/>
      <c r="BO215" s="30"/>
      <c r="BP215" s="30"/>
      <c r="BQ215" s="30"/>
      <c r="BR215" s="30"/>
      <c r="BS215" s="30"/>
      <c r="BT215" s="30"/>
      <c r="BU215" s="30"/>
      <c r="BV215" s="113"/>
    </row>
    <row r="216" spans="1:74" ht="217.5" hidden="1" x14ac:dyDescent="0.35">
      <c r="A216" s="22">
        <v>6</v>
      </c>
      <c r="B216" s="22" t="s">
        <v>1451</v>
      </c>
      <c r="C216" s="22" t="s">
        <v>1452</v>
      </c>
      <c r="D216" s="22" t="s">
        <v>1224</v>
      </c>
      <c r="E216" s="22" t="s">
        <v>1453</v>
      </c>
      <c r="F216" s="22"/>
      <c r="G216" s="22" t="s">
        <v>1274</v>
      </c>
      <c r="H216" s="21" t="s">
        <v>1284</v>
      </c>
      <c r="I216" s="22"/>
      <c r="J216" s="21" t="s">
        <v>1579</v>
      </c>
      <c r="K216" s="30"/>
      <c r="L216" s="30" t="s">
        <v>1260</v>
      </c>
      <c r="M216" s="35" t="str">
        <f>VLOOKUP(H216,'1_Value &amp; risk levers'!$H$9:$O$1048576,2,FALSE)</f>
        <v>Not utilized</v>
      </c>
      <c r="N216" s="35" t="str">
        <f>VLOOKUP(H216,'1_Value &amp; risk levers'!$H$9:$O$1048576,3,FALSE)</f>
        <v>Basic usage for high-risk categories</v>
      </c>
      <c r="O216" s="35" t="str">
        <f>VLOOKUP(H216,'1_Value &amp; risk levers'!$H$9:$O$1048576,4,FALSE)</f>
        <v>Regularly employed for risk management</v>
      </c>
      <c r="P216" s="35" t="str">
        <f>VLOOKUP(H216,'1_Value &amp; risk levers'!$H$9:$O$1048576,5,FALSE)</f>
        <v>Strategically implemented with advanced forecasting</v>
      </c>
      <c r="Q216" s="77">
        <f>IF(VLOOKUP(H216,'1_Value &amp; risk levers'!$H$9:$T$1048576,13,FALSE)=0,"",VLOOKUP(H216,'1_Value &amp; risk levers'!$H$9:$T$1048576,13,FALSE))</f>
        <v>2</v>
      </c>
      <c r="R216" s="128">
        <f t="shared" si="66"/>
        <v>2</v>
      </c>
      <c r="S216" s="128" t="e">
        <f t="shared" si="67"/>
        <v>#DIV/0!</v>
      </c>
      <c r="T216" s="77"/>
      <c r="U216" s="77"/>
      <c r="V216" s="55"/>
      <c r="W216" s="71">
        <v>0.04</v>
      </c>
      <c r="X216" s="71">
        <v>0.1</v>
      </c>
      <c r="Y216" s="71">
        <f>VLOOKUP(H216,'1_Value &amp; risk levers'!$H$9:$O$1048576,8,FALSE)</f>
        <v>0.8</v>
      </c>
      <c r="Z216" s="51">
        <f t="shared" si="68"/>
        <v>7.0000000000000007E-2</v>
      </c>
      <c r="AA216" s="51">
        <f t="shared" si="70"/>
        <v>8.5000000000000006E-2</v>
      </c>
      <c r="AB216" s="55">
        <f t="shared" si="71"/>
        <v>2800000.0000000005</v>
      </c>
      <c r="AC216" s="55">
        <f t="shared" si="72"/>
        <v>3400000.0000000005</v>
      </c>
      <c r="AD216" s="80">
        <f t="shared" si="73"/>
        <v>7</v>
      </c>
      <c r="AE216" s="84">
        <f t="shared" si="74"/>
        <v>0.48864540816326468</v>
      </c>
      <c r="AF216" s="71" t="str">
        <f t="shared" si="75"/>
        <v>Low</v>
      </c>
      <c r="AG216" s="84">
        <f t="shared" si="76"/>
        <v>5.9772908163265304E-2</v>
      </c>
      <c r="AH216" s="84">
        <f t="shared" si="77"/>
        <v>9.5227091836734709E-2</v>
      </c>
      <c r="AI216" s="73">
        <f t="shared" si="78"/>
        <v>2390916.3265306121</v>
      </c>
      <c r="AJ216" s="73">
        <f t="shared" si="79"/>
        <v>3809083.6734693884</v>
      </c>
      <c r="AK216" s="46">
        <f>VLOOKUP(H216,'1_Value &amp; risk levers'!$H$9:$O$1048576,6,FALSE)</f>
        <v>0.02</v>
      </c>
      <c r="AL216" s="46">
        <f>VLOOKUP(H216,'1_Value &amp; risk levers'!$H$9:$O$1048576,7,FALSE)</f>
        <v>0.05</v>
      </c>
      <c r="AM216" s="50">
        <f t="shared" si="80"/>
        <v>3.5000000000000003E-2</v>
      </c>
      <c r="AN216" s="72">
        <f t="shared" si="81"/>
        <v>0.16279069767441862</v>
      </c>
      <c r="AO216" s="84">
        <f t="shared" si="82"/>
        <v>9.73047342192691E-3</v>
      </c>
      <c r="AP216" s="84">
        <f t="shared" si="83"/>
        <v>1.5502084717607978E-2</v>
      </c>
      <c r="AQ216" s="55">
        <f t="shared" si="84"/>
        <v>455813.95348837221</v>
      </c>
      <c r="AR216" s="55">
        <f t="shared" si="85"/>
        <v>553488.37209302338</v>
      </c>
      <c r="AS216" s="83">
        <f t="shared" si="69"/>
        <v>41</v>
      </c>
      <c r="AT216" s="50">
        <f t="shared" si="86"/>
        <v>3.3914285714285719</v>
      </c>
      <c r="AU216" s="55" t="str">
        <f t="shared" si="87"/>
        <v>Low</v>
      </c>
      <c r="AV216" s="36" t="s">
        <v>1483</v>
      </c>
      <c r="AW216" s="110" t="s">
        <v>1484</v>
      </c>
      <c r="AX216" s="37" t="s">
        <v>1456</v>
      </c>
      <c r="AY216" s="30"/>
      <c r="AZ216" s="85" t="str">
        <f>IF(ISERROR(_xlfn.XLOOKUP(CONCATENATE(A216,"_",AV216),'Reference-Proof pt impact flag'!$I$3:$I$1048576,'Reference-Proof pt impact flag'!$G$3:$G$1048576)),"",_xlfn.XLOOKUP(CONCATENATE(A216,"_",AV216),'Reference-Proof pt impact flag'!$I$3:$I$1048576,'Reference-Proof pt impact flag'!$G$3:$G$1048576))</f>
        <v/>
      </c>
      <c r="BA216" s="74"/>
      <c r="BB216" s="74"/>
      <c r="BC216" s="74"/>
      <c r="BD216" s="74"/>
      <c r="BE216" s="74"/>
      <c r="BF216" s="74" t="e">
        <f>_xlfn.XLOOKUP(CONCATENATE(H216,"_",AV216),'Test 2 - Proof points - GPT5'!$T:$T,'Test 2 - Proof points - GPT5'!$S:$S)</f>
        <v>#N/A</v>
      </c>
      <c r="BG216" s="74" t="e">
        <f>_xlfn.XLOOKUP(CONCATENATE(H216,"_",AV216),'Test 2 -Proof points - Sonnet'!$AB:$AB,'Test 2 -Proof points - Sonnet'!$AA:$AA)</f>
        <v>#N/A</v>
      </c>
      <c r="BH216" s="74"/>
      <c r="BI216" s="74"/>
      <c r="BJ216" s="74" t="s">
        <v>1580</v>
      </c>
      <c r="BK216" s="30"/>
      <c r="BL216" s="30"/>
      <c r="BM216" s="30"/>
      <c r="BN216" s="30"/>
      <c r="BO216" s="30"/>
      <c r="BP216" s="30"/>
      <c r="BQ216" s="30"/>
      <c r="BR216" s="30"/>
      <c r="BS216" s="30"/>
      <c r="BT216" s="30"/>
      <c r="BU216" s="30"/>
      <c r="BV216" s="113"/>
    </row>
    <row r="217" spans="1:74" ht="217.5" hidden="1" x14ac:dyDescent="0.35">
      <c r="A217" s="22">
        <v>6</v>
      </c>
      <c r="B217" s="22" t="s">
        <v>1451</v>
      </c>
      <c r="C217" s="22" t="s">
        <v>1452</v>
      </c>
      <c r="D217" s="22" t="s">
        <v>1224</v>
      </c>
      <c r="E217" s="22" t="s">
        <v>1453</v>
      </c>
      <c r="F217" s="22"/>
      <c r="G217" s="22" t="s">
        <v>1274</v>
      </c>
      <c r="H217" s="21" t="s">
        <v>1284</v>
      </c>
      <c r="I217" s="22"/>
      <c r="J217" s="21" t="s">
        <v>1579</v>
      </c>
      <c r="K217" s="30"/>
      <c r="L217" s="30" t="s">
        <v>1260</v>
      </c>
      <c r="M217" s="35" t="str">
        <f>VLOOKUP(H217,'1_Value &amp; risk levers'!$H$9:$O$1048576,2,FALSE)</f>
        <v>Not utilized</v>
      </c>
      <c r="N217" s="35" t="str">
        <f>VLOOKUP(H217,'1_Value &amp; risk levers'!$H$9:$O$1048576,3,FALSE)</f>
        <v>Basic usage for high-risk categories</v>
      </c>
      <c r="O217" s="35" t="str">
        <f>VLOOKUP(H217,'1_Value &amp; risk levers'!$H$9:$O$1048576,4,FALSE)</f>
        <v>Regularly employed for risk management</v>
      </c>
      <c r="P217" s="35" t="str">
        <f>VLOOKUP(H217,'1_Value &amp; risk levers'!$H$9:$O$1048576,5,FALSE)</f>
        <v>Strategically implemented with advanced forecasting</v>
      </c>
      <c r="Q217" s="77">
        <f>IF(VLOOKUP(H217,'1_Value &amp; risk levers'!$H$9:$T$1048576,13,FALSE)=0,"",VLOOKUP(H217,'1_Value &amp; risk levers'!$H$9:$T$1048576,13,FALSE))</f>
        <v>2</v>
      </c>
      <c r="R217" s="128">
        <f t="shared" si="66"/>
        <v>2</v>
      </c>
      <c r="S217" s="128" t="e">
        <f t="shared" si="67"/>
        <v>#DIV/0!</v>
      </c>
      <c r="T217" s="77"/>
      <c r="U217" s="77"/>
      <c r="V217" s="55"/>
      <c r="W217" s="71">
        <v>0.04</v>
      </c>
      <c r="X217" s="71">
        <v>0.1</v>
      </c>
      <c r="Y217" s="71">
        <f>VLOOKUP(H217,'1_Value &amp; risk levers'!$H$9:$O$1048576,8,FALSE)</f>
        <v>0.8</v>
      </c>
      <c r="Z217" s="51">
        <f t="shared" si="68"/>
        <v>7.0000000000000007E-2</v>
      </c>
      <c r="AA217" s="51">
        <f t="shared" si="70"/>
        <v>8.5000000000000006E-2</v>
      </c>
      <c r="AB217" s="55">
        <f t="shared" si="71"/>
        <v>2800000.0000000005</v>
      </c>
      <c r="AC217" s="55">
        <f t="shared" si="72"/>
        <v>3400000.0000000005</v>
      </c>
      <c r="AD217" s="80">
        <f t="shared" si="73"/>
        <v>7</v>
      </c>
      <c r="AE217" s="84">
        <f t="shared" si="74"/>
        <v>0.48864540816326468</v>
      </c>
      <c r="AF217" s="71" t="str">
        <f t="shared" si="75"/>
        <v>Low</v>
      </c>
      <c r="AG217" s="84">
        <f t="shared" si="76"/>
        <v>5.9772908163265304E-2</v>
      </c>
      <c r="AH217" s="84">
        <f t="shared" si="77"/>
        <v>9.5227091836734709E-2</v>
      </c>
      <c r="AI217" s="73">
        <f t="shared" si="78"/>
        <v>2390916.3265306121</v>
      </c>
      <c r="AJ217" s="73">
        <f t="shared" si="79"/>
        <v>3809083.6734693884</v>
      </c>
      <c r="AK217" s="46">
        <f>VLOOKUP(H217,'1_Value &amp; risk levers'!$H$9:$O$1048576,6,FALSE)</f>
        <v>0.02</v>
      </c>
      <c r="AL217" s="46">
        <f>VLOOKUP(H217,'1_Value &amp; risk levers'!$H$9:$O$1048576,7,FALSE)</f>
        <v>0.05</v>
      </c>
      <c r="AM217" s="50">
        <f t="shared" si="80"/>
        <v>3.5000000000000003E-2</v>
      </c>
      <c r="AN217" s="72">
        <f t="shared" si="81"/>
        <v>0.16279069767441862</v>
      </c>
      <c r="AO217" s="84">
        <f t="shared" si="82"/>
        <v>9.73047342192691E-3</v>
      </c>
      <c r="AP217" s="84">
        <f t="shared" si="83"/>
        <v>1.5502084717607978E-2</v>
      </c>
      <c r="AQ217" s="55">
        <f t="shared" si="84"/>
        <v>455813.95348837221</v>
      </c>
      <c r="AR217" s="55">
        <f t="shared" si="85"/>
        <v>553488.37209302338</v>
      </c>
      <c r="AS217" s="83">
        <f t="shared" si="69"/>
        <v>41</v>
      </c>
      <c r="AT217" s="50">
        <f t="shared" si="86"/>
        <v>3.3914285714285719</v>
      </c>
      <c r="AU217" s="55" t="str">
        <f t="shared" si="87"/>
        <v>Low</v>
      </c>
      <c r="AV217" s="36" t="s">
        <v>1486</v>
      </c>
      <c r="AW217" s="110" t="s">
        <v>1487</v>
      </c>
      <c r="AX217" s="37" t="s">
        <v>1456</v>
      </c>
      <c r="AY217" s="30"/>
      <c r="AZ217" s="85" t="str">
        <f>IF(ISERROR(_xlfn.XLOOKUP(CONCATENATE(A217,"_",AV217),'Reference-Proof pt impact flag'!$I$3:$I$1048576,'Reference-Proof pt impact flag'!$G$3:$G$1048576)),"",_xlfn.XLOOKUP(CONCATENATE(A217,"_",AV217),'Reference-Proof pt impact flag'!$I$3:$I$1048576,'Reference-Proof pt impact flag'!$G$3:$G$1048576))</f>
        <v/>
      </c>
      <c r="BA217" s="74"/>
      <c r="BB217" s="74"/>
      <c r="BC217" s="74"/>
      <c r="BD217" s="74"/>
      <c r="BE217" s="74"/>
      <c r="BF217" s="74" t="e">
        <f>_xlfn.XLOOKUP(CONCATENATE(H217,"_",AV217),'Test 2 - Proof points - GPT5'!$T:$T,'Test 2 - Proof points - GPT5'!$S:$S)</f>
        <v>#N/A</v>
      </c>
      <c r="BG217" s="74" t="e">
        <f>_xlfn.XLOOKUP(CONCATENATE(H217,"_",AV217),'Test 2 -Proof points - Sonnet'!$AB:$AB,'Test 2 -Proof points - Sonnet'!$AA:$AA)</f>
        <v>#N/A</v>
      </c>
      <c r="BH217" s="74"/>
      <c r="BI217" s="74"/>
      <c r="BJ217" s="74" t="s">
        <v>1580</v>
      </c>
      <c r="BK217" s="30"/>
      <c r="BL217" s="30"/>
      <c r="BM217" s="30"/>
      <c r="BN217" s="30"/>
      <c r="BO217" s="30"/>
      <c r="BP217" s="30"/>
      <c r="BQ217" s="30"/>
      <c r="BR217" s="30"/>
      <c r="BS217" s="30"/>
      <c r="BT217" s="30"/>
      <c r="BU217" s="30"/>
      <c r="BV217" s="113"/>
    </row>
    <row r="218" spans="1:74" ht="217.5" hidden="1" x14ac:dyDescent="0.35">
      <c r="A218" s="22">
        <v>6</v>
      </c>
      <c r="B218" s="22" t="s">
        <v>1451</v>
      </c>
      <c r="C218" s="22" t="s">
        <v>1452</v>
      </c>
      <c r="D218" s="22" t="s">
        <v>1224</v>
      </c>
      <c r="E218" s="22" t="s">
        <v>1453</v>
      </c>
      <c r="F218" s="22"/>
      <c r="G218" s="22" t="s">
        <v>1274</v>
      </c>
      <c r="H218" s="21" t="s">
        <v>1284</v>
      </c>
      <c r="I218" s="22"/>
      <c r="J218" s="21" t="s">
        <v>1579</v>
      </c>
      <c r="K218" s="30"/>
      <c r="L218" s="30" t="s">
        <v>1260</v>
      </c>
      <c r="M218" s="35" t="str">
        <f>VLOOKUP(H218,'1_Value &amp; risk levers'!$H$9:$O$1048576,2,FALSE)</f>
        <v>Not utilized</v>
      </c>
      <c r="N218" s="35" t="str">
        <f>VLOOKUP(H218,'1_Value &amp; risk levers'!$H$9:$O$1048576,3,FALSE)</f>
        <v>Basic usage for high-risk categories</v>
      </c>
      <c r="O218" s="35" t="str">
        <f>VLOOKUP(H218,'1_Value &amp; risk levers'!$H$9:$O$1048576,4,FALSE)</f>
        <v>Regularly employed for risk management</v>
      </c>
      <c r="P218" s="35" t="str">
        <f>VLOOKUP(H218,'1_Value &amp; risk levers'!$H$9:$O$1048576,5,FALSE)</f>
        <v>Strategically implemented with advanced forecasting</v>
      </c>
      <c r="Q218" s="77">
        <f>IF(VLOOKUP(H218,'1_Value &amp; risk levers'!$H$9:$T$1048576,13,FALSE)=0,"",VLOOKUP(H218,'1_Value &amp; risk levers'!$H$9:$T$1048576,13,FALSE))</f>
        <v>2</v>
      </c>
      <c r="R218" s="128">
        <f t="shared" si="66"/>
        <v>2</v>
      </c>
      <c r="S218" s="128" t="e">
        <f t="shared" si="67"/>
        <v>#DIV/0!</v>
      </c>
      <c r="T218" s="77"/>
      <c r="U218" s="77"/>
      <c r="V218" s="55"/>
      <c r="W218" s="71">
        <v>0.04</v>
      </c>
      <c r="X218" s="71">
        <v>0.1</v>
      </c>
      <c r="Y218" s="71">
        <f>VLOOKUP(H218,'1_Value &amp; risk levers'!$H$9:$O$1048576,8,FALSE)</f>
        <v>0.8</v>
      </c>
      <c r="Z218" s="51">
        <f t="shared" si="68"/>
        <v>7.0000000000000007E-2</v>
      </c>
      <c r="AA218" s="51">
        <f t="shared" si="70"/>
        <v>8.5000000000000006E-2</v>
      </c>
      <c r="AB218" s="55">
        <f t="shared" si="71"/>
        <v>2800000.0000000005</v>
      </c>
      <c r="AC218" s="55">
        <f t="shared" si="72"/>
        <v>3400000.0000000005</v>
      </c>
      <c r="AD218" s="80">
        <f t="shared" si="73"/>
        <v>7</v>
      </c>
      <c r="AE218" s="84">
        <f t="shared" si="74"/>
        <v>0.48864540816326468</v>
      </c>
      <c r="AF218" s="71" t="str">
        <f t="shared" si="75"/>
        <v>Low</v>
      </c>
      <c r="AG218" s="84">
        <f t="shared" si="76"/>
        <v>5.9772908163265304E-2</v>
      </c>
      <c r="AH218" s="84">
        <f t="shared" si="77"/>
        <v>9.5227091836734709E-2</v>
      </c>
      <c r="AI218" s="73">
        <f t="shared" si="78"/>
        <v>2390916.3265306121</v>
      </c>
      <c r="AJ218" s="73">
        <f t="shared" si="79"/>
        <v>3809083.6734693884</v>
      </c>
      <c r="AK218" s="46">
        <f>VLOOKUP(H218,'1_Value &amp; risk levers'!$H$9:$O$1048576,6,FALSE)</f>
        <v>0.02</v>
      </c>
      <c r="AL218" s="46">
        <f>VLOOKUP(H218,'1_Value &amp; risk levers'!$H$9:$O$1048576,7,FALSE)</f>
        <v>0.05</v>
      </c>
      <c r="AM218" s="50">
        <f t="shared" si="80"/>
        <v>3.5000000000000003E-2</v>
      </c>
      <c r="AN218" s="72">
        <f t="shared" si="81"/>
        <v>0.16279069767441862</v>
      </c>
      <c r="AO218" s="84">
        <f t="shared" si="82"/>
        <v>9.73047342192691E-3</v>
      </c>
      <c r="AP218" s="84">
        <f t="shared" si="83"/>
        <v>1.5502084717607978E-2</v>
      </c>
      <c r="AQ218" s="55">
        <f t="shared" si="84"/>
        <v>455813.95348837221</v>
      </c>
      <c r="AR218" s="55">
        <f t="shared" si="85"/>
        <v>553488.37209302338</v>
      </c>
      <c r="AS218" s="83">
        <f t="shared" si="69"/>
        <v>41</v>
      </c>
      <c r="AT218" s="50">
        <f t="shared" si="86"/>
        <v>3.3914285714285719</v>
      </c>
      <c r="AU218" s="55" t="str">
        <f t="shared" si="87"/>
        <v>Low</v>
      </c>
      <c r="AV218" s="36" t="s">
        <v>1488</v>
      </c>
      <c r="AW218" s="110" t="s">
        <v>1489</v>
      </c>
      <c r="AX218" s="37" t="s">
        <v>1456</v>
      </c>
      <c r="AY218" s="30"/>
      <c r="AZ218" s="85" t="str">
        <f>IF(ISERROR(_xlfn.XLOOKUP(CONCATENATE(A218,"_",AV218),'Reference-Proof pt impact flag'!$I$3:$I$1048576,'Reference-Proof pt impact flag'!$G$3:$G$1048576)),"",_xlfn.XLOOKUP(CONCATENATE(A218,"_",AV218),'Reference-Proof pt impact flag'!$I$3:$I$1048576,'Reference-Proof pt impact flag'!$G$3:$G$1048576))</f>
        <v/>
      </c>
      <c r="BA218" s="74"/>
      <c r="BB218" s="74"/>
      <c r="BC218" s="74"/>
      <c r="BD218" s="74"/>
      <c r="BE218" s="74"/>
      <c r="BF218" s="74" t="e">
        <f>_xlfn.XLOOKUP(CONCATENATE(H218,"_",AV218),'Test 2 - Proof points - GPT5'!$T:$T,'Test 2 - Proof points - GPT5'!$S:$S)</f>
        <v>#N/A</v>
      </c>
      <c r="BG218" s="74" t="e">
        <f>_xlfn.XLOOKUP(CONCATENATE(H218,"_",AV218),'Test 2 -Proof points - Sonnet'!$AB:$AB,'Test 2 -Proof points - Sonnet'!$AA:$AA)</f>
        <v>#N/A</v>
      </c>
      <c r="BH218" s="74"/>
      <c r="BI218" s="74"/>
      <c r="BJ218" s="74" t="s">
        <v>1580</v>
      </c>
      <c r="BK218" s="30"/>
      <c r="BL218" s="30"/>
      <c r="BM218" s="30"/>
      <c r="BN218" s="30"/>
      <c r="BO218" s="30"/>
      <c r="BP218" s="30"/>
      <c r="BQ218" s="30"/>
      <c r="BR218" s="30"/>
      <c r="BS218" s="30"/>
      <c r="BT218" s="30"/>
      <c r="BU218" s="30"/>
      <c r="BV218" s="113"/>
    </row>
    <row r="219" spans="1:74" ht="217.5" hidden="1" x14ac:dyDescent="0.35">
      <c r="A219" s="22">
        <v>6</v>
      </c>
      <c r="B219" s="22" t="s">
        <v>1451</v>
      </c>
      <c r="C219" s="22" t="s">
        <v>1452</v>
      </c>
      <c r="D219" s="22" t="s">
        <v>1224</v>
      </c>
      <c r="E219" s="22" t="s">
        <v>1453</v>
      </c>
      <c r="F219" s="22"/>
      <c r="G219" s="22" t="s">
        <v>1274</v>
      </c>
      <c r="H219" s="21" t="s">
        <v>1284</v>
      </c>
      <c r="I219" s="22"/>
      <c r="J219" s="21" t="s">
        <v>1579</v>
      </c>
      <c r="K219" s="30"/>
      <c r="L219" s="30" t="s">
        <v>1260</v>
      </c>
      <c r="M219" s="35" t="str">
        <f>VLOOKUP(H219,'1_Value &amp; risk levers'!$H$9:$O$1048576,2,FALSE)</f>
        <v>Not utilized</v>
      </c>
      <c r="N219" s="35" t="str">
        <f>VLOOKUP(H219,'1_Value &amp; risk levers'!$H$9:$O$1048576,3,FALSE)</f>
        <v>Basic usage for high-risk categories</v>
      </c>
      <c r="O219" s="35" t="str">
        <f>VLOOKUP(H219,'1_Value &amp; risk levers'!$H$9:$O$1048576,4,FALSE)</f>
        <v>Regularly employed for risk management</v>
      </c>
      <c r="P219" s="35" t="str">
        <f>VLOOKUP(H219,'1_Value &amp; risk levers'!$H$9:$O$1048576,5,FALSE)</f>
        <v>Strategically implemented with advanced forecasting</v>
      </c>
      <c r="Q219" s="77">
        <f>IF(VLOOKUP(H219,'1_Value &amp; risk levers'!$H$9:$T$1048576,13,FALSE)=0,"",VLOOKUP(H219,'1_Value &amp; risk levers'!$H$9:$T$1048576,13,FALSE))</f>
        <v>2</v>
      </c>
      <c r="R219" s="128">
        <f t="shared" si="66"/>
        <v>2</v>
      </c>
      <c r="S219" s="128" t="e">
        <f t="shared" si="67"/>
        <v>#DIV/0!</v>
      </c>
      <c r="T219" s="77"/>
      <c r="U219" s="77"/>
      <c r="V219" s="55"/>
      <c r="W219" s="71">
        <v>0.04</v>
      </c>
      <c r="X219" s="71">
        <v>0.1</v>
      </c>
      <c r="Y219" s="71">
        <f>VLOOKUP(H219,'1_Value &amp; risk levers'!$H$9:$O$1048576,8,FALSE)</f>
        <v>0.8</v>
      </c>
      <c r="Z219" s="51">
        <f t="shared" si="68"/>
        <v>7.0000000000000007E-2</v>
      </c>
      <c r="AA219" s="51">
        <f t="shared" si="70"/>
        <v>8.5000000000000006E-2</v>
      </c>
      <c r="AB219" s="55">
        <f t="shared" si="71"/>
        <v>2800000.0000000005</v>
      </c>
      <c r="AC219" s="55">
        <f t="shared" si="72"/>
        <v>3400000.0000000005</v>
      </c>
      <c r="AD219" s="80">
        <f t="shared" si="73"/>
        <v>7</v>
      </c>
      <c r="AE219" s="84">
        <f t="shared" si="74"/>
        <v>0.48864540816326468</v>
      </c>
      <c r="AF219" s="71" t="str">
        <f t="shared" si="75"/>
        <v>Low</v>
      </c>
      <c r="AG219" s="84">
        <f t="shared" si="76"/>
        <v>5.9772908163265304E-2</v>
      </c>
      <c r="AH219" s="84">
        <f t="shared" si="77"/>
        <v>9.5227091836734709E-2</v>
      </c>
      <c r="AI219" s="73">
        <f t="shared" si="78"/>
        <v>2390916.3265306121</v>
      </c>
      <c r="AJ219" s="73">
        <f t="shared" si="79"/>
        <v>3809083.6734693884</v>
      </c>
      <c r="AK219" s="46">
        <f>VLOOKUP(H219,'1_Value &amp; risk levers'!$H$9:$O$1048576,6,FALSE)</f>
        <v>0.02</v>
      </c>
      <c r="AL219" s="46">
        <f>VLOOKUP(H219,'1_Value &amp; risk levers'!$H$9:$O$1048576,7,FALSE)</f>
        <v>0.05</v>
      </c>
      <c r="AM219" s="50">
        <f t="shared" si="80"/>
        <v>3.5000000000000003E-2</v>
      </c>
      <c r="AN219" s="72">
        <f t="shared" si="81"/>
        <v>0.16279069767441862</v>
      </c>
      <c r="AO219" s="84">
        <f t="shared" si="82"/>
        <v>9.73047342192691E-3</v>
      </c>
      <c r="AP219" s="84">
        <f t="shared" si="83"/>
        <v>1.5502084717607978E-2</v>
      </c>
      <c r="AQ219" s="55">
        <f t="shared" si="84"/>
        <v>455813.95348837221</v>
      </c>
      <c r="AR219" s="55">
        <f t="shared" si="85"/>
        <v>553488.37209302338</v>
      </c>
      <c r="AS219" s="83">
        <f t="shared" si="69"/>
        <v>41</v>
      </c>
      <c r="AT219" s="50">
        <f t="shared" si="86"/>
        <v>3.3914285714285719</v>
      </c>
      <c r="AU219" s="55" t="str">
        <f t="shared" si="87"/>
        <v>Low</v>
      </c>
      <c r="AV219" s="36" t="s">
        <v>1490</v>
      </c>
      <c r="AW219" s="110" t="s">
        <v>1491</v>
      </c>
      <c r="AX219" s="37" t="s">
        <v>1456</v>
      </c>
      <c r="AY219" s="30"/>
      <c r="AZ219" s="85" t="str">
        <f>IF(ISERROR(_xlfn.XLOOKUP(CONCATENATE(A219,"_",AV219),'Reference-Proof pt impact flag'!$I$3:$I$1048576,'Reference-Proof pt impact flag'!$G$3:$G$1048576)),"",_xlfn.XLOOKUP(CONCATENATE(A219,"_",AV219),'Reference-Proof pt impact flag'!$I$3:$I$1048576,'Reference-Proof pt impact flag'!$G$3:$G$1048576))</f>
        <v/>
      </c>
      <c r="BA219" s="74"/>
      <c r="BB219" s="74"/>
      <c r="BC219" s="74"/>
      <c r="BD219" s="74"/>
      <c r="BE219" s="74"/>
      <c r="BF219" s="74" t="e">
        <f>_xlfn.XLOOKUP(CONCATENATE(H219,"_",AV219),'Test 2 - Proof points - GPT5'!$T:$T,'Test 2 - Proof points - GPT5'!$S:$S)</f>
        <v>#N/A</v>
      </c>
      <c r="BG219" s="74" t="e">
        <f>_xlfn.XLOOKUP(CONCATENATE(H219,"_",AV219),'Test 2 -Proof points - Sonnet'!$AB:$AB,'Test 2 -Proof points - Sonnet'!$AA:$AA)</f>
        <v>#N/A</v>
      </c>
      <c r="BH219" s="74"/>
      <c r="BI219" s="74"/>
      <c r="BJ219" s="74" t="s">
        <v>1580</v>
      </c>
      <c r="BK219" s="30"/>
      <c r="BL219" s="30"/>
      <c r="BM219" s="30"/>
      <c r="BN219" s="30"/>
      <c r="BO219" s="30"/>
      <c r="BP219" s="30"/>
      <c r="BQ219" s="30"/>
      <c r="BR219" s="30"/>
      <c r="BS219" s="30"/>
      <c r="BT219" s="30"/>
      <c r="BU219" s="30"/>
      <c r="BV219" s="113"/>
    </row>
    <row r="220" spans="1:74" ht="217.5" hidden="1" x14ac:dyDescent="0.35">
      <c r="A220" s="22">
        <v>6</v>
      </c>
      <c r="B220" s="22" t="s">
        <v>1451</v>
      </c>
      <c r="C220" s="22" t="s">
        <v>1452</v>
      </c>
      <c r="D220" s="22" t="s">
        <v>1224</v>
      </c>
      <c r="E220" s="22" t="s">
        <v>1453</v>
      </c>
      <c r="F220" s="22"/>
      <c r="G220" s="22" t="s">
        <v>1274</v>
      </c>
      <c r="H220" s="21" t="s">
        <v>1284</v>
      </c>
      <c r="I220" s="22"/>
      <c r="J220" s="21" t="s">
        <v>1579</v>
      </c>
      <c r="K220" s="30"/>
      <c r="L220" s="30" t="s">
        <v>1260</v>
      </c>
      <c r="M220" s="35" t="str">
        <f>VLOOKUP(H220,'1_Value &amp; risk levers'!$H$9:$O$1048576,2,FALSE)</f>
        <v>Not utilized</v>
      </c>
      <c r="N220" s="35" t="str">
        <f>VLOOKUP(H220,'1_Value &amp; risk levers'!$H$9:$O$1048576,3,FALSE)</f>
        <v>Basic usage for high-risk categories</v>
      </c>
      <c r="O220" s="35" t="str">
        <f>VLOOKUP(H220,'1_Value &amp; risk levers'!$H$9:$O$1048576,4,FALSE)</f>
        <v>Regularly employed for risk management</v>
      </c>
      <c r="P220" s="35" t="str">
        <f>VLOOKUP(H220,'1_Value &amp; risk levers'!$H$9:$O$1048576,5,FALSE)</f>
        <v>Strategically implemented with advanced forecasting</v>
      </c>
      <c r="Q220" s="77">
        <f>IF(VLOOKUP(H220,'1_Value &amp; risk levers'!$H$9:$T$1048576,13,FALSE)=0,"",VLOOKUP(H220,'1_Value &amp; risk levers'!$H$9:$T$1048576,13,FALSE))</f>
        <v>2</v>
      </c>
      <c r="R220" s="128">
        <f t="shared" si="66"/>
        <v>2</v>
      </c>
      <c r="S220" s="128" t="e">
        <f t="shared" si="67"/>
        <v>#DIV/0!</v>
      </c>
      <c r="T220" s="77"/>
      <c r="U220" s="77"/>
      <c r="V220" s="55"/>
      <c r="W220" s="71">
        <v>0.04</v>
      </c>
      <c r="X220" s="71">
        <v>0.1</v>
      </c>
      <c r="Y220" s="71">
        <f>VLOOKUP(H220,'1_Value &amp; risk levers'!$H$9:$O$1048576,8,FALSE)</f>
        <v>0.8</v>
      </c>
      <c r="Z220" s="51">
        <f t="shared" si="68"/>
        <v>7.0000000000000007E-2</v>
      </c>
      <c r="AA220" s="51">
        <f t="shared" si="70"/>
        <v>8.5000000000000006E-2</v>
      </c>
      <c r="AB220" s="55">
        <f t="shared" si="71"/>
        <v>2800000.0000000005</v>
      </c>
      <c r="AC220" s="55">
        <f t="shared" si="72"/>
        <v>3400000.0000000005</v>
      </c>
      <c r="AD220" s="80">
        <f t="shared" si="73"/>
        <v>7</v>
      </c>
      <c r="AE220" s="84">
        <f t="shared" si="74"/>
        <v>0.48864540816326468</v>
      </c>
      <c r="AF220" s="71" t="str">
        <f t="shared" si="75"/>
        <v>Low</v>
      </c>
      <c r="AG220" s="84">
        <f t="shared" si="76"/>
        <v>5.9772908163265304E-2</v>
      </c>
      <c r="AH220" s="84">
        <f t="shared" si="77"/>
        <v>9.5227091836734709E-2</v>
      </c>
      <c r="AI220" s="73">
        <f t="shared" si="78"/>
        <v>2390916.3265306121</v>
      </c>
      <c r="AJ220" s="73">
        <f t="shared" si="79"/>
        <v>3809083.6734693884</v>
      </c>
      <c r="AK220" s="46">
        <f>VLOOKUP(H220,'1_Value &amp; risk levers'!$H$9:$O$1048576,6,FALSE)</f>
        <v>0.02</v>
      </c>
      <c r="AL220" s="46">
        <f>VLOOKUP(H220,'1_Value &amp; risk levers'!$H$9:$O$1048576,7,FALSE)</f>
        <v>0.05</v>
      </c>
      <c r="AM220" s="50">
        <f t="shared" si="80"/>
        <v>3.5000000000000003E-2</v>
      </c>
      <c r="AN220" s="72">
        <f t="shared" si="81"/>
        <v>0.16279069767441862</v>
      </c>
      <c r="AO220" s="84">
        <f t="shared" si="82"/>
        <v>9.73047342192691E-3</v>
      </c>
      <c r="AP220" s="84">
        <f t="shared" si="83"/>
        <v>1.5502084717607978E-2</v>
      </c>
      <c r="AQ220" s="55">
        <f t="shared" si="84"/>
        <v>455813.95348837221</v>
      </c>
      <c r="AR220" s="55">
        <f t="shared" si="85"/>
        <v>553488.37209302338</v>
      </c>
      <c r="AS220" s="83">
        <f t="shared" si="69"/>
        <v>41</v>
      </c>
      <c r="AT220" s="50">
        <f t="shared" si="86"/>
        <v>3.3914285714285719</v>
      </c>
      <c r="AU220" s="55" t="str">
        <f t="shared" si="87"/>
        <v>Low</v>
      </c>
      <c r="AV220" s="34" t="s">
        <v>1492</v>
      </c>
      <c r="AW220" s="112" t="s">
        <v>1538</v>
      </c>
      <c r="AX220" s="30" t="s">
        <v>1493</v>
      </c>
      <c r="AY220" s="30"/>
      <c r="AZ220" s="85" t="str">
        <f>IF(ISERROR(_xlfn.XLOOKUP(CONCATENATE(A220,"_",AV220),'Reference-Proof pt impact flag'!$I$3:$I$1048576,'Reference-Proof pt impact flag'!$G$3:$G$1048576)),"",_xlfn.XLOOKUP(CONCATENATE(A220,"_",AV220),'Reference-Proof pt impact flag'!$I$3:$I$1048576,'Reference-Proof pt impact flag'!$G$3:$G$1048576))</f>
        <v/>
      </c>
      <c r="BA220" s="74"/>
      <c r="BB220" s="74"/>
      <c r="BC220" s="74"/>
      <c r="BD220" s="74"/>
      <c r="BE220" s="74"/>
      <c r="BF220" s="74" t="e">
        <f>_xlfn.XLOOKUP(CONCATENATE(H220,"_",AV220),'Test 2 - Proof points - GPT5'!$T:$T,'Test 2 - Proof points - GPT5'!$S:$S)</f>
        <v>#N/A</v>
      </c>
      <c r="BG220" s="74" t="e">
        <f>_xlfn.XLOOKUP(CONCATENATE(H220,"_",AV220),'Test 2 -Proof points - Sonnet'!$AB:$AB,'Test 2 -Proof points - Sonnet'!$AA:$AA)</f>
        <v>#N/A</v>
      </c>
      <c r="BH220" s="74"/>
      <c r="BI220" s="74"/>
      <c r="BJ220" s="74" t="s">
        <v>1580</v>
      </c>
      <c r="BK220" s="30"/>
      <c r="BL220" s="30"/>
      <c r="BM220" s="30"/>
      <c r="BN220" s="30"/>
      <c r="BO220" s="30"/>
      <c r="BP220" s="30"/>
      <c r="BQ220" s="30"/>
      <c r="BR220" s="30"/>
      <c r="BS220" s="30"/>
      <c r="BT220" s="30"/>
      <c r="BU220" s="30"/>
      <c r="BV220" s="113"/>
    </row>
    <row r="221" spans="1:74" ht="217.5" hidden="1" x14ac:dyDescent="0.35">
      <c r="A221" s="22">
        <v>6</v>
      </c>
      <c r="B221" s="22" t="s">
        <v>1451</v>
      </c>
      <c r="C221" s="22" t="s">
        <v>1452</v>
      </c>
      <c r="D221" s="22" t="s">
        <v>1224</v>
      </c>
      <c r="E221" s="22" t="s">
        <v>1453</v>
      </c>
      <c r="F221" s="22"/>
      <c r="G221" s="22" t="s">
        <v>1274</v>
      </c>
      <c r="H221" s="21" t="s">
        <v>1284</v>
      </c>
      <c r="I221" s="22"/>
      <c r="J221" s="21" t="s">
        <v>1579</v>
      </c>
      <c r="K221" s="30"/>
      <c r="L221" s="30" t="s">
        <v>1260</v>
      </c>
      <c r="M221" s="35" t="str">
        <f>VLOOKUP(H221,'1_Value &amp; risk levers'!$H$9:$O$1048576,2,FALSE)</f>
        <v>Not utilized</v>
      </c>
      <c r="N221" s="35" t="str">
        <f>VLOOKUP(H221,'1_Value &amp; risk levers'!$H$9:$O$1048576,3,FALSE)</f>
        <v>Basic usage for high-risk categories</v>
      </c>
      <c r="O221" s="35" t="str">
        <f>VLOOKUP(H221,'1_Value &amp; risk levers'!$H$9:$O$1048576,4,FALSE)</f>
        <v>Regularly employed for risk management</v>
      </c>
      <c r="P221" s="35" t="str">
        <f>VLOOKUP(H221,'1_Value &amp; risk levers'!$H$9:$O$1048576,5,FALSE)</f>
        <v>Strategically implemented with advanced forecasting</v>
      </c>
      <c r="Q221" s="77">
        <f>IF(VLOOKUP(H221,'1_Value &amp; risk levers'!$H$9:$T$1048576,13,FALSE)=0,"",VLOOKUP(H221,'1_Value &amp; risk levers'!$H$9:$T$1048576,13,FALSE))</f>
        <v>2</v>
      </c>
      <c r="R221" s="128">
        <f t="shared" si="66"/>
        <v>2</v>
      </c>
      <c r="S221" s="128" t="e">
        <f t="shared" si="67"/>
        <v>#DIV/0!</v>
      </c>
      <c r="T221" s="77"/>
      <c r="U221" s="77"/>
      <c r="V221" s="55"/>
      <c r="W221" s="71">
        <v>0.04</v>
      </c>
      <c r="X221" s="71">
        <v>0.1</v>
      </c>
      <c r="Y221" s="71">
        <f>VLOOKUP(H221,'1_Value &amp; risk levers'!$H$9:$O$1048576,8,FALSE)</f>
        <v>0.8</v>
      </c>
      <c r="Z221" s="51">
        <f t="shared" si="68"/>
        <v>7.0000000000000007E-2</v>
      </c>
      <c r="AA221" s="51">
        <f t="shared" si="70"/>
        <v>8.5000000000000006E-2</v>
      </c>
      <c r="AB221" s="55">
        <f t="shared" si="71"/>
        <v>2800000.0000000005</v>
      </c>
      <c r="AC221" s="55">
        <f t="shared" si="72"/>
        <v>3400000.0000000005</v>
      </c>
      <c r="AD221" s="80">
        <f t="shared" si="73"/>
        <v>7</v>
      </c>
      <c r="AE221" s="84">
        <f t="shared" si="74"/>
        <v>0.48864540816326468</v>
      </c>
      <c r="AF221" s="71" t="str">
        <f t="shared" si="75"/>
        <v>Low</v>
      </c>
      <c r="AG221" s="84">
        <f t="shared" si="76"/>
        <v>5.9772908163265304E-2</v>
      </c>
      <c r="AH221" s="84">
        <f t="shared" si="77"/>
        <v>9.5227091836734709E-2</v>
      </c>
      <c r="AI221" s="73">
        <f t="shared" si="78"/>
        <v>2390916.3265306121</v>
      </c>
      <c r="AJ221" s="73">
        <f t="shared" si="79"/>
        <v>3809083.6734693884</v>
      </c>
      <c r="AK221" s="46">
        <f>VLOOKUP(H221,'1_Value &amp; risk levers'!$H$9:$O$1048576,6,FALSE)</f>
        <v>0.02</v>
      </c>
      <c r="AL221" s="46">
        <f>VLOOKUP(H221,'1_Value &amp; risk levers'!$H$9:$O$1048576,7,FALSE)</f>
        <v>0.05</v>
      </c>
      <c r="AM221" s="50">
        <f t="shared" si="80"/>
        <v>3.5000000000000003E-2</v>
      </c>
      <c r="AN221" s="72">
        <f t="shared" si="81"/>
        <v>0.16279069767441862</v>
      </c>
      <c r="AO221" s="84">
        <f t="shared" si="82"/>
        <v>9.73047342192691E-3</v>
      </c>
      <c r="AP221" s="84">
        <f t="shared" si="83"/>
        <v>1.5502084717607978E-2</v>
      </c>
      <c r="AQ221" s="55">
        <f t="shared" si="84"/>
        <v>455813.95348837221</v>
      </c>
      <c r="AR221" s="55">
        <f t="shared" si="85"/>
        <v>553488.37209302338</v>
      </c>
      <c r="AS221" s="83">
        <f t="shared" si="69"/>
        <v>41</v>
      </c>
      <c r="AT221" s="50">
        <f t="shared" si="86"/>
        <v>3.3914285714285719</v>
      </c>
      <c r="AU221" s="55" t="str">
        <f t="shared" si="87"/>
        <v>Low</v>
      </c>
      <c r="AV221" s="34" t="s">
        <v>1494</v>
      </c>
      <c r="AW221" s="112" t="s">
        <v>1539</v>
      </c>
      <c r="AX221" s="30" t="s">
        <v>1493</v>
      </c>
      <c r="AY221" s="30"/>
      <c r="AZ221" s="85" t="str">
        <f>IF(ISERROR(_xlfn.XLOOKUP(CONCATENATE(A221,"_",AV221),'Reference-Proof pt impact flag'!$I$3:$I$1048576,'Reference-Proof pt impact flag'!$G$3:$G$1048576)),"",_xlfn.XLOOKUP(CONCATENATE(A221,"_",AV221),'Reference-Proof pt impact flag'!$I$3:$I$1048576,'Reference-Proof pt impact flag'!$G$3:$G$1048576))</f>
        <v/>
      </c>
      <c r="BA221" s="74"/>
      <c r="BB221" s="74"/>
      <c r="BC221" s="74"/>
      <c r="BD221" s="74"/>
      <c r="BE221" s="74"/>
      <c r="BF221" s="74" t="e">
        <f>_xlfn.XLOOKUP(CONCATENATE(H221,"_",AV221),'Test 2 - Proof points - GPT5'!$T:$T,'Test 2 - Proof points - GPT5'!$S:$S)</f>
        <v>#N/A</v>
      </c>
      <c r="BG221" s="74" t="e">
        <f>_xlfn.XLOOKUP(CONCATENATE(H221,"_",AV221),'Test 2 -Proof points - Sonnet'!$AB:$AB,'Test 2 -Proof points - Sonnet'!$AA:$AA)</f>
        <v>#N/A</v>
      </c>
      <c r="BH221" s="74"/>
      <c r="BI221" s="74"/>
      <c r="BJ221" s="74" t="s">
        <v>1580</v>
      </c>
      <c r="BK221" s="30"/>
      <c r="BL221" s="30"/>
      <c r="BM221" s="30"/>
      <c r="BN221" s="30"/>
      <c r="BO221" s="30"/>
      <c r="BP221" s="30"/>
      <c r="BQ221" s="30"/>
      <c r="BR221" s="30"/>
      <c r="BS221" s="30"/>
      <c r="BT221" s="30"/>
      <c r="BU221" s="30"/>
      <c r="BV221" s="113"/>
    </row>
    <row r="222" spans="1:74" ht="217.5" hidden="1" x14ac:dyDescent="0.35">
      <c r="A222" s="22">
        <v>6</v>
      </c>
      <c r="B222" s="22" t="s">
        <v>1451</v>
      </c>
      <c r="C222" s="22" t="s">
        <v>1452</v>
      </c>
      <c r="D222" s="22" t="s">
        <v>1224</v>
      </c>
      <c r="E222" s="22" t="s">
        <v>1453</v>
      </c>
      <c r="F222" s="22"/>
      <c r="G222" s="22" t="s">
        <v>1274</v>
      </c>
      <c r="H222" s="21" t="s">
        <v>1284</v>
      </c>
      <c r="I222" s="22"/>
      <c r="J222" s="21" t="s">
        <v>1579</v>
      </c>
      <c r="K222" s="30"/>
      <c r="L222" s="30" t="s">
        <v>1260</v>
      </c>
      <c r="M222" s="35" t="str">
        <f>VLOOKUP(H222,'1_Value &amp; risk levers'!$H$9:$O$1048576,2,FALSE)</f>
        <v>Not utilized</v>
      </c>
      <c r="N222" s="35" t="str">
        <f>VLOOKUP(H222,'1_Value &amp; risk levers'!$H$9:$O$1048576,3,FALSE)</f>
        <v>Basic usage for high-risk categories</v>
      </c>
      <c r="O222" s="35" t="str">
        <f>VLOOKUP(H222,'1_Value &amp; risk levers'!$H$9:$O$1048576,4,FALSE)</f>
        <v>Regularly employed for risk management</v>
      </c>
      <c r="P222" s="35" t="str">
        <f>VLOOKUP(H222,'1_Value &amp; risk levers'!$H$9:$O$1048576,5,FALSE)</f>
        <v>Strategically implemented with advanced forecasting</v>
      </c>
      <c r="Q222" s="77">
        <f>IF(VLOOKUP(H222,'1_Value &amp; risk levers'!$H$9:$T$1048576,13,FALSE)=0,"",VLOOKUP(H222,'1_Value &amp; risk levers'!$H$9:$T$1048576,13,FALSE))</f>
        <v>2</v>
      </c>
      <c r="R222" s="128">
        <f t="shared" si="66"/>
        <v>2</v>
      </c>
      <c r="S222" s="128" t="e">
        <f t="shared" si="67"/>
        <v>#DIV/0!</v>
      </c>
      <c r="T222" s="77"/>
      <c r="U222" s="77"/>
      <c r="V222" s="55"/>
      <c r="W222" s="71">
        <v>0.04</v>
      </c>
      <c r="X222" s="71">
        <v>0.1</v>
      </c>
      <c r="Y222" s="71">
        <f>VLOOKUP(H222,'1_Value &amp; risk levers'!$H$9:$O$1048576,8,FALSE)</f>
        <v>0.8</v>
      </c>
      <c r="Z222" s="51">
        <f t="shared" si="68"/>
        <v>7.0000000000000007E-2</v>
      </c>
      <c r="AA222" s="51">
        <f t="shared" si="70"/>
        <v>8.5000000000000006E-2</v>
      </c>
      <c r="AB222" s="55">
        <f t="shared" si="71"/>
        <v>2800000.0000000005</v>
      </c>
      <c r="AC222" s="55">
        <f t="shared" si="72"/>
        <v>3400000.0000000005</v>
      </c>
      <c r="AD222" s="80">
        <f t="shared" si="73"/>
        <v>7</v>
      </c>
      <c r="AE222" s="84">
        <f t="shared" si="74"/>
        <v>0.48864540816326468</v>
      </c>
      <c r="AF222" s="71" t="str">
        <f t="shared" si="75"/>
        <v>Low</v>
      </c>
      <c r="AG222" s="84">
        <f t="shared" si="76"/>
        <v>5.9772908163265304E-2</v>
      </c>
      <c r="AH222" s="84">
        <f t="shared" si="77"/>
        <v>9.5227091836734709E-2</v>
      </c>
      <c r="AI222" s="73">
        <f t="shared" si="78"/>
        <v>2390916.3265306121</v>
      </c>
      <c r="AJ222" s="73">
        <f t="shared" si="79"/>
        <v>3809083.6734693884</v>
      </c>
      <c r="AK222" s="46">
        <f>VLOOKUP(H222,'1_Value &amp; risk levers'!$H$9:$O$1048576,6,FALSE)</f>
        <v>0.02</v>
      </c>
      <c r="AL222" s="46">
        <f>VLOOKUP(H222,'1_Value &amp; risk levers'!$H$9:$O$1048576,7,FALSE)</f>
        <v>0.05</v>
      </c>
      <c r="AM222" s="50">
        <f t="shared" si="80"/>
        <v>3.5000000000000003E-2</v>
      </c>
      <c r="AN222" s="72">
        <f t="shared" si="81"/>
        <v>0.16279069767441862</v>
      </c>
      <c r="AO222" s="84">
        <f t="shared" si="82"/>
        <v>9.73047342192691E-3</v>
      </c>
      <c r="AP222" s="84">
        <f t="shared" si="83"/>
        <v>1.5502084717607978E-2</v>
      </c>
      <c r="AQ222" s="55">
        <f t="shared" si="84"/>
        <v>455813.95348837221</v>
      </c>
      <c r="AR222" s="55">
        <f t="shared" si="85"/>
        <v>553488.37209302338</v>
      </c>
      <c r="AS222" s="83">
        <f t="shared" si="69"/>
        <v>41</v>
      </c>
      <c r="AT222" s="50">
        <f t="shared" si="86"/>
        <v>3.3914285714285719</v>
      </c>
      <c r="AU222" s="55" t="str">
        <f t="shared" si="87"/>
        <v>Low</v>
      </c>
      <c r="AV222" s="34" t="s">
        <v>1495</v>
      </c>
      <c r="AW222" s="111"/>
      <c r="AX222" s="30" t="s">
        <v>1493</v>
      </c>
      <c r="AY222" s="30"/>
      <c r="AZ222" s="85" t="str">
        <f>IF(ISERROR(_xlfn.XLOOKUP(CONCATENATE(A222,"_",AV222),'Reference-Proof pt impact flag'!$I$3:$I$1048576,'Reference-Proof pt impact flag'!$G$3:$G$1048576)),"",_xlfn.XLOOKUP(CONCATENATE(A222,"_",AV222),'Reference-Proof pt impact flag'!$I$3:$I$1048576,'Reference-Proof pt impact flag'!$G$3:$G$1048576))</f>
        <v/>
      </c>
      <c r="BA222" s="74"/>
      <c r="BB222" s="74"/>
      <c r="BC222" s="74"/>
      <c r="BD222" s="74"/>
      <c r="BE222" s="74"/>
      <c r="BF222" s="74" t="e">
        <f>_xlfn.XLOOKUP(CONCATENATE(H222,"_",AV222),'Test 2 - Proof points - GPT5'!$T:$T,'Test 2 - Proof points - GPT5'!$S:$S)</f>
        <v>#N/A</v>
      </c>
      <c r="BG222" s="74" t="e">
        <f>_xlfn.XLOOKUP(CONCATENATE(H222,"_",AV222),'Test 2 -Proof points - Sonnet'!$AB:$AB,'Test 2 -Proof points - Sonnet'!$AA:$AA)</f>
        <v>#N/A</v>
      </c>
      <c r="BH222" s="74"/>
      <c r="BI222" s="74"/>
      <c r="BJ222" s="74" t="s">
        <v>1580</v>
      </c>
      <c r="BK222" s="30"/>
      <c r="BL222" s="30"/>
      <c r="BM222" s="30"/>
      <c r="BN222" s="30"/>
      <c r="BO222" s="30"/>
      <c r="BP222" s="30"/>
      <c r="BQ222" s="30"/>
      <c r="BR222" s="30"/>
      <c r="BS222" s="30"/>
      <c r="BT222" s="30"/>
      <c r="BU222" s="30"/>
      <c r="BV222" s="113"/>
    </row>
    <row r="223" spans="1:74" ht="217.5" hidden="1" x14ac:dyDescent="0.35">
      <c r="A223" s="22">
        <v>6</v>
      </c>
      <c r="B223" s="22" t="s">
        <v>1451</v>
      </c>
      <c r="C223" s="22" t="s">
        <v>1452</v>
      </c>
      <c r="D223" s="22" t="s">
        <v>1224</v>
      </c>
      <c r="E223" s="22" t="s">
        <v>1453</v>
      </c>
      <c r="F223" s="22"/>
      <c r="G223" s="22" t="s">
        <v>1274</v>
      </c>
      <c r="H223" s="21" t="s">
        <v>1284</v>
      </c>
      <c r="I223" s="22"/>
      <c r="J223" s="21" t="s">
        <v>1579</v>
      </c>
      <c r="K223" s="30"/>
      <c r="L223" s="30" t="s">
        <v>1260</v>
      </c>
      <c r="M223" s="35" t="str">
        <f>VLOOKUP(H223,'1_Value &amp; risk levers'!$H$9:$O$1048576,2,FALSE)</f>
        <v>Not utilized</v>
      </c>
      <c r="N223" s="35" t="str">
        <f>VLOOKUP(H223,'1_Value &amp; risk levers'!$H$9:$O$1048576,3,FALSE)</f>
        <v>Basic usage for high-risk categories</v>
      </c>
      <c r="O223" s="35" t="str">
        <f>VLOOKUP(H223,'1_Value &amp; risk levers'!$H$9:$O$1048576,4,FALSE)</f>
        <v>Regularly employed for risk management</v>
      </c>
      <c r="P223" s="35" t="str">
        <f>VLOOKUP(H223,'1_Value &amp; risk levers'!$H$9:$O$1048576,5,FALSE)</f>
        <v>Strategically implemented with advanced forecasting</v>
      </c>
      <c r="Q223" s="77">
        <f>IF(VLOOKUP(H223,'1_Value &amp; risk levers'!$H$9:$T$1048576,13,FALSE)=0,"",VLOOKUP(H223,'1_Value &amp; risk levers'!$H$9:$T$1048576,13,FALSE))</f>
        <v>2</v>
      </c>
      <c r="R223" s="128">
        <f t="shared" si="66"/>
        <v>2</v>
      </c>
      <c r="S223" s="128" t="e">
        <f t="shared" si="67"/>
        <v>#DIV/0!</v>
      </c>
      <c r="T223" s="77"/>
      <c r="U223" s="77"/>
      <c r="V223" s="55"/>
      <c r="W223" s="71">
        <v>0.04</v>
      </c>
      <c r="X223" s="71">
        <v>0.1</v>
      </c>
      <c r="Y223" s="71">
        <f>VLOOKUP(H223,'1_Value &amp; risk levers'!$H$9:$O$1048576,8,FALSE)</f>
        <v>0.8</v>
      </c>
      <c r="Z223" s="51">
        <f t="shared" si="68"/>
        <v>7.0000000000000007E-2</v>
      </c>
      <c r="AA223" s="51">
        <f t="shared" si="70"/>
        <v>8.5000000000000006E-2</v>
      </c>
      <c r="AB223" s="55">
        <f t="shared" si="71"/>
        <v>2800000.0000000005</v>
      </c>
      <c r="AC223" s="55">
        <f t="shared" si="72"/>
        <v>3400000.0000000005</v>
      </c>
      <c r="AD223" s="80">
        <f t="shared" si="73"/>
        <v>7</v>
      </c>
      <c r="AE223" s="84">
        <f t="shared" si="74"/>
        <v>0.48864540816326468</v>
      </c>
      <c r="AF223" s="71" t="str">
        <f t="shared" si="75"/>
        <v>Low</v>
      </c>
      <c r="AG223" s="84">
        <f t="shared" si="76"/>
        <v>5.9772908163265304E-2</v>
      </c>
      <c r="AH223" s="84">
        <f t="shared" si="77"/>
        <v>9.5227091836734709E-2</v>
      </c>
      <c r="AI223" s="73">
        <f t="shared" si="78"/>
        <v>2390916.3265306121</v>
      </c>
      <c r="AJ223" s="73">
        <f t="shared" si="79"/>
        <v>3809083.6734693884</v>
      </c>
      <c r="AK223" s="46">
        <f>VLOOKUP(H223,'1_Value &amp; risk levers'!$H$9:$O$1048576,6,FALSE)</f>
        <v>0.02</v>
      </c>
      <c r="AL223" s="46">
        <f>VLOOKUP(H223,'1_Value &amp; risk levers'!$H$9:$O$1048576,7,FALSE)</f>
        <v>0.05</v>
      </c>
      <c r="AM223" s="50">
        <f t="shared" si="80"/>
        <v>3.5000000000000003E-2</v>
      </c>
      <c r="AN223" s="72">
        <f t="shared" si="81"/>
        <v>0.16279069767441862</v>
      </c>
      <c r="AO223" s="84">
        <f t="shared" si="82"/>
        <v>9.73047342192691E-3</v>
      </c>
      <c r="AP223" s="84">
        <f t="shared" si="83"/>
        <v>1.5502084717607978E-2</v>
      </c>
      <c r="AQ223" s="55">
        <f t="shared" si="84"/>
        <v>455813.95348837221</v>
      </c>
      <c r="AR223" s="55">
        <f t="shared" si="85"/>
        <v>553488.37209302338</v>
      </c>
      <c r="AS223" s="83">
        <f t="shared" si="69"/>
        <v>41</v>
      </c>
      <c r="AT223" s="50">
        <f t="shared" si="86"/>
        <v>3.3914285714285719</v>
      </c>
      <c r="AU223" s="55" t="str">
        <f t="shared" si="87"/>
        <v>Low</v>
      </c>
      <c r="AV223" s="34" t="s">
        <v>1496</v>
      </c>
      <c r="AW223" s="111"/>
      <c r="AX223" s="30" t="s">
        <v>1493</v>
      </c>
      <c r="AY223" s="30"/>
      <c r="AZ223" s="85" t="str">
        <f>IF(ISERROR(_xlfn.XLOOKUP(CONCATENATE(A223,"_",AV223),'Reference-Proof pt impact flag'!$I$3:$I$1048576,'Reference-Proof pt impact flag'!$G$3:$G$1048576)),"",_xlfn.XLOOKUP(CONCATENATE(A223,"_",AV223),'Reference-Proof pt impact flag'!$I$3:$I$1048576,'Reference-Proof pt impact flag'!$G$3:$G$1048576))</f>
        <v/>
      </c>
      <c r="BA223" s="74"/>
      <c r="BB223" s="74"/>
      <c r="BC223" s="74"/>
      <c r="BD223" s="74"/>
      <c r="BE223" s="74"/>
      <c r="BF223" s="74" t="e">
        <f>_xlfn.XLOOKUP(CONCATENATE(H223,"_",AV223),'Test 2 - Proof points - GPT5'!$T:$T,'Test 2 - Proof points - GPT5'!$S:$S)</f>
        <v>#N/A</v>
      </c>
      <c r="BG223" s="74" t="e">
        <f>_xlfn.XLOOKUP(CONCATENATE(H223,"_",AV223),'Test 2 -Proof points - Sonnet'!$AB:$AB,'Test 2 -Proof points - Sonnet'!$AA:$AA)</f>
        <v>#N/A</v>
      </c>
      <c r="BH223" s="74"/>
      <c r="BI223" s="74"/>
      <c r="BJ223" s="74" t="s">
        <v>1580</v>
      </c>
      <c r="BK223" s="30"/>
      <c r="BL223" s="30"/>
      <c r="BM223" s="30"/>
      <c r="BN223" s="30"/>
      <c r="BO223" s="30"/>
      <c r="BP223" s="30"/>
      <c r="BQ223" s="30"/>
      <c r="BR223" s="30"/>
      <c r="BS223" s="30"/>
      <c r="BT223" s="30"/>
      <c r="BU223" s="30"/>
      <c r="BV223" s="113"/>
    </row>
    <row r="224" spans="1:74" ht="23.5" hidden="1" customHeight="1" x14ac:dyDescent="0.35">
      <c r="A224" s="22">
        <v>6</v>
      </c>
      <c r="B224" s="22" t="s">
        <v>1451</v>
      </c>
      <c r="C224" s="22" t="s">
        <v>1452</v>
      </c>
      <c r="D224" s="22" t="s">
        <v>1224</v>
      </c>
      <c r="E224" s="22" t="s">
        <v>1453</v>
      </c>
      <c r="F224" s="22"/>
      <c r="G224" s="22" t="s">
        <v>1274</v>
      </c>
      <c r="H224" s="21" t="s">
        <v>1284</v>
      </c>
      <c r="I224" s="22"/>
      <c r="J224" s="21" t="s">
        <v>1579</v>
      </c>
      <c r="K224" s="30"/>
      <c r="L224" s="30" t="s">
        <v>1260</v>
      </c>
      <c r="M224" s="35" t="str">
        <f>VLOOKUP(H224,'1_Value &amp; risk levers'!$H$9:$O$1048576,2,FALSE)</f>
        <v>Not utilized</v>
      </c>
      <c r="N224" s="35" t="str">
        <f>VLOOKUP(H224,'1_Value &amp; risk levers'!$H$9:$O$1048576,3,FALSE)</f>
        <v>Basic usage for high-risk categories</v>
      </c>
      <c r="O224" s="35" t="str">
        <f>VLOOKUP(H224,'1_Value &amp; risk levers'!$H$9:$O$1048576,4,FALSE)</f>
        <v>Regularly employed for risk management</v>
      </c>
      <c r="P224" s="35" t="str">
        <f>VLOOKUP(H224,'1_Value &amp; risk levers'!$H$9:$O$1048576,5,FALSE)</f>
        <v>Strategically implemented with advanced forecasting</v>
      </c>
      <c r="Q224" s="77">
        <f>IF(VLOOKUP(H224,'1_Value &amp; risk levers'!$H$9:$T$1048576,13,FALSE)=0,"",VLOOKUP(H224,'1_Value &amp; risk levers'!$H$9:$T$1048576,13,FALSE))</f>
        <v>2</v>
      </c>
      <c r="R224" s="128">
        <f t="shared" si="66"/>
        <v>2</v>
      </c>
      <c r="S224" s="128" t="e">
        <f t="shared" si="67"/>
        <v>#DIV/0!</v>
      </c>
      <c r="T224" s="77"/>
      <c r="U224" s="77"/>
      <c r="V224" s="55"/>
      <c r="W224" s="71">
        <v>0.04</v>
      </c>
      <c r="X224" s="71">
        <v>0.1</v>
      </c>
      <c r="Y224" s="71">
        <f>VLOOKUP(H224,'1_Value &amp; risk levers'!$H$9:$O$1048576,8,FALSE)</f>
        <v>0.8</v>
      </c>
      <c r="Z224" s="51">
        <f t="shared" si="68"/>
        <v>7.0000000000000007E-2</v>
      </c>
      <c r="AA224" s="51">
        <f t="shared" si="70"/>
        <v>8.5000000000000006E-2</v>
      </c>
      <c r="AB224" s="55">
        <f t="shared" si="71"/>
        <v>2800000.0000000005</v>
      </c>
      <c r="AC224" s="55">
        <f t="shared" si="72"/>
        <v>3400000.0000000005</v>
      </c>
      <c r="AD224" s="80">
        <f t="shared" si="73"/>
        <v>7</v>
      </c>
      <c r="AE224" s="84">
        <f t="shared" si="74"/>
        <v>0.48864540816326468</v>
      </c>
      <c r="AF224" s="71" t="str">
        <f t="shared" si="75"/>
        <v>Low</v>
      </c>
      <c r="AG224" s="84">
        <f t="shared" si="76"/>
        <v>5.9772908163265304E-2</v>
      </c>
      <c r="AH224" s="84">
        <f t="shared" si="77"/>
        <v>9.5227091836734709E-2</v>
      </c>
      <c r="AI224" s="73">
        <f t="shared" si="78"/>
        <v>2390916.3265306121</v>
      </c>
      <c r="AJ224" s="73">
        <f t="shared" si="79"/>
        <v>3809083.6734693884</v>
      </c>
      <c r="AK224" s="46">
        <f>VLOOKUP(H224,'1_Value &amp; risk levers'!$H$9:$O$1048576,6,FALSE)</f>
        <v>0.02</v>
      </c>
      <c r="AL224" s="46">
        <f>VLOOKUP(H224,'1_Value &amp; risk levers'!$H$9:$O$1048576,7,FALSE)</f>
        <v>0.05</v>
      </c>
      <c r="AM224" s="50">
        <f t="shared" si="80"/>
        <v>3.5000000000000003E-2</v>
      </c>
      <c r="AN224" s="72">
        <f t="shared" si="81"/>
        <v>0.16279069767441862</v>
      </c>
      <c r="AO224" s="84">
        <f t="shared" si="82"/>
        <v>9.73047342192691E-3</v>
      </c>
      <c r="AP224" s="84">
        <f t="shared" si="83"/>
        <v>1.5502084717607978E-2</v>
      </c>
      <c r="AQ224" s="55">
        <f t="shared" si="84"/>
        <v>455813.95348837221</v>
      </c>
      <c r="AR224" s="55">
        <f t="shared" si="85"/>
        <v>553488.37209302338</v>
      </c>
      <c r="AS224" s="83">
        <f t="shared" si="69"/>
        <v>41</v>
      </c>
      <c r="AT224" s="50">
        <f t="shared" si="86"/>
        <v>3.3914285714285719</v>
      </c>
      <c r="AU224" s="55" t="str">
        <f t="shared" si="87"/>
        <v>Low</v>
      </c>
      <c r="AV224" s="34" t="s">
        <v>1499</v>
      </c>
      <c r="AW224" s="111"/>
      <c r="AX224" s="30" t="s">
        <v>1493</v>
      </c>
      <c r="AY224" s="114" t="s">
        <v>1590</v>
      </c>
      <c r="AZ224" s="85" t="str">
        <f>IF(ISERROR(_xlfn.XLOOKUP(CONCATENATE(A224,"_",AV224),'Reference-Proof pt impact flag'!$I$3:$I$1048576,'Reference-Proof pt impact flag'!$G$3:$G$1048576)),"",_xlfn.XLOOKUP(CONCATENATE(A224,"_",AV224),'Reference-Proof pt impact flag'!$I$3:$I$1048576,'Reference-Proof pt impact flag'!$G$3:$G$1048576))</f>
        <v>Low</v>
      </c>
      <c r="BA224" s="27" t="s">
        <v>1458</v>
      </c>
      <c r="BB224" s="30" t="s">
        <v>1446</v>
      </c>
      <c r="BC224" s="27" t="s">
        <v>1591</v>
      </c>
      <c r="BD224" s="85" t="s">
        <v>327</v>
      </c>
      <c r="BE224" s="74" t="s">
        <v>1592</v>
      </c>
      <c r="BF224" s="74" t="str">
        <f>_xlfn.XLOOKUP(CONCATENATE(H224,"_",AV224),'Test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BG224" s="74" t="e">
        <f>_xlfn.XLOOKUP(CONCATENATE(H224,"_",AV224),'Test 2 -Proof points - Sonnet'!$AB:$AB,'Test 2 -Proof points - Sonnet'!$AA:$AA)</f>
        <v>#N/A</v>
      </c>
      <c r="BH224" s="74" t="s">
        <v>1586</v>
      </c>
      <c r="BI224" s="74"/>
      <c r="BJ224" s="74" t="s">
        <v>1580</v>
      </c>
      <c r="BK224" s="30"/>
      <c r="BL224" s="30"/>
      <c r="BM224" s="30"/>
      <c r="BN224" s="30"/>
      <c r="BO224" s="30"/>
      <c r="BP224" s="30"/>
      <c r="BQ224" s="30"/>
      <c r="BR224" s="30"/>
      <c r="BS224" s="30"/>
      <c r="BT224" s="30"/>
      <c r="BU224" s="30"/>
      <c r="BV224" s="113" t="s">
        <v>132</v>
      </c>
    </row>
    <row r="225" spans="1:74" ht="217.5" hidden="1" x14ac:dyDescent="0.35">
      <c r="A225" s="22">
        <v>6</v>
      </c>
      <c r="B225" s="22" t="s">
        <v>1451</v>
      </c>
      <c r="C225" s="22" t="s">
        <v>1452</v>
      </c>
      <c r="D225" s="22" t="s">
        <v>1224</v>
      </c>
      <c r="E225" s="22" t="s">
        <v>1453</v>
      </c>
      <c r="F225" s="22"/>
      <c r="G225" s="22" t="s">
        <v>1274</v>
      </c>
      <c r="H225" s="21" t="s">
        <v>1284</v>
      </c>
      <c r="I225" s="22"/>
      <c r="J225" s="21" t="s">
        <v>1579</v>
      </c>
      <c r="K225" s="30"/>
      <c r="L225" s="30" t="s">
        <v>1260</v>
      </c>
      <c r="M225" s="35" t="str">
        <f>VLOOKUP(H225,'1_Value &amp; risk levers'!$H$9:$O$1048576,2,FALSE)</f>
        <v>Not utilized</v>
      </c>
      <c r="N225" s="35" t="str">
        <f>VLOOKUP(H225,'1_Value &amp; risk levers'!$H$9:$O$1048576,3,FALSE)</f>
        <v>Basic usage for high-risk categories</v>
      </c>
      <c r="O225" s="35" t="str">
        <f>VLOOKUP(H225,'1_Value &amp; risk levers'!$H$9:$O$1048576,4,FALSE)</f>
        <v>Regularly employed for risk management</v>
      </c>
      <c r="P225" s="35" t="str">
        <f>VLOOKUP(H225,'1_Value &amp; risk levers'!$H$9:$O$1048576,5,FALSE)</f>
        <v>Strategically implemented with advanced forecasting</v>
      </c>
      <c r="Q225" s="77">
        <f>IF(VLOOKUP(H225,'1_Value &amp; risk levers'!$H$9:$T$1048576,13,FALSE)=0,"",VLOOKUP(H225,'1_Value &amp; risk levers'!$H$9:$T$1048576,13,FALSE))</f>
        <v>2</v>
      </c>
      <c r="R225" s="128">
        <f t="shared" si="66"/>
        <v>2</v>
      </c>
      <c r="S225" s="128" t="e">
        <f t="shared" si="67"/>
        <v>#DIV/0!</v>
      </c>
      <c r="T225" s="77"/>
      <c r="U225" s="77"/>
      <c r="V225" s="55"/>
      <c r="W225" s="71">
        <v>0.04</v>
      </c>
      <c r="X225" s="71">
        <v>0.1</v>
      </c>
      <c r="Y225" s="71">
        <f>VLOOKUP(H225,'1_Value &amp; risk levers'!$H$9:$O$1048576,8,FALSE)</f>
        <v>0.8</v>
      </c>
      <c r="Z225" s="51">
        <f t="shared" si="68"/>
        <v>7.0000000000000007E-2</v>
      </c>
      <c r="AA225" s="51">
        <f t="shared" si="70"/>
        <v>8.5000000000000006E-2</v>
      </c>
      <c r="AB225" s="55">
        <f t="shared" si="71"/>
        <v>2800000.0000000005</v>
      </c>
      <c r="AC225" s="55">
        <f t="shared" si="72"/>
        <v>3400000.0000000005</v>
      </c>
      <c r="AD225" s="80">
        <f t="shared" si="73"/>
        <v>7</v>
      </c>
      <c r="AE225" s="84">
        <f t="shared" si="74"/>
        <v>0.48864540816326468</v>
      </c>
      <c r="AF225" s="71" t="str">
        <f t="shared" si="75"/>
        <v>Low</v>
      </c>
      <c r="AG225" s="84">
        <f t="shared" si="76"/>
        <v>5.9772908163265304E-2</v>
      </c>
      <c r="AH225" s="84">
        <f t="shared" si="77"/>
        <v>9.5227091836734709E-2</v>
      </c>
      <c r="AI225" s="73">
        <f t="shared" si="78"/>
        <v>2390916.3265306121</v>
      </c>
      <c r="AJ225" s="73">
        <f t="shared" si="79"/>
        <v>3809083.6734693884</v>
      </c>
      <c r="AK225" s="46">
        <f>VLOOKUP(H225,'1_Value &amp; risk levers'!$H$9:$O$1048576,6,FALSE)</f>
        <v>0.02</v>
      </c>
      <c r="AL225" s="46">
        <f>VLOOKUP(H225,'1_Value &amp; risk levers'!$H$9:$O$1048576,7,FALSE)</f>
        <v>0.05</v>
      </c>
      <c r="AM225" s="50">
        <f t="shared" si="80"/>
        <v>3.5000000000000003E-2</v>
      </c>
      <c r="AN225" s="72">
        <f t="shared" si="81"/>
        <v>0.16279069767441862</v>
      </c>
      <c r="AO225" s="84">
        <f t="shared" si="82"/>
        <v>9.73047342192691E-3</v>
      </c>
      <c r="AP225" s="84">
        <f t="shared" si="83"/>
        <v>1.5502084717607978E-2</v>
      </c>
      <c r="AQ225" s="55">
        <f t="shared" si="84"/>
        <v>455813.95348837221</v>
      </c>
      <c r="AR225" s="55">
        <f t="shared" si="85"/>
        <v>553488.37209302338</v>
      </c>
      <c r="AS225" s="83">
        <f t="shared" si="69"/>
        <v>41</v>
      </c>
      <c r="AT225" s="50">
        <f t="shared" si="86"/>
        <v>3.3914285714285719</v>
      </c>
      <c r="AU225" s="55" t="str">
        <f t="shared" si="87"/>
        <v>Low</v>
      </c>
      <c r="AV225" s="34" t="s">
        <v>1500</v>
      </c>
      <c r="AW225" s="111"/>
      <c r="AX225" s="30" t="s">
        <v>1493</v>
      </c>
      <c r="AY225" s="30"/>
      <c r="AZ225" s="85" t="str">
        <f>IF(ISERROR(_xlfn.XLOOKUP(CONCATENATE(A225,"_",AV225),'Reference-Proof pt impact flag'!$I$3:$I$1048576,'Reference-Proof pt impact flag'!$G$3:$G$1048576)),"",_xlfn.XLOOKUP(CONCATENATE(A225,"_",AV225),'Reference-Proof pt impact flag'!$I$3:$I$1048576,'Reference-Proof pt impact flag'!$G$3:$G$1048576))</f>
        <v/>
      </c>
      <c r="BA225" s="74"/>
      <c r="BB225" s="74"/>
      <c r="BC225" s="74"/>
      <c r="BD225" s="74"/>
      <c r="BE225" s="74"/>
      <c r="BF225" s="74" t="e">
        <f>_xlfn.XLOOKUP(CONCATENATE(H225,"_",AV225),'Test 2 - Proof points - GPT5'!$T:$T,'Test 2 - Proof points - GPT5'!$S:$S)</f>
        <v>#N/A</v>
      </c>
      <c r="BG225" s="74" t="e">
        <f>_xlfn.XLOOKUP(CONCATENATE(H225,"_",AV225),'Test 2 -Proof points - Sonnet'!$AB:$AB,'Test 2 -Proof points - Sonnet'!$AA:$AA)</f>
        <v>#N/A</v>
      </c>
      <c r="BH225" s="74"/>
      <c r="BI225" s="74"/>
      <c r="BJ225" s="74" t="s">
        <v>1580</v>
      </c>
      <c r="BK225" s="30"/>
      <c r="BL225" s="30"/>
      <c r="BM225" s="30"/>
      <c r="BN225" s="30"/>
      <c r="BO225" s="30"/>
      <c r="BP225" s="30"/>
      <c r="BQ225" s="30"/>
      <c r="BR225" s="30"/>
      <c r="BS225" s="30"/>
      <c r="BT225" s="30"/>
      <c r="BU225" s="30"/>
      <c r="BV225" s="113"/>
    </row>
    <row r="226" spans="1:74" ht="217.5" hidden="1" x14ac:dyDescent="0.35">
      <c r="A226" s="22">
        <v>6</v>
      </c>
      <c r="B226" s="22" t="s">
        <v>1451</v>
      </c>
      <c r="C226" s="22" t="s">
        <v>1452</v>
      </c>
      <c r="D226" s="22" t="s">
        <v>1224</v>
      </c>
      <c r="E226" s="22" t="s">
        <v>1453</v>
      </c>
      <c r="F226" s="22"/>
      <c r="G226" s="22" t="s">
        <v>1274</v>
      </c>
      <c r="H226" s="21" t="s">
        <v>1284</v>
      </c>
      <c r="I226" s="22"/>
      <c r="J226" s="21" t="s">
        <v>1579</v>
      </c>
      <c r="K226" s="30"/>
      <c r="L226" s="30" t="s">
        <v>1260</v>
      </c>
      <c r="M226" s="35" t="str">
        <f>VLOOKUP(H226,'1_Value &amp; risk levers'!$H$9:$O$1048576,2,FALSE)</f>
        <v>Not utilized</v>
      </c>
      <c r="N226" s="35" t="str">
        <f>VLOOKUP(H226,'1_Value &amp; risk levers'!$H$9:$O$1048576,3,FALSE)</f>
        <v>Basic usage for high-risk categories</v>
      </c>
      <c r="O226" s="35" t="str">
        <f>VLOOKUP(H226,'1_Value &amp; risk levers'!$H$9:$O$1048576,4,FALSE)</f>
        <v>Regularly employed for risk management</v>
      </c>
      <c r="P226" s="35" t="str">
        <f>VLOOKUP(H226,'1_Value &amp; risk levers'!$H$9:$O$1048576,5,FALSE)</f>
        <v>Strategically implemented with advanced forecasting</v>
      </c>
      <c r="Q226" s="77">
        <f>IF(VLOOKUP(H226,'1_Value &amp; risk levers'!$H$9:$T$1048576,13,FALSE)=0,"",VLOOKUP(H226,'1_Value &amp; risk levers'!$H$9:$T$1048576,13,FALSE))</f>
        <v>2</v>
      </c>
      <c r="R226" s="128">
        <f t="shared" si="66"/>
        <v>2</v>
      </c>
      <c r="S226" s="128" t="e">
        <f t="shared" si="67"/>
        <v>#DIV/0!</v>
      </c>
      <c r="T226" s="77"/>
      <c r="U226" s="77"/>
      <c r="V226" s="55"/>
      <c r="W226" s="71">
        <v>0.04</v>
      </c>
      <c r="X226" s="71">
        <v>0.1</v>
      </c>
      <c r="Y226" s="71">
        <f>VLOOKUP(H226,'1_Value &amp; risk levers'!$H$9:$O$1048576,8,FALSE)</f>
        <v>0.8</v>
      </c>
      <c r="Z226" s="51">
        <f t="shared" si="68"/>
        <v>7.0000000000000007E-2</v>
      </c>
      <c r="AA226" s="51">
        <f t="shared" si="70"/>
        <v>8.5000000000000006E-2</v>
      </c>
      <c r="AB226" s="55">
        <f t="shared" si="71"/>
        <v>2800000.0000000005</v>
      </c>
      <c r="AC226" s="55">
        <f t="shared" si="72"/>
        <v>3400000.0000000005</v>
      </c>
      <c r="AD226" s="80">
        <f t="shared" si="73"/>
        <v>7</v>
      </c>
      <c r="AE226" s="84">
        <f t="shared" si="74"/>
        <v>0.48864540816326468</v>
      </c>
      <c r="AF226" s="71" t="str">
        <f t="shared" si="75"/>
        <v>Low</v>
      </c>
      <c r="AG226" s="84">
        <f t="shared" si="76"/>
        <v>5.9772908163265304E-2</v>
      </c>
      <c r="AH226" s="84">
        <f t="shared" si="77"/>
        <v>9.5227091836734709E-2</v>
      </c>
      <c r="AI226" s="73">
        <f t="shared" si="78"/>
        <v>2390916.3265306121</v>
      </c>
      <c r="AJ226" s="73">
        <f t="shared" si="79"/>
        <v>3809083.6734693884</v>
      </c>
      <c r="AK226" s="46">
        <f>VLOOKUP(H226,'1_Value &amp; risk levers'!$H$9:$O$1048576,6,FALSE)</f>
        <v>0.02</v>
      </c>
      <c r="AL226" s="46">
        <f>VLOOKUP(H226,'1_Value &amp; risk levers'!$H$9:$O$1048576,7,FALSE)</f>
        <v>0.05</v>
      </c>
      <c r="AM226" s="50">
        <f t="shared" si="80"/>
        <v>3.5000000000000003E-2</v>
      </c>
      <c r="AN226" s="72">
        <f t="shared" si="81"/>
        <v>0.16279069767441862</v>
      </c>
      <c r="AO226" s="84">
        <f t="shared" si="82"/>
        <v>9.73047342192691E-3</v>
      </c>
      <c r="AP226" s="84">
        <f t="shared" si="83"/>
        <v>1.5502084717607978E-2</v>
      </c>
      <c r="AQ226" s="55">
        <f t="shared" si="84"/>
        <v>455813.95348837221</v>
      </c>
      <c r="AR226" s="55">
        <f t="shared" si="85"/>
        <v>553488.37209302338</v>
      </c>
      <c r="AS226" s="83">
        <f t="shared" si="69"/>
        <v>41</v>
      </c>
      <c r="AT226" s="50">
        <f t="shared" si="86"/>
        <v>3.3914285714285719</v>
      </c>
      <c r="AU226" s="55" t="str">
        <f t="shared" si="87"/>
        <v>Low</v>
      </c>
      <c r="AV226" s="34" t="s">
        <v>1501</v>
      </c>
      <c r="AW226" s="111"/>
      <c r="AX226" s="30" t="s">
        <v>1493</v>
      </c>
      <c r="AY226" s="30"/>
      <c r="AZ226" s="85" t="str">
        <f>IF(ISERROR(_xlfn.XLOOKUP(CONCATENATE(A226,"_",AV226),'Reference-Proof pt impact flag'!$I$3:$I$1048576,'Reference-Proof pt impact flag'!$G$3:$G$1048576)),"",_xlfn.XLOOKUP(CONCATENATE(A226,"_",AV226),'Reference-Proof pt impact flag'!$I$3:$I$1048576,'Reference-Proof pt impact flag'!$G$3:$G$1048576))</f>
        <v/>
      </c>
      <c r="BA226" s="74"/>
      <c r="BB226" s="74"/>
      <c r="BC226" s="74"/>
      <c r="BD226" s="74"/>
      <c r="BE226" s="74"/>
      <c r="BF226" s="74" t="e">
        <f>_xlfn.XLOOKUP(CONCATENATE(H226,"_",AV226),'Test 2 - Proof points - GPT5'!$T:$T,'Test 2 - Proof points - GPT5'!$S:$S)</f>
        <v>#N/A</v>
      </c>
      <c r="BG226" s="74" t="e">
        <f>_xlfn.XLOOKUP(CONCATENATE(H226,"_",AV226),'Test 2 -Proof points - Sonnet'!$AB:$AB,'Test 2 -Proof points - Sonnet'!$AA:$AA)</f>
        <v>#N/A</v>
      </c>
      <c r="BH226" s="74"/>
      <c r="BI226" s="74"/>
      <c r="BJ226" s="74" t="s">
        <v>1580</v>
      </c>
      <c r="BK226" s="30"/>
      <c r="BL226" s="30"/>
      <c r="BM226" s="30"/>
      <c r="BN226" s="30"/>
      <c r="BO226" s="30"/>
      <c r="BP226" s="30"/>
      <c r="BQ226" s="30"/>
      <c r="BR226" s="30"/>
      <c r="BS226" s="30"/>
      <c r="BT226" s="30"/>
      <c r="BU226" s="30"/>
      <c r="BV226" s="113"/>
    </row>
    <row r="227" spans="1:74" ht="217.5" hidden="1" x14ac:dyDescent="0.35">
      <c r="A227" s="22">
        <v>6</v>
      </c>
      <c r="B227" s="22" t="s">
        <v>1451</v>
      </c>
      <c r="C227" s="22" t="s">
        <v>1452</v>
      </c>
      <c r="D227" s="22" t="s">
        <v>1224</v>
      </c>
      <c r="E227" s="22" t="s">
        <v>1453</v>
      </c>
      <c r="F227" s="22"/>
      <c r="G227" s="22" t="s">
        <v>1274</v>
      </c>
      <c r="H227" s="21" t="s">
        <v>1284</v>
      </c>
      <c r="I227" s="22"/>
      <c r="J227" s="21" t="s">
        <v>1579</v>
      </c>
      <c r="K227" s="30"/>
      <c r="L227" s="30" t="s">
        <v>1260</v>
      </c>
      <c r="M227" s="35" t="str">
        <f>VLOOKUP(H227,'1_Value &amp; risk levers'!$H$9:$O$1048576,2,FALSE)</f>
        <v>Not utilized</v>
      </c>
      <c r="N227" s="35" t="str">
        <f>VLOOKUP(H227,'1_Value &amp; risk levers'!$H$9:$O$1048576,3,FALSE)</f>
        <v>Basic usage for high-risk categories</v>
      </c>
      <c r="O227" s="35" t="str">
        <f>VLOOKUP(H227,'1_Value &amp; risk levers'!$H$9:$O$1048576,4,FALSE)</f>
        <v>Regularly employed for risk management</v>
      </c>
      <c r="P227" s="35" t="str">
        <f>VLOOKUP(H227,'1_Value &amp; risk levers'!$H$9:$O$1048576,5,FALSE)</f>
        <v>Strategically implemented with advanced forecasting</v>
      </c>
      <c r="Q227" s="77">
        <f>IF(VLOOKUP(H227,'1_Value &amp; risk levers'!$H$9:$T$1048576,13,FALSE)=0,"",VLOOKUP(H227,'1_Value &amp; risk levers'!$H$9:$T$1048576,13,FALSE))</f>
        <v>2</v>
      </c>
      <c r="R227" s="128">
        <f t="shared" si="66"/>
        <v>2</v>
      </c>
      <c r="S227" s="128" t="e">
        <f t="shared" si="67"/>
        <v>#DIV/0!</v>
      </c>
      <c r="T227" s="77"/>
      <c r="U227" s="77"/>
      <c r="V227" s="55"/>
      <c r="W227" s="71">
        <v>0.04</v>
      </c>
      <c r="X227" s="71">
        <v>0.1</v>
      </c>
      <c r="Y227" s="71">
        <f>VLOOKUP(H227,'1_Value &amp; risk levers'!$H$9:$O$1048576,8,FALSE)</f>
        <v>0.8</v>
      </c>
      <c r="Z227" s="51">
        <f t="shared" si="68"/>
        <v>7.0000000000000007E-2</v>
      </c>
      <c r="AA227" s="51">
        <f t="shared" si="70"/>
        <v>8.5000000000000006E-2</v>
      </c>
      <c r="AB227" s="55">
        <f t="shared" si="71"/>
        <v>2800000.0000000005</v>
      </c>
      <c r="AC227" s="55">
        <f t="shared" si="72"/>
        <v>3400000.0000000005</v>
      </c>
      <c r="AD227" s="80">
        <f t="shared" si="73"/>
        <v>7</v>
      </c>
      <c r="AE227" s="84">
        <f t="shared" si="74"/>
        <v>0.48864540816326468</v>
      </c>
      <c r="AF227" s="71" t="str">
        <f t="shared" si="75"/>
        <v>Low</v>
      </c>
      <c r="AG227" s="84">
        <f t="shared" si="76"/>
        <v>5.9772908163265304E-2</v>
      </c>
      <c r="AH227" s="84">
        <f t="shared" si="77"/>
        <v>9.5227091836734709E-2</v>
      </c>
      <c r="AI227" s="73">
        <f t="shared" si="78"/>
        <v>2390916.3265306121</v>
      </c>
      <c r="AJ227" s="73">
        <f t="shared" si="79"/>
        <v>3809083.6734693884</v>
      </c>
      <c r="AK227" s="46">
        <f>VLOOKUP(H227,'1_Value &amp; risk levers'!$H$9:$O$1048576,6,FALSE)</f>
        <v>0.02</v>
      </c>
      <c r="AL227" s="46">
        <f>VLOOKUP(H227,'1_Value &amp; risk levers'!$H$9:$O$1048576,7,FALSE)</f>
        <v>0.05</v>
      </c>
      <c r="AM227" s="50">
        <f t="shared" si="80"/>
        <v>3.5000000000000003E-2</v>
      </c>
      <c r="AN227" s="72">
        <f t="shared" si="81"/>
        <v>0.16279069767441862</v>
      </c>
      <c r="AO227" s="84">
        <f t="shared" si="82"/>
        <v>9.73047342192691E-3</v>
      </c>
      <c r="AP227" s="84">
        <f t="shared" si="83"/>
        <v>1.5502084717607978E-2</v>
      </c>
      <c r="AQ227" s="55">
        <f t="shared" si="84"/>
        <v>455813.95348837221</v>
      </c>
      <c r="AR227" s="55">
        <f t="shared" si="85"/>
        <v>553488.37209302338</v>
      </c>
      <c r="AS227" s="83">
        <f t="shared" si="69"/>
        <v>41</v>
      </c>
      <c r="AT227" s="50">
        <f t="shared" si="86"/>
        <v>3.3914285714285719</v>
      </c>
      <c r="AU227" s="55" t="str">
        <f t="shared" si="87"/>
        <v>Low</v>
      </c>
      <c r="AV227" s="34" t="s">
        <v>1502</v>
      </c>
      <c r="AW227" s="111"/>
      <c r="AX227" s="30" t="s">
        <v>1493</v>
      </c>
      <c r="AY227" s="30"/>
      <c r="AZ227" s="85" t="str">
        <f>IF(ISERROR(_xlfn.XLOOKUP(CONCATENATE(A227,"_",AV227),'Reference-Proof pt impact flag'!$I$3:$I$1048576,'Reference-Proof pt impact flag'!$G$3:$G$1048576)),"",_xlfn.XLOOKUP(CONCATENATE(A227,"_",AV227),'Reference-Proof pt impact flag'!$I$3:$I$1048576,'Reference-Proof pt impact flag'!$G$3:$G$1048576))</f>
        <v/>
      </c>
      <c r="BA227" s="74"/>
      <c r="BB227" s="74"/>
      <c r="BC227" s="74"/>
      <c r="BD227" s="74"/>
      <c r="BE227" s="74"/>
      <c r="BF227" s="74" t="e">
        <f>_xlfn.XLOOKUP(CONCATENATE(H227,"_",AV227),'Test 2 - Proof points - GPT5'!$T:$T,'Test 2 - Proof points - GPT5'!$S:$S)</f>
        <v>#N/A</v>
      </c>
      <c r="BG227" s="74" t="e">
        <f>_xlfn.XLOOKUP(CONCATENATE(H227,"_",AV227),'Test 2 -Proof points - Sonnet'!$AB:$AB,'Test 2 -Proof points - Sonnet'!$AA:$AA)</f>
        <v>#N/A</v>
      </c>
      <c r="BH227" s="74"/>
      <c r="BI227" s="74"/>
      <c r="BJ227" s="74" t="s">
        <v>1580</v>
      </c>
      <c r="BK227" s="30"/>
      <c r="BL227" s="30"/>
      <c r="BM227" s="30"/>
      <c r="BN227" s="30"/>
      <c r="BO227" s="30"/>
      <c r="BP227" s="30"/>
      <c r="BQ227" s="30"/>
      <c r="BR227" s="30"/>
      <c r="BS227" s="30"/>
      <c r="BT227" s="30"/>
      <c r="BU227" s="30"/>
      <c r="BV227" s="113"/>
    </row>
    <row r="228" spans="1:74" ht="217.5" hidden="1" x14ac:dyDescent="0.35">
      <c r="A228" s="22">
        <v>6</v>
      </c>
      <c r="B228" s="22" t="s">
        <v>1451</v>
      </c>
      <c r="C228" s="22" t="s">
        <v>1452</v>
      </c>
      <c r="D228" s="22" t="s">
        <v>1224</v>
      </c>
      <c r="E228" s="22" t="s">
        <v>1453</v>
      </c>
      <c r="F228" s="22"/>
      <c r="G228" s="22" t="s">
        <v>1274</v>
      </c>
      <c r="H228" s="21" t="s">
        <v>1284</v>
      </c>
      <c r="I228" s="22"/>
      <c r="J228" s="21" t="s">
        <v>1579</v>
      </c>
      <c r="K228" s="30"/>
      <c r="L228" s="30" t="s">
        <v>1260</v>
      </c>
      <c r="M228" s="35" t="str">
        <f>VLOOKUP(H228,'1_Value &amp; risk levers'!$H$9:$O$1048576,2,FALSE)</f>
        <v>Not utilized</v>
      </c>
      <c r="N228" s="35" t="str">
        <f>VLOOKUP(H228,'1_Value &amp; risk levers'!$H$9:$O$1048576,3,FALSE)</f>
        <v>Basic usage for high-risk categories</v>
      </c>
      <c r="O228" s="35" t="str">
        <f>VLOOKUP(H228,'1_Value &amp; risk levers'!$H$9:$O$1048576,4,FALSE)</f>
        <v>Regularly employed for risk management</v>
      </c>
      <c r="P228" s="35" t="str">
        <f>VLOOKUP(H228,'1_Value &amp; risk levers'!$H$9:$O$1048576,5,FALSE)</f>
        <v>Strategically implemented with advanced forecasting</v>
      </c>
      <c r="Q228" s="77">
        <f>IF(VLOOKUP(H228,'1_Value &amp; risk levers'!$H$9:$T$1048576,13,FALSE)=0,"",VLOOKUP(H228,'1_Value &amp; risk levers'!$H$9:$T$1048576,13,FALSE))</f>
        <v>2</v>
      </c>
      <c r="R228" s="128">
        <f t="shared" si="66"/>
        <v>2</v>
      </c>
      <c r="S228" s="128" t="e">
        <f t="shared" si="67"/>
        <v>#DIV/0!</v>
      </c>
      <c r="T228" s="77"/>
      <c r="U228" s="77"/>
      <c r="V228" s="55"/>
      <c r="W228" s="71">
        <v>0.04</v>
      </c>
      <c r="X228" s="71">
        <v>0.1</v>
      </c>
      <c r="Y228" s="71">
        <f>VLOOKUP(H228,'1_Value &amp; risk levers'!$H$9:$O$1048576,8,FALSE)</f>
        <v>0.8</v>
      </c>
      <c r="Z228" s="51">
        <f t="shared" si="68"/>
        <v>7.0000000000000007E-2</v>
      </c>
      <c r="AA228" s="51">
        <f t="shared" si="70"/>
        <v>8.5000000000000006E-2</v>
      </c>
      <c r="AB228" s="55">
        <f t="shared" si="71"/>
        <v>2800000.0000000005</v>
      </c>
      <c r="AC228" s="55">
        <f t="shared" si="72"/>
        <v>3400000.0000000005</v>
      </c>
      <c r="AD228" s="80">
        <f t="shared" si="73"/>
        <v>7</v>
      </c>
      <c r="AE228" s="84">
        <f t="shared" si="74"/>
        <v>0.48864540816326468</v>
      </c>
      <c r="AF228" s="71" t="str">
        <f t="shared" si="75"/>
        <v>Low</v>
      </c>
      <c r="AG228" s="84">
        <f t="shared" si="76"/>
        <v>5.9772908163265304E-2</v>
      </c>
      <c r="AH228" s="84">
        <f t="shared" si="77"/>
        <v>9.5227091836734709E-2</v>
      </c>
      <c r="AI228" s="73">
        <f t="shared" si="78"/>
        <v>2390916.3265306121</v>
      </c>
      <c r="AJ228" s="73">
        <f t="shared" si="79"/>
        <v>3809083.6734693884</v>
      </c>
      <c r="AK228" s="46">
        <f>VLOOKUP(H228,'1_Value &amp; risk levers'!$H$9:$O$1048576,6,FALSE)</f>
        <v>0.02</v>
      </c>
      <c r="AL228" s="46">
        <f>VLOOKUP(H228,'1_Value &amp; risk levers'!$H$9:$O$1048576,7,FALSE)</f>
        <v>0.05</v>
      </c>
      <c r="AM228" s="50">
        <f t="shared" si="80"/>
        <v>3.5000000000000003E-2</v>
      </c>
      <c r="AN228" s="72">
        <f t="shared" si="81"/>
        <v>0.16279069767441862</v>
      </c>
      <c r="AO228" s="84">
        <f t="shared" si="82"/>
        <v>9.73047342192691E-3</v>
      </c>
      <c r="AP228" s="84">
        <f t="shared" si="83"/>
        <v>1.5502084717607978E-2</v>
      </c>
      <c r="AQ228" s="55">
        <f t="shared" si="84"/>
        <v>455813.95348837221</v>
      </c>
      <c r="AR228" s="55">
        <f t="shared" si="85"/>
        <v>553488.37209302338</v>
      </c>
      <c r="AS228" s="83">
        <f t="shared" si="69"/>
        <v>41</v>
      </c>
      <c r="AT228" s="50">
        <f t="shared" si="86"/>
        <v>3.3914285714285719</v>
      </c>
      <c r="AU228" s="55" t="str">
        <f t="shared" si="87"/>
        <v>Low</v>
      </c>
      <c r="AV228" s="34" t="s">
        <v>1503</v>
      </c>
      <c r="AW228" s="111"/>
      <c r="AX228" s="30" t="s">
        <v>1493</v>
      </c>
      <c r="AY228" s="30"/>
      <c r="AZ228" s="85" t="str">
        <f>IF(ISERROR(_xlfn.XLOOKUP(CONCATENATE(A228,"_",AV228),'Reference-Proof pt impact flag'!$I$3:$I$1048576,'Reference-Proof pt impact flag'!$G$3:$G$1048576)),"",_xlfn.XLOOKUP(CONCATENATE(A228,"_",AV228),'Reference-Proof pt impact flag'!$I$3:$I$1048576,'Reference-Proof pt impact flag'!$G$3:$G$1048576))</f>
        <v/>
      </c>
      <c r="BA228" s="74"/>
      <c r="BB228" s="74"/>
      <c r="BC228" s="74"/>
      <c r="BD228" s="74"/>
      <c r="BE228" s="74"/>
      <c r="BF228" s="74" t="e">
        <f>_xlfn.XLOOKUP(CONCATENATE(H228,"_",AV228),'Test 2 - Proof points - GPT5'!$T:$T,'Test 2 - Proof points - GPT5'!$S:$S)</f>
        <v>#N/A</v>
      </c>
      <c r="BG228" s="74" t="e">
        <f>_xlfn.XLOOKUP(CONCATENATE(H228,"_",AV228),'Test 2 -Proof points - Sonnet'!$AB:$AB,'Test 2 -Proof points - Sonnet'!$AA:$AA)</f>
        <v>#N/A</v>
      </c>
      <c r="BH228" s="74"/>
      <c r="BI228" s="74"/>
      <c r="BJ228" s="74" t="s">
        <v>1580</v>
      </c>
      <c r="BK228" s="30"/>
      <c r="BL228" s="30"/>
      <c r="BM228" s="30"/>
      <c r="BN228" s="30"/>
      <c r="BO228" s="30"/>
      <c r="BP228" s="30"/>
      <c r="BQ228" s="30"/>
      <c r="BR228" s="30"/>
      <c r="BS228" s="30"/>
      <c r="BT228" s="30"/>
      <c r="BU228" s="30"/>
      <c r="BV228" s="113"/>
    </row>
    <row r="229" spans="1:74" ht="217.5" hidden="1" x14ac:dyDescent="0.35">
      <c r="A229" s="22">
        <v>6</v>
      </c>
      <c r="B229" s="22" t="s">
        <v>1451</v>
      </c>
      <c r="C229" s="22" t="s">
        <v>1452</v>
      </c>
      <c r="D229" s="22" t="s">
        <v>1224</v>
      </c>
      <c r="E229" s="22" t="s">
        <v>1453</v>
      </c>
      <c r="F229" s="22"/>
      <c r="G229" s="22" t="s">
        <v>1274</v>
      </c>
      <c r="H229" s="21" t="s">
        <v>1284</v>
      </c>
      <c r="I229" s="22"/>
      <c r="J229" s="21" t="s">
        <v>1579</v>
      </c>
      <c r="K229" s="30"/>
      <c r="L229" s="30" t="s">
        <v>1260</v>
      </c>
      <c r="M229" s="35" t="str">
        <f>VLOOKUP(H229,'1_Value &amp; risk levers'!$H$9:$O$1048576,2,FALSE)</f>
        <v>Not utilized</v>
      </c>
      <c r="N229" s="35" t="str">
        <f>VLOOKUP(H229,'1_Value &amp; risk levers'!$H$9:$O$1048576,3,FALSE)</f>
        <v>Basic usage for high-risk categories</v>
      </c>
      <c r="O229" s="35" t="str">
        <f>VLOOKUP(H229,'1_Value &amp; risk levers'!$H$9:$O$1048576,4,FALSE)</f>
        <v>Regularly employed for risk management</v>
      </c>
      <c r="P229" s="35" t="str">
        <f>VLOOKUP(H229,'1_Value &amp; risk levers'!$H$9:$O$1048576,5,FALSE)</f>
        <v>Strategically implemented with advanced forecasting</v>
      </c>
      <c r="Q229" s="77">
        <f>IF(VLOOKUP(H229,'1_Value &amp; risk levers'!$H$9:$T$1048576,13,FALSE)=0,"",VLOOKUP(H229,'1_Value &amp; risk levers'!$H$9:$T$1048576,13,FALSE))</f>
        <v>2</v>
      </c>
      <c r="R229" s="128">
        <f t="shared" si="66"/>
        <v>2</v>
      </c>
      <c r="S229" s="128" t="e">
        <f t="shared" si="67"/>
        <v>#DIV/0!</v>
      </c>
      <c r="T229" s="77"/>
      <c r="U229" s="77"/>
      <c r="V229" s="55"/>
      <c r="W229" s="71">
        <v>0.04</v>
      </c>
      <c r="X229" s="71">
        <v>0.1</v>
      </c>
      <c r="Y229" s="71">
        <f>VLOOKUP(H229,'1_Value &amp; risk levers'!$H$9:$O$1048576,8,FALSE)</f>
        <v>0.8</v>
      </c>
      <c r="Z229" s="51">
        <f t="shared" si="68"/>
        <v>7.0000000000000007E-2</v>
      </c>
      <c r="AA229" s="51">
        <f t="shared" si="70"/>
        <v>8.5000000000000006E-2</v>
      </c>
      <c r="AB229" s="55">
        <f t="shared" si="71"/>
        <v>2800000.0000000005</v>
      </c>
      <c r="AC229" s="55">
        <f t="shared" si="72"/>
        <v>3400000.0000000005</v>
      </c>
      <c r="AD229" s="80">
        <f t="shared" si="73"/>
        <v>7</v>
      </c>
      <c r="AE229" s="84">
        <f t="shared" si="74"/>
        <v>0.48864540816326468</v>
      </c>
      <c r="AF229" s="71" t="str">
        <f t="shared" si="75"/>
        <v>Low</v>
      </c>
      <c r="AG229" s="84">
        <f t="shared" si="76"/>
        <v>5.9772908163265304E-2</v>
      </c>
      <c r="AH229" s="84">
        <f t="shared" si="77"/>
        <v>9.5227091836734709E-2</v>
      </c>
      <c r="AI229" s="73">
        <f t="shared" si="78"/>
        <v>2390916.3265306121</v>
      </c>
      <c r="AJ229" s="73">
        <f t="shared" si="79"/>
        <v>3809083.6734693884</v>
      </c>
      <c r="AK229" s="46">
        <f>VLOOKUP(H229,'1_Value &amp; risk levers'!$H$9:$O$1048576,6,FALSE)</f>
        <v>0.02</v>
      </c>
      <c r="AL229" s="46">
        <f>VLOOKUP(H229,'1_Value &amp; risk levers'!$H$9:$O$1048576,7,FALSE)</f>
        <v>0.05</v>
      </c>
      <c r="AM229" s="50">
        <f t="shared" si="80"/>
        <v>3.5000000000000003E-2</v>
      </c>
      <c r="AN229" s="72">
        <f t="shared" si="81"/>
        <v>0.16279069767441862</v>
      </c>
      <c r="AO229" s="84">
        <f t="shared" si="82"/>
        <v>9.73047342192691E-3</v>
      </c>
      <c r="AP229" s="84">
        <f t="shared" si="83"/>
        <v>1.5502084717607978E-2</v>
      </c>
      <c r="AQ229" s="55">
        <f t="shared" si="84"/>
        <v>455813.95348837221</v>
      </c>
      <c r="AR229" s="55">
        <f t="shared" si="85"/>
        <v>553488.37209302338</v>
      </c>
      <c r="AS229" s="83">
        <f t="shared" si="69"/>
        <v>41</v>
      </c>
      <c r="AT229" s="50">
        <f t="shared" si="86"/>
        <v>3.3914285714285719</v>
      </c>
      <c r="AU229" s="55" t="str">
        <f t="shared" si="87"/>
        <v>Low</v>
      </c>
      <c r="AV229" s="34" t="s">
        <v>1504</v>
      </c>
      <c r="AW229" s="111"/>
      <c r="AX229" s="30" t="s">
        <v>1493</v>
      </c>
      <c r="AY229" s="30"/>
      <c r="AZ229" s="85" t="str">
        <f>IF(ISERROR(_xlfn.XLOOKUP(CONCATENATE(A229,"_",AV229),'Reference-Proof pt impact flag'!$I$3:$I$1048576,'Reference-Proof pt impact flag'!$G$3:$G$1048576)),"",_xlfn.XLOOKUP(CONCATENATE(A229,"_",AV229),'Reference-Proof pt impact flag'!$I$3:$I$1048576,'Reference-Proof pt impact flag'!$G$3:$G$1048576))</f>
        <v/>
      </c>
      <c r="BA229" s="74"/>
      <c r="BB229" s="74"/>
      <c r="BC229" s="74"/>
      <c r="BD229" s="74"/>
      <c r="BE229" s="74"/>
      <c r="BF229" s="74" t="e">
        <f>_xlfn.XLOOKUP(CONCATENATE(H229,"_",AV229),'Test 2 - Proof points - GPT5'!$T:$T,'Test 2 - Proof points - GPT5'!$S:$S)</f>
        <v>#N/A</v>
      </c>
      <c r="BG229" s="74" t="e">
        <f>_xlfn.XLOOKUP(CONCATENATE(H229,"_",AV229),'Test 2 -Proof points - Sonnet'!$AB:$AB,'Test 2 -Proof points - Sonnet'!$AA:$AA)</f>
        <v>#N/A</v>
      </c>
      <c r="BH229" s="74"/>
      <c r="BI229" s="74"/>
      <c r="BJ229" s="74" t="s">
        <v>1580</v>
      </c>
      <c r="BK229" s="30"/>
      <c r="BL229" s="30"/>
      <c r="BM229" s="30"/>
      <c r="BN229" s="30"/>
      <c r="BO229" s="30"/>
      <c r="BP229" s="30"/>
      <c r="BQ229" s="30"/>
      <c r="BR229" s="30"/>
      <c r="BS229" s="30"/>
      <c r="BT229" s="30"/>
      <c r="BU229" s="30"/>
      <c r="BV229" s="113"/>
    </row>
    <row r="230" spans="1:74" ht="217.5" hidden="1" x14ac:dyDescent="0.35">
      <c r="A230" s="22">
        <v>6</v>
      </c>
      <c r="B230" s="22" t="s">
        <v>1451</v>
      </c>
      <c r="C230" s="22" t="s">
        <v>1452</v>
      </c>
      <c r="D230" s="22" t="s">
        <v>1224</v>
      </c>
      <c r="E230" s="22" t="s">
        <v>1453</v>
      </c>
      <c r="F230" s="22"/>
      <c r="G230" s="22" t="s">
        <v>1274</v>
      </c>
      <c r="H230" s="21" t="s">
        <v>1284</v>
      </c>
      <c r="I230" s="22"/>
      <c r="J230" s="21" t="s">
        <v>1579</v>
      </c>
      <c r="K230" s="30"/>
      <c r="L230" s="30" t="s">
        <v>1260</v>
      </c>
      <c r="M230" s="35" t="str">
        <f>VLOOKUP(H230,'1_Value &amp; risk levers'!$H$9:$O$1048576,2,FALSE)</f>
        <v>Not utilized</v>
      </c>
      <c r="N230" s="35" t="str">
        <f>VLOOKUP(H230,'1_Value &amp; risk levers'!$H$9:$O$1048576,3,FALSE)</f>
        <v>Basic usage for high-risk categories</v>
      </c>
      <c r="O230" s="35" t="str">
        <f>VLOOKUP(H230,'1_Value &amp; risk levers'!$H$9:$O$1048576,4,FALSE)</f>
        <v>Regularly employed for risk management</v>
      </c>
      <c r="P230" s="35" t="str">
        <f>VLOOKUP(H230,'1_Value &amp; risk levers'!$H$9:$O$1048576,5,FALSE)</f>
        <v>Strategically implemented with advanced forecasting</v>
      </c>
      <c r="Q230" s="77">
        <f>IF(VLOOKUP(H230,'1_Value &amp; risk levers'!$H$9:$T$1048576,13,FALSE)=0,"",VLOOKUP(H230,'1_Value &amp; risk levers'!$H$9:$T$1048576,13,FALSE))</f>
        <v>2</v>
      </c>
      <c r="R230" s="128">
        <f t="shared" si="66"/>
        <v>2</v>
      </c>
      <c r="S230" s="128" t="e">
        <f t="shared" si="67"/>
        <v>#DIV/0!</v>
      </c>
      <c r="T230" s="77"/>
      <c r="U230" s="77"/>
      <c r="V230" s="55"/>
      <c r="W230" s="71">
        <v>0.04</v>
      </c>
      <c r="X230" s="71">
        <v>0.1</v>
      </c>
      <c r="Y230" s="71">
        <f>VLOOKUP(H230,'1_Value &amp; risk levers'!$H$9:$O$1048576,8,FALSE)</f>
        <v>0.8</v>
      </c>
      <c r="Z230" s="51">
        <f t="shared" si="68"/>
        <v>7.0000000000000007E-2</v>
      </c>
      <c r="AA230" s="51">
        <f t="shared" si="70"/>
        <v>8.5000000000000006E-2</v>
      </c>
      <c r="AB230" s="55">
        <f t="shared" si="71"/>
        <v>2800000.0000000005</v>
      </c>
      <c r="AC230" s="55">
        <f t="shared" si="72"/>
        <v>3400000.0000000005</v>
      </c>
      <c r="AD230" s="80">
        <f t="shared" si="73"/>
        <v>7</v>
      </c>
      <c r="AE230" s="84">
        <f t="shared" si="74"/>
        <v>0.48864540816326468</v>
      </c>
      <c r="AF230" s="71" t="str">
        <f t="shared" si="75"/>
        <v>Low</v>
      </c>
      <c r="AG230" s="84">
        <f t="shared" si="76"/>
        <v>5.9772908163265304E-2</v>
      </c>
      <c r="AH230" s="84">
        <f t="shared" si="77"/>
        <v>9.5227091836734709E-2</v>
      </c>
      <c r="AI230" s="73">
        <f t="shared" si="78"/>
        <v>2390916.3265306121</v>
      </c>
      <c r="AJ230" s="73">
        <f t="shared" si="79"/>
        <v>3809083.6734693884</v>
      </c>
      <c r="AK230" s="46">
        <f>VLOOKUP(H230,'1_Value &amp; risk levers'!$H$9:$O$1048576,6,FALSE)</f>
        <v>0.02</v>
      </c>
      <c r="AL230" s="46">
        <f>VLOOKUP(H230,'1_Value &amp; risk levers'!$H$9:$O$1048576,7,FALSE)</f>
        <v>0.05</v>
      </c>
      <c r="AM230" s="50">
        <f t="shared" si="80"/>
        <v>3.5000000000000003E-2</v>
      </c>
      <c r="AN230" s="72">
        <f t="shared" si="81"/>
        <v>0.16279069767441862</v>
      </c>
      <c r="AO230" s="84">
        <f t="shared" si="82"/>
        <v>9.73047342192691E-3</v>
      </c>
      <c r="AP230" s="84">
        <f t="shared" si="83"/>
        <v>1.5502084717607978E-2</v>
      </c>
      <c r="AQ230" s="55">
        <f t="shared" si="84"/>
        <v>455813.95348837221</v>
      </c>
      <c r="AR230" s="55">
        <f t="shared" si="85"/>
        <v>553488.37209302338</v>
      </c>
      <c r="AS230" s="83">
        <f t="shared" si="69"/>
        <v>41</v>
      </c>
      <c r="AT230" s="50">
        <f t="shared" si="86"/>
        <v>3.3914285714285719</v>
      </c>
      <c r="AU230" s="55" t="str">
        <f t="shared" si="87"/>
        <v>Low</v>
      </c>
      <c r="AV230" s="34" t="s">
        <v>1505</v>
      </c>
      <c r="AW230" s="111"/>
      <c r="AX230" s="30" t="s">
        <v>1493</v>
      </c>
      <c r="AY230" s="30"/>
      <c r="AZ230" s="85" t="str">
        <f>IF(ISERROR(_xlfn.XLOOKUP(CONCATENATE(A230,"_",AV230),'Reference-Proof pt impact flag'!$I$3:$I$1048576,'Reference-Proof pt impact flag'!$G$3:$G$1048576)),"",_xlfn.XLOOKUP(CONCATENATE(A230,"_",AV230),'Reference-Proof pt impact flag'!$I$3:$I$1048576,'Reference-Proof pt impact flag'!$G$3:$G$1048576))</f>
        <v/>
      </c>
      <c r="BA230" s="74"/>
      <c r="BB230" s="74"/>
      <c r="BC230" s="74"/>
      <c r="BD230" s="74"/>
      <c r="BE230" s="74"/>
      <c r="BF230" s="74" t="e">
        <f>_xlfn.XLOOKUP(CONCATENATE(H230,"_",AV230),'Test 2 - Proof points - GPT5'!$T:$T,'Test 2 - Proof points - GPT5'!$S:$S)</f>
        <v>#N/A</v>
      </c>
      <c r="BG230" s="74" t="e">
        <f>_xlfn.XLOOKUP(CONCATENATE(H230,"_",AV230),'Test 2 -Proof points - Sonnet'!$AB:$AB,'Test 2 -Proof points - Sonnet'!$AA:$AA)</f>
        <v>#N/A</v>
      </c>
      <c r="BH230" s="74"/>
      <c r="BI230" s="74"/>
      <c r="BJ230" s="74" t="s">
        <v>1580</v>
      </c>
      <c r="BK230" s="30"/>
      <c r="BL230" s="30"/>
      <c r="BM230" s="30"/>
      <c r="BN230" s="30"/>
      <c r="BO230" s="30"/>
      <c r="BP230" s="30"/>
      <c r="BQ230" s="30"/>
      <c r="BR230" s="30"/>
      <c r="BS230" s="30"/>
      <c r="BT230" s="30"/>
      <c r="BU230" s="30"/>
      <c r="BV230" s="113"/>
    </row>
    <row r="231" spans="1:74" ht="217.5" hidden="1" x14ac:dyDescent="0.35">
      <c r="A231" s="22">
        <v>6</v>
      </c>
      <c r="B231" s="22" t="s">
        <v>1451</v>
      </c>
      <c r="C231" s="22" t="s">
        <v>1452</v>
      </c>
      <c r="D231" s="22" t="s">
        <v>1224</v>
      </c>
      <c r="E231" s="22" t="s">
        <v>1453</v>
      </c>
      <c r="F231" s="22"/>
      <c r="G231" s="22" t="s">
        <v>1274</v>
      </c>
      <c r="H231" s="21" t="s">
        <v>1284</v>
      </c>
      <c r="I231" s="22"/>
      <c r="J231" s="21" t="s">
        <v>1579</v>
      </c>
      <c r="K231" s="30"/>
      <c r="L231" s="30" t="s">
        <v>1260</v>
      </c>
      <c r="M231" s="35" t="str">
        <f>VLOOKUP(H231,'1_Value &amp; risk levers'!$H$9:$O$1048576,2,FALSE)</f>
        <v>Not utilized</v>
      </c>
      <c r="N231" s="35" t="str">
        <f>VLOOKUP(H231,'1_Value &amp; risk levers'!$H$9:$O$1048576,3,FALSE)</f>
        <v>Basic usage for high-risk categories</v>
      </c>
      <c r="O231" s="35" t="str">
        <f>VLOOKUP(H231,'1_Value &amp; risk levers'!$H$9:$O$1048576,4,FALSE)</f>
        <v>Regularly employed for risk management</v>
      </c>
      <c r="P231" s="35" t="str">
        <f>VLOOKUP(H231,'1_Value &amp; risk levers'!$H$9:$O$1048576,5,FALSE)</f>
        <v>Strategically implemented with advanced forecasting</v>
      </c>
      <c r="Q231" s="77">
        <f>IF(VLOOKUP(H231,'1_Value &amp; risk levers'!$H$9:$T$1048576,13,FALSE)=0,"",VLOOKUP(H231,'1_Value &amp; risk levers'!$H$9:$T$1048576,13,FALSE))</f>
        <v>2</v>
      </c>
      <c r="R231" s="128">
        <f t="shared" si="66"/>
        <v>2</v>
      </c>
      <c r="S231" s="128" t="e">
        <f t="shared" si="67"/>
        <v>#DIV/0!</v>
      </c>
      <c r="T231" s="77"/>
      <c r="U231" s="77"/>
      <c r="V231" s="55"/>
      <c r="W231" s="71">
        <v>0.04</v>
      </c>
      <c r="X231" s="71">
        <v>0.1</v>
      </c>
      <c r="Y231" s="71">
        <f>VLOOKUP(H231,'1_Value &amp; risk levers'!$H$9:$O$1048576,8,FALSE)</f>
        <v>0.8</v>
      </c>
      <c r="Z231" s="51">
        <f t="shared" si="68"/>
        <v>7.0000000000000007E-2</v>
      </c>
      <c r="AA231" s="51">
        <f t="shared" si="70"/>
        <v>8.5000000000000006E-2</v>
      </c>
      <c r="AB231" s="55">
        <f t="shared" si="71"/>
        <v>2800000.0000000005</v>
      </c>
      <c r="AC231" s="55">
        <f t="shared" si="72"/>
        <v>3400000.0000000005</v>
      </c>
      <c r="AD231" s="80">
        <f t="shared" si="73"/>
        <v>7</v>
      </c>
      <c r="AE231" s="84">
        <f t="shared" si="74"/>
        <v>0.48864540816326468</v>
      </c>
      <c r="AF231" s="71" t="str">
        <f t="shared" si="75"/>
        <v>Low</v>
      </c>
      <c r="AG231" s="84">
        <f t="shared" si="76"/>
        <v>5.9772908163265304E-2</v>
      </c>
      <c r="AH231" s="84">
        <f t="shared" si="77"/>
        <v>9.5227091836734709E-2</v>
      </c>
      <c r="AI231" s="73">
        <f t="shared" si="78"/>
        <v>2390916.3265306121</v>
      </c>
      <c r="AJ231" s="73">
        <f t="shared" si="79"/>
        <v>3809083.6734693884</v>
      </c>
      <c r="AK231" s="46">
        <f>VLOOKUP(H231,'1_Value &amp; risk levers'!$H$9:$O$1048576,6,FALSE)</f>
        <v>0.02</v>
      </c>
      <c r="AL231" s="46">
        <f>VLOOKUP(H231,'1_Value &amp; risk levers'!$H$9:$O$1048576,7,FALSE)</f>
        <v>0.05</v>
      </c>
      <c r="AM231" s="50">
        <f t="shared" si="80"/>
        <v>3.5000000000000003E-2</v>
      </c>
      <c r="AN231" s="72">
        <f t="shared" si="81"/>
        <v>0.16279069767441862</v>
      </c>
      <c r="AO231" s="84">
        <f t="shared" si="82"/>
        <v>9.73047342192691E-3</v>
      </c>
      <c r="AP231" s="84">
        <f t="shared" si="83"/>
        <v>1.5502084717607978E-2</v>
      </c>
      <c r="AQ231" s="55">
        <f t="shared" si="84"/>
        <v>455813.95348837221</v>
      </c>
      <c r="AR231" s="55">
        <f t="shared" si="85"/>
        <v>553488.37209302338</v>
      </c>
      <c r="AS231" s="83">
        <f t="shared" si="69"/>
        <v>41</v>
      </c>
      <c r="AT231" s="50">
        <f t="shared" si="86"/>
        <v>3.3914285714285719</v>
      </c>
      <c r="AU231" s="55" t="str">
        <f t="shared" si="87"/>
        <v>Low</v>
      </c>
      <c r="AV231" s="34" t="s">
        <v>1506</v>
      </c>
      <c r="AW231" s="111"/>
      <c r="AX231" s="30" t="s">
        <v>1493</v>
      </c>
      <c r="AY231" s="30"/>
      <c r="AZ231" s="85" t="str">
        <f>IF(ISERROR(_xlfn.XLOOKUP(CONCATENATE(A231,"_",AV231),'Reference-Proof pt impact flag'!$I$3:$I$1048576,'Reference-Proof pt impact flag'!$G$3:$G$1048576)),"",_xlfn.XLOOKUP(CONCATENATE(A231,"_",AV231),'Reference-Proof pt impact flag'!$I$3:$I$1048576,'Reference-Proof pt impact flag'!$G$3:$G$1048576))</f>
        <v/>
      </c>
      <c r="BA231" s="74"/>
      <c r="BB231" s="74"/>
      <c r="BC231" s="74"/>
      <c r="BD231" s="74"/>
      <c r="BE231" s="74"/>
      <c r="BF231" s="74" t="e">
        <f>_xlfn.XLOOKUP(CONCATENATE(H231,"_",AV231),'Test 2 - Proof points - GPT5'!$T:$T,'Test 2 - Proof points - GPT5'!$S:$S)</f>
        <v>#N/A</v>
      </c>
      <c r="BG231" s="74" t="e">
        <f>_xlfn.XLOOKUP(CONCATENATE(H231,"_",AV231),'Test 2 -Proof points - Sonnet'!$AB:$AB,'Test 2 -Proof points - Sonnet'!$AA:$AA)</f>
        <v>#N/A</v>
      </c>
      <c r="BH231" s="74"/>
      <c r="BI231" s="74"/>
      <c r="BJ231" s="74" t="s">
        <v>1580</v>
      </c>
      <c r="BK231" s="30"/>
      <c r="BL231" s="30"/>
      <c r="BM231" s="30"/>
      <c r="BN231" s="30"/>
      <c r="BO231" s="30"/>
      <c r="BP231" s="30"/>
      <c r="BQ231" s="30"/>
      <c r="BR231" s="30"/>
      <c r="BS231" s="30"/>
      <c r="BT231" s="30"/>
      <c r="BU231" s="30"/>
      <c r="BV231" s="113"/>
    </row>
    <row r="232" spans="1:74" ht="217.5" hidden="1" x14ac:dyDescent="0.35">
      <c r="A232" s="22">
        <v>6</v>
      </c>
      <c r="B232" s="22" t="s">
        <v>1451</v>
      </c>
      <c r="C232" s="22" t="s">
        <v>1452</v>
      </c>
      <c r="D232" s="22" t="s">
        <v>1224</v>
      </c>
      <c r="E232" s="22" t="s">
        <v>1453</v>
      </c>
      <c r="F232" s="22"/>
      <c r="G232" s="22" t="s">
        <v>1274</v>
      </c>
      <c r="H232" s="21" t="s">
        <v>1284</v>
      </c>
      <c r="I232" s="22"/>
      <c r="J232" s="21" t="s">
        <v>1579</v>
      </c>
      <c r="K232" s="30"/>
      <c r="L232" s="30" t="s">
        <v>1260</v>
      </c>
      <c r="M232" s="35" t="str">
        <f>VLOOKUP(H232,'1_Value &amp; risk levers'!$H$9:$O$1048576,2,FALSE)</f>
        <v>Not utilized</v>
      </c>
      <c r="N232" s="35" t="str">
        <f>VLOOKUP(H232,'1_Value &amp; risk levers'!$H$9:$O$1048576,3,FALSE)</f>
        <v>Basic usage for high-risk categories</v>
      </c>
      <c r="O232" s="35" t="str">
        <f>VLOOKUP(H232,'1_Value &amp; risk levers'!$H$9:$O$1048576,4,FALSE)</f>
        <v>Regularly employed for risk management</v>
      </c>
      <c r="P232" s="35" t="str">
        <f>VLOOKUP(H232,'1_Value &amp; risk levers'!$H$9:$O$1048576,5,FALSE)</f>
        <v>Strategically implemented with advanced forecasting</v>
      </c>
      <c r="Q232" s="77">
        <f>IF(VLOOKUP(H232,'1_Value &amp; risk levers'!$H$9:$T$1048576,13,FALSE)=0,"",VLOOKUP(H232,'1_Value &amp; risk levers'!$H$9:$T$1048576,13,FALSE))</f>
        <v>2</v>
      </c>
      <c r="R232" s="128">
        <f t="shared" si="66"/>
        <v>2</v>
      </c>
      <c r="S232" s="128" t="e">
        <f t="shared" si="67"/>
        <v>#DIV/0!</v>
      </c>
      <c r="T232" s="77"/>
      <c r="U232" s="77"/>
      <c r="V232" s="55"/>
      <c r="W232" s="71">
        <v>0.04</v>
      </c>
      <c r="X232" s="71">
        <v>0.1</v>
      </c>
      <c r="Y232" s="71">
        <f>VLOOKUP(H232,'1_Value &amp; risk levers'!$H$9:$O$1048576,8,FALSE)</f>
        <v>0.8</v>
      </c>
      <c r="Z232" s="51">
        <f t="shared" si="68"/>
        <v>7.0000000000000007E-2</v>
      </c>
      <c r="AA232" s="51">
        <f t="shared" si="70"/>
        <v>8.5000000000000006E-2</v>
      </c>
      <c r="AB232" s="55">
        <f t="shared" si="71"/>
        <v>2800000.0000000005</v>
      </c>
      <c r="AC232" s="55">
        <f t="shared" si="72"/>
        <v>3400000.0000000005</v>
      </c>
      <c r="AD232" s="80">
        <f t="shared" si="73"/>
        <v>7</v>
      </c>
      <c r="AE232" s="84">
        <f t="shared" si="74"/>
        <v>0.48864540816326468</v>
      </c>
      <c r="AF232" s="71" t="str">
        <f t="shared" si="75"/>
        <v>Low</v>
      </c>
      <c r="AG232" s="84">
        <f t="shared" si="76"/>
        <v>5.9772908163265304E-2</v>
      </c>
      <c r="AH232" s="84">
        <f t="shared" si="77"/>
        <v>9.5227091836734709E-2</v>
      </c>
      <c r="AI232" s="73">
        <f t="shared" si="78"/>
        <v>2390916.3265306121</v>
      </c>
      <c r="AJ232" s="73">
        <f t="shared" si="79"/>
        <v>3809083.6734693884</v>
      </c>
      <c r="AK232" s="46">
        <f>VLOOKUP(H232,'1_Value &amp; risk levers'!$H$9:$O$1048576,6,FALSE)</f>
        <v>0.02</v>
      </c>
      <c r="AL232" s="46">
        <f>VLOOKUP(H232,'1_Value &amp; risk levers'!$H$9:$O$1048576,7,FALSE)</f>
        <v>0.05</v>
      </c>
      <c r="AM232" s="50">
        <f t="shared" si="80"/>
        <v>3.5000000000000003E-2</v>
      </c>
      <c r="AN232" s="72">
        <f t="shared" si="81"/>
        <v>0.16279069767441862</v>
      </c>
      <c r="AO232" s="84">
        <f t="shared" si="82"/>
        <v>9.73047342192691E-3</v>
      </c>
      <c r="AP232" s="84">
        <f t="shared" si="83"/>
        <v>1.5502084717607978E-2</v>
      </c>
      <c r="AQ232" s="55">
        <f t="shared" si="84"/>
        <v>455813.95348837221</v>
      </c>
      <c r="AR232" s="55">
        <f t="shared" si="85"/>
        <v>553488.37209302338</v>
      </c>
      <c r="AS232" s="83">
        <f t="shared" si="69"/>
        <v>41</v>
      </c>
      <c r="AT232" s="50">
        <f t="shared" si="86"/>
        <v>3.3914285714285719</v>
      </c>
      <c r="AU232" s="55" t="str">
        <f t="shared" si="87"/>
        <v>Low</v>
      </c>
      <c r="AV232" s="34" t="s">
        <v>1507</v>
      </c>
      <c r="AW232" s="111"/>
      <c r="AX232" s="30" t="s">
        <v>1493</v>
      </c>
      <c r="AY232" s="30"/>
      <c r="AZ232" s="85" t="str">
        <f>IF(ISERROR(_xlfn.XLOOKUP(CONCATENATE(A232,"_",AV232),'Reference-Proof pt impact flag'!$I$3:$I$1048576,'Reference-Proof pt impact flag'!$G$3:$G$1048576)),"",_xlfn.XLOOKUP(CONCATENATE(A232,"_",AV232),'Reference-Proof pt impact flag'!$I$3:$I$1048576,'Reference-Proof pt impact flag'!$G$3:$G$1048576))</f>
        <v/>
      </c>
      <c r="BA232" s="74"/>
      <c r="BB232" s="74"/>
      <c r="BC232" s="74"/>
      <c r="BD232" s="74"/>
      <c r="BE232" s="74"/>
      <c r="BF232" s="74" t="e">
        <f>_xlfn.XLOOKUP(CONCATENATE(H232,"_",AV232),'Test 2 - Proof points - GPT5'!$T:$T,'Test 2 - Proof points - GPT5'!$S:$S)</f>
        <v>#N/A</v>
      </c>
      <c r="BG232" s="74" t="e">
        <f>_xlfn.XLOOKUP(CONCATENATE(H232,"_",AV232),'Test 2 -Proof points - Sonnet'!$AB:$AB,'Test 2 -Proof points - Sonnet'!$AA:$AA)</f>
        <v>#N/A</v>
      </c>
      <c r="BH232" s="74"/>
      <c r="BI232" s="74"/>
      <c r="BJ232" s="74" t="s">
        <v>1580</v>
      </c>
      <c r="BK232" s="30"/>
      <c r="BL232" s="30"/>
      <c r="BM232" s="30"/>
      <c r="BN232" s="30"/>
      <c r="BO232" s="30"/>
      <c r="BP232" s="30"/>
      <c r="BQ232" s="30"/>
      <c r="BR232" s="30"/>
      <c r="BS232" s="30"/>
      <c r="BT232" s="30"/>
      <c r="BU232" s="30"/>
      <c r="BV232" s="113"/>
    </row>
    <row r="233" spans="1:74" ht="217.5" hidden="1" x14ac:dyDescent="0.35">
      <c r="A233" s="22">
        <v>6</v>
      </c>
      <c r="B233" s="22" t="s">
        <v>1451</v>
      </c>
      <c r="C233" s="22" t="s">
        <v>1452</v>
      </c>
      <c r="D233" s="22" t="s">
        <v>1224</v>
      </c>
      <c r="E233" s="22" t="s">
        <v>1453</v>
      </c>
      <c r="F233" s="22"/>
      <c r="G233" s="22" t="s">
        <v>1274</v>
      </c>
      <c r="H233" s="21" t="s">
        <v>1284</v>
      </c>
      <c r="I233" s="22"/>
      <c r="J233" s="21" t="s">
        <v>1579</v>
      </c>
      <c r="K233" s="30"/>
      <c r="L233" s="30" t="s">
        <v>1260</v>
      </c>
      <c r="M233" s="35" t="str">
        <f>VLOOKUP(H233,'1_Value &amp; risk levers'!$H$9:$O$1048576,2,FALSE)</f>
        <v>Not utilized</v>
      </c>
      <c r="N233" s="35" t="str">
        <f>VLOOKUP(H233,'1_Value &amp; risk levers'!$H$9:$O$1048576,3,FALSE)</f>
        <v>Basic usage for high-risk categories</v>
      </c>
      <c r="O233" s="35" t="str">
        <f>VLOOKUP(H233,'1_Value &amp; risk levers'!$H$9:$O$1048576,4,FALSE)</f>
        <v>Regularly employed for risk management</v>
      </c>
      <c r="P233" s="35" t="str">
        <f>VLOOKUP(H233,'1_Value &amp; risk levers'!$H$9:$O$1048576,5,FALSE)</f>
        <v>Strategically implemented with advanced forecasting</v>
      </c>
      <c r="Q233" s="77">
        <f>IF(VLOOKUP(H233,'1_Value &amp; risk levers'!$H$9:$T$1048576,13,FALSE)=0,"",VLOOKUP(H233,'1_Value &amp; risk levers'!$H$9:$T$1048576,13,FALSE))</f>
        <v>2</v>
      </c>
      <c r="R233" s="128">
        <f t="shared" si="66"/>
        <v>2</v>
      </c>
      <c r="S233" s="128" t="e">
        <f t="shared" si="67"/>
        <v>#DIV/0!</v>
      </c>
      <c r="T233" s="77"/>
      <c r="U233" s="77"/>
      <c r="V233" s="55"/>
      <c r="W233" s="71">
        <v>0.04</v>
      </c>
      <c r="X233" s="71">
        <v>0.1</v>
      </c>
      <c r="Y233" s="71">
        <f>VLOOKUP(H233,'1_Value &amp; risk levers'!$H$9:$O$1048576,8,FALSE)</f>
        <v>0.8</v>
      </c>
      <c r="Z233" s="51">
        <f t="shared" si="68"/>
        <v>7.0000000000000007E-2</v>
      </c>
      <c r="AA233" s="51">
        <f t="shared" si="70"/>
        <v>8.5000000000000006E-2</v>
      </c>
      <c r="AB233" s="55">
        <f t="shared" si="71"/>
        <v>2800000.0000000005</v>
      </c>
      <c r="AC233" s="55">
        <f t="shared" si="72"/>
        <v>3400000.0000000005</v>
      </c>
      <c r="AD233" s="80">
        <f t="shared" si="73"/>
        <v>7</v>
      </c>
      <c r="AE233" s="84">
        <f t="shared" si="74"/>
        <v>0.48864540816326468</v>
      </c>
      <c r="AF233" s="71" t="str">
        <f t="shared" si="75"/>
        <v>Low</v>
      </c>
      <c r="AG233" s="84">
        <f t="shared" si="76"/>
        <v>5.9772908163265304E-2</v>
      </c>
      <c r="AH233" s="84">
        <f t="shared" si="77"/>
        <v>9.5227091836734709E-2</v>
      </c>
      <c r="AI233" s="73">
        <f t="shared" si="78"/>
        <v>2390916.3265306121</v>
      </c>
      <c r="AJ233" s="73">
        <f t="shared" si="79"/>
        <v>3809083.6734693884</v>
      </c>
      <c r="AK233" s="46">
        <f>VLOOKUP(H233,'1_Value &amp; risk levers'!$H$9:$O$1048576,6,FALSE)</f>
        <v>0.02</v>
      </c>
      <c r="AL233" s="46">
        <f>VLOOKUP(H233,'1_Value &amp; risk levers'!$H$9:$O$1048576,7,FALSE)</f>
        <v>0.05</v>
      </c>
      <c r="AM233" s="50">
        <f t="shared" si="80"/>
        <v>3.5000000000000003E-2</v>
      </c>
      <c r="AN233" s="72">
        <f t="shared" si="81"/>
        <v>0.16279069767441862</v>
      </c>
      <c r="AO233" s="84">
        <f t="shared" si="82"/>
        <v>9.73047342192691E-3</v>
      </c>
      <c r="AP233" s="84">
        <f t="shared" si="83"/>
        <v>1.5502084717607978E-2</v>
      </c>
      <c r="AQ233" s="55">
        <f t="shared" si="84"/>
        <v>455813.95348837221</v>
      </c>
      <c r="AR233" s="55">
        <f t="shared" si="85"/>
        <v>553488.37209302338</v>
      </c>
      <c r="AS233" s="83">
        <f t="shared" si="69"/>
        <v>41</v>
      </c>
      <c r="AT233" s="50">
        <f t="shared" si="86"/>
        <v>3.3914285714285719</v>
      </c>
      <c r="AU233" s="55" t="str">
        <f t="shared" si="87"/>
        <v>Low</v>
      </c>
      <c r="AV233" s="34" t="s">
        <v>1508</v>
      </c>
      <c r="AW233" s="111"/>
      <c r="AX233" s="30" t="s">
        <v>1493</v>
      </c>
      <c r="AY233" s="30"/>
      <c r="AZ233" s="85" t="str">
        <f>IF(ISERROR(_xlfn.XLOOKUP(CONCATENATE(A233,"_",AV233),'Reference-Proof pt impact flag'!$I$3:$I$1048576,'Reference-Proof pt impact flag'!$G$3:$G$1048576)),"",_xlfn.XLOOKUP(CONCATENATE(A233,"_",AV233),'Reference-Proof pt impact flag'!$I$3:$I$1048576,'Reference-Proof pt impact flag'!$G$3:$G$1048576))</f>
        <v/>
      </c>
      <c r="BA233" s="74"/>
      <c r="BB233" s="74"/>
      <c r="BC233" s="74"/>
      <c r="BD233" s="74"/>
      <c r="BE233" s="74"/>
      <c r="BF233" s="74" t="e">
        <f>_xlfn.XLOOKUP(CONCATENATE(H233,"_",AV233),'Test 2 - Proof points - GPT5'!$T:$T,'Test 2 - Proof points - GPT5'!$S:$S)</f>
        <v>#N/A</v>
      </c>
      <c r="BG233" s="74" t="e">
        <f>_xlfn.XLOOKUP(CONCATENATE(H233,"_",AV233),'Test 2 -Proof points - Sonnet'!$AB:$AB,'Test 2 -Proof points - Sonnet'!$AA:$AA)</f>
        <v>#N/A</v>
      </c>
      <c r="BH233" s="74"/>
      <c r="BI233" s="74"/>
      <c r="BJ233" s="74" t="s">
        <v>1580</v>
      </c>
      <c r="BK233" s="30"/>
      <c r="BL233" s="30"/>
      <c r="BM233" s="30"/>
      <c r="BN233" s="30"/>
      <c r="BO233" s="30"/>
      <c r="BP233" s="30"/>
      <c r="BQ233" s="30"/>
      <c r="BR233" s="30"/>
      <c r="BS233" s="30"/>
      <c r="BT233" s="30"/>
      <c r="BU233" s="30"/>
      <c r="BV233" s="113"/>
    </row>
    <row r="234" spans="1:74" ht="217.5" hidden="1" x14ac:dyDescent="0.35">
      <c r="A234" s="22">
        <v>6</v>
      </c>
      <c r="B234" s="22" t="s">
        <v>1451</v>
      </c>
      <c r="C234" s="22" t="s">
        <v>1452</v>
      </c>
      <c r="D234" s="22" t="s">
        <v>1224</v>
      </c>
      <c r="E234" s="22" t="s">
        <v>1453</v>
      </c>
      <c r="F234" s="22"/>
      <c r="G234" s="22" t="s">
        <v>1274</v>
      </c>
      <c r="H234" s="21" t="s">
        <v>1284</v>
      </c>
      <c r="I234" s="22"/>
      <c r="J234" s="21" t="s">
        <v>1579</v>
      </c>
      <c r="K234" s="30"/>
      <c r="L234" s="30" t="s">
        <v>1260</v>
      </c>
      <c r="M234" s="35" t="str">
        <f>VLOOKUP(H234,'1_Value &amp; risk levers'!$H$9:$O$1048576,2,FALSE)</f>
        <v>Not utilized</v>
      </c>
      <c r="N234" s="35" t="str">
        <f>VLOOKUP(H234,'1_Value &amp; risk levers'!$H$9:$O$1048576,3,FALSE)</f>
        <v>Basic usage for high-risk categories</v>
      </c>
      <c r="O234" s="35" t="str">
        <f>VLOOKUP(H234,'1_Value &amp; risk levers'!$H$9:$O$1048576,4,FALSE)</f>
        <v>Regularly employed for risk management</v>
      </c>
      <c r="P234" s="35" t="str">
        <f>VLOOKUP(H234,'1_Value &amp; risk levers'!$H$9:$O$1048576,5,FALSE)</f>
        <v>Strategically implemented with advanced forecasting</v>
      </c>
      <c r="Q234" s="77">
        <f>IF(VLOOKUP(H234,'1_Value &amp; risk levers'!$H$9:$T$1048576,13,FALSE)=0,"",VLOOKUP(H234,'1_Value &amp; risk levers'!$H$9:$T$1048576,13,FALSE))</f>
        <v>2</v>
      </c>
      <c r="R234" s="128">
        <f t="shared" si="66"/>
        <v>2</v>
      </c>
      <c r="S234" s="128" t="e">
        <f t="shared" si="67"/>
        <v>#DIV/0!</v>
      </c>
      <c r="T234" s="77"/>
      <c r="U234" s="77"/>
      <c r="V234" s="55"/>
      <c r="W234" s="71">
        <v>0.04</v>
      </c>
      <c r="X234" s="71">
        <v>0.1</v>
      </c>
      <c r="Y234" s="71">
        <f>VLOOKUP(H234,'1_Value &amp; risk levers'!$H$9:$O$1048576,8,FALSE)</f>
        <v>0.8</v>
      </c>
      <c r="Z234" s="51">
        <f t="shared" si="68"/>
        <v>7.0000000000000007E-2</v>
      </c>
      <c r="AA234" s="51">
        <f t="shared" si="70"/>
        <v>8.5000000000000006E-2</v>
      </c>
      <c r="AB234" s="55">
        <f t="shared" si="71"/>
        <v>2800000.0000000005</v>
      </c>
      <c r="AC234" s="55">
        <f t="shared" si="72"/>
        <v>3400000.0000000005</v>
      </c>
      <c r="AD234" s="80">
        <f t="shared" si="73"/>
        <v>7</v>
      </c>
      <c r="AE234" s="84">
        <f t="shared" si="74"/>
        <v>0.48864540816326468</v>
      </c>
      <c r="AF234" s="71" t="str">
        <f t="shared" si="75"/>
        <v>Low</v>
      </c>
      <c r="AG234" s="84">
        <f t="shared" si="76"/>
        <v>5.9772908163265304E-2</v>
      </c>
      <c r="AH234" s="84">
        <f t="shared" si="77"/>
        <v>9.5227091836734709E-2</v>
      </c>
      <c r="AI234" s="73">
        <f t="shared" si="78"/>
        <v>2390916.3265306121</v>
      </c>
      <c r="AJ234" s="73">
        <f t="shared" si="79"/>
        <v>3809083.6734693884</v>
      </c>
      <c r="AK234" s="46">
        <f>VLOOKUP(H234,'1_Value &amp; risk levers'!$H$9:$O$1048576,6,FALSE)</f>
        <v>0.02</v>
      </c>
      <c r="AL234" s="46">
        <f>VLOOKUP(H234,'1_Value &amp; risk levers'!$H$9:$O$1048576,7,FALSE)</f>
        <v>0.05</v>
      </c>
      <c r="AM234" s="50">
        <f t="shared" si="80"/>
        <v>3.5000000000000003E-2</v>
      </c>
      <c r="AN234" s="72">
        <f t="shared" si="81"/>
        <v>0.16279069767441862</v>
      </c>
      <c r="AO234" s="84">
        <f t="shared" si="82"/>
        <v>9.73047342192691E-3</v>
      </c>
      <c r="AP234" s="84">
        <f t="shared" si="83"/>
        <v>1.5502084717607978E-2</v>
      </c>
      <c r="AQ234" s="55">
        <f t="shared" si="84"/>
        <v>455813.95348837221</v>
      </c>
      <c r="AR234" s="55">
        <f t="shared" si="85"/>
        <v>553488.37209302338</v>
      </c>
      <c r="AS234" s="83">
        <f t="shared" si="69"/>
        <v>41</v>
      </c>
      <c r="AT234" s="50">
        <f t="shared" si="86"/>
        <v>3.3914285714285719</v>
      </c>
      <c r="AU234" s="55" t="str">
        <f t="shared" si="87"/>
        <v>Low</v>
      </c>
      <c r="AV234" s="34" t="s">
        <v>1509</v>
      </c>
      <c r="AW234" s="111"/>
      <c r="AX234" s="30" t="s">
        <v>1493</v>
      </c>
      <c r="AY234" s="30"/>
      <c r="AZ234" s="85" t="str">
        <f>IF(ISERROR(_xlfn.XLOOKUP(CONCATENATE(A234,"_",AV234),'Reference-Proof pt impact flag'!$I$3:$I$1048576,'Reference-Proof pt impact flag'!$G$3:$G$1048576)),"",_xlfn.XLOOKUP(CONCATENATE(A234,"_",AV234),'Reference-Proof pt impact flag'!$I$3:$I$1048576,'Reference-Proof pt impact flag'!$G$3:$G$1048576))</f>
        <v/>
      </c>
      <c r="BA234" s="74"/>
      <c r="BB234" s="74"/>
      <c r="BC234" s="74"/>
      <c r="BD234" s="74"/>
      <c r="BE234" s="74"/>
      <c r="BF234" s="74" t="e">
        <f>_xlfn.XLOOKUP(CONCATENATE(H234,"_",AV234),'Test 2 - Proof points - GPT5'!$T:$T,'Test 2 - Proof points - GPT5'!$S:$S)</f>
        <v>#N/A</v>
      </c>
      <c r="BG234" s="74" t="e">
        <f>_xlfn.XLOOKUP(CONCATENATE(H234,"_",AV234),'Test 2 -Proof points - Sonnet'!$AB:$AB,'Test 2 -Proof points - Sonnet'!$AA:$AA)</f>
        <v>#N/A</v>
      </c>
      <c r="BH234" s="74"/>
      <c r="BI234" s="74"/>
      <c r="BJ234" s="74" t="s">
        <v>1580</v>
      </c>
      <c r="BK234" s="30"/>
      <c r="BL234" s="30"/>
      <c r="BM234" s="30"/>
      <c r="BN234" s="30"/>
      <c r="BO234" s="30"/>
      <c r="BP234" s="30"/>
      <c r="BQ234" s="30"/>
      <c r="BR234" s="30"/>
      <c r="BS234" s="30"/>
      <c r="BT234" s="30"/>
      <c r="BU234" s="30"/>
      <c r="BV234" s="113"/>
    </row>
    <row r="235" spans="1:74" ht="23.5" hidden="1" customHeight="1" x14ac:dyDescent="0.35">
      <c r="A235" s="22">
        <v>6</v>
      </c>
      <c r="B235" s="22" t="s">
        <v>1451</v>
      </c>
      <c r="C235" s="22" t="s">
        <v>1452</v>
      </c>
      <c r="D235" s="22" t="s">
        <v>1224</v>
      </c>
      <c r="E235" s="22" t="s">
        <v>1453</v>
      </c>
      <c r="F235" s="22"/>
      <c r="G235" s="22" t="s">
        <v>1274</v>
      </c>
      <c r="H235" s="21" t="s">
        <v>1284</v>
      </c>
      <c r="I235" s="22"/>
      <c r="J235" s="21" t="s">
        <v>1579</v>
      </c>
      <c r="K235" s="30"/>
      <c r="L235" s="30" t="s">
        <v>1260</v>
      </c>
      <c r="M235" s="35" t="str">
        <f>VLOOKUP(H235,'1_Value &amp; risk levers'!$H$9:$O$1048576,2,FALSE)</f>
        <v>Not utilized</v>
      </c>
      <c r="N235" s="35" t="str">
        <f>VLOOKUP(H235,'1_Value &amp; risk levers'!$H$9:$O$1048576,3,FALSE)</f>
        <v>Basic usage for high-risk categories</v>
      </c>
      <c r="O235" s="35" t="str">
        <f>VLOOKUP(H235,'1_Value &amp; risk levers'!$H$9:$O$1048576,4,FALSE)</f>
        <v>Regularly employed for risk management</v>
      </c>
      <c r="P235" s="35" t="str">
        <f>VLOOKUP(H235,'1_Value &amp; risk levers'!$H$9:$O$1048576,5,FALSE)</f>
        <v>Strategically implemented with advanced forecasting</v>
      </c>
      <c r="Q235" s="128">
        <f>IF(VLOOKUP(H235,'1_Value &amp; risk levers'!$H$9:$T$1048576,13,FALSE)=0,"",VLOOKUP(H235,'1_Value &amp; risk levers'!$H$9:$T$1048576,13,FALSE))</f>
        <v>2</v>
      </c>
      <c r="R235" s="128">
        <f t="shared" si="66"/>
        <v>2</v>
      </c>
      <c r="S235" s="128" t="e">
        <f t="shared" si="67"/>
        <v>#DIV/0!</v>
      </c>
      <c r="T235" s="77"/>
      <c r="U235" s="77"/>
      <c r="V235" s="55"/>
      <c r="W235" s="71">
        <v>0.04</v>
      </c>
      <c r="X235" s="71">
        <v>0.1</v>
      </c>
      <c r="Y235" s="71">
        <f>VLOOKUP(H235,'1_Value &amp; risk levers'!$H$9:$O$1048576,8,FALSE)</f>
        <v>0.8</v>
      </c>
      <c r="Z235" s="51">
        <f t="shared" si="68"/>
        <v>7.0000000000000007E-2</v>
      </c>
      <c r="AA235" s="51">
        <f t="shared" si="70"/>
        <v>8.5000000000000006E-2</v>
      </c>
      <c r="AB235" s="55">
        <f t="shared" si="71"/>
        <v>2800000.0000000005</v>
      </c>
      <c r="AC235" s="55">
        <f t="shared" si="72"/>
        <v>3400000.0000000005</v>
      </c>
      <c r="AD235" s="80">
        <f t="shared" si="73"/>
        <v>7</v>
      </c>
      <c r="AE235" s="84">
        <f t="shared" si="74"/>
        <v>0.48864540816326468</v>
      </c>
      <c r="AF235" s="71" t="str">
        <f t="shared" si="75"/>
        <v>Low</v>
      </c>
      <c r="AG235" s="84">
        <f t="shared" si="76"/>
        <v>5.9772908163265304E-2</v>
      </c>
      <c r="AH235" s="84">
        <f t="shared" si="77"/>
        <v>9.5227091836734709E-2</v>
      </c>
      <c r="AI235" s="73">
        <f t="shared" si="78"/>
        <v>2390916.3265306121</v>
      </c>
      <c r="AJ235" s="73">
        <f t="shared" si="79"/>
        <v>3809083.6734693884</v>
      </c>
      <c r="AK235" s="46">
        <f>VLOOKUP(H235,'1_Value &amp; risk levers'!$H$9:$O$1048576,6,FALSE)</f>
        <v>0.02</v>
      </c>
      <c r="AL235" s="46">
        <f>VLOOKUP(H235,'1_Value &amp; risk levers'!$H$9:$O$1048576,7,FALSE)</f>
        <v>0.05</v>
      </c>
      <c r="AM235" s="50">
        <f t="shared" si="80"/>
        <v>3.5000000000000003E-2</v>
      </c>
      <c r="AN235" s="72">
        <f t="shared" si="81"/>
        <v>0.16279069767441862</v>
      </c>
      <c r="AO235" s="84">
        <f t="shared" si="82"/>
        <v>9.73047342192691E-3</v>
      </c>
      <c r="AP235" s="84">
        <f t="shared" si="83"/>
        <v>1.5502084717607978E-2</v>
      </c>
      <c r="AQ235" s="55">
        <f t="shared" si="84"/>
        <v>455813.95348837221</v>
      </c>
      <c r="AR235" s="55">
        <f t="shared" si="85"/>
        <v>553488.37209302338</v>
      </c>
      <c r="AS235" s="83">
        <f t="shared" si="69"/>
        <v>41</v>
      </c>
      <c r="AT235" s="50">
        <f t="shared" si="86"/>
        <v>3.3914285714285719</v>
      </c>
      <c r="AU235" s="55" t="str">
        <f t="shared" si="87"/>
        <v>Low</v>
      </c>
      <c r="AV235" s="34" t="s">
        <v>1510</v>
      </c>
      <c r="AW235" s="111"/>
      <c r="AX235" s="30" t="s">
        <v>1493</v>
      </c>
      <c r="AY235" s="27" t="s">
        <v>1593</v>
      </c>
      <c r="AZ235" s="85" t="str">
        <f>IF(ISERROR(_xlfn.XLOOKUP(CONCATENATE(A235,"_",AV235),'Reference-Proof pt impact flag'!$I$3:$I$1048576,'Reference-Proof pt impact flag'!$G$3:$G$1048576)),"",_xlfn.XLOOKUP(CONCATENATE(A235,"_",AV235),'Reference-Proof pt impact flag'!$I$3:$I$1048576,'Reference-Proof pt impact flag'!$G$3:$G$1048576))</f>
        <v>Low</v>
      </c>
      <c r="BA235" s="27" t="s">
        <v>1458</v>
      </c>
      <c r="BB235" s="74"/>
      <c r="BC235" s="74"/>
      <c r="BD235" s="74"/>
      <c r="BE235" s="74"/>
      <c r="BF235" s="74" t="str">
        <f>_xlfn.XLOOKUP(CONCATENATE(H235,"_",AV235),'Test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BG235" s="74" t="e">
        <f>_xlfn.XLOOKUP(CONCATENATE(H235,"_",AV235),'Test 2 -Proof points - Sonnet'!$AB:$AB,'Test 2 -Proof points - Sonnet'!$AA:$AA)</f>
        <v>#N/A</v>
      </c>
      <c r="BH235" s="74" t="s">
        <v>1586</v>
      </c>
      <c r="BI235" s="74"/>
      <c r="BJ235" s="74" t="s">
        <v>1580</v>
      </c>
      <c r="BK235" s="30"/>
      <c r="BL235" s="30"/>
      <c r="BM235" s="30"/>
      <c r="BN235" s="30"/>
      <c r="BO235" s="30"/>
      <c r="BP235" s="30"/>
      <c r="BQ235" s="30"/>
      <c r="BR235" s="30"/>
      <c r="BS235" s="30"/>
      <c r="BT235" s="30"/>
      <c r="BU235" s="30"/>
      <c r="BV235" s="113" t="s">
        <v>132</v>
      </c>
    </row>
    <row r="236" spans="1:74" ht="23.5" hidden="1" customHeight="1" x14ac:dyDescent="0.35">
      <c r="A236" s="22">
        <v>6</v>
      </c>
      <c r="B236" s="22" t="s">
        <v>1451</v>
      </c>
      <c r="C236" s="22" t="s">
        <v>1452</v>
      </c>
      <c r="D236" s="22" t="s">
        <v>1224</v>
      </c>
      <c r="E236" s="22" t="s">
        <v>1453</v>
      </c>
      <c r="F236" s="22"/>
      <c r="G236" s="22" t="s">
        <v>1274</v>
      </c>
      <c r="H236" s="21" t="s">
        <v>1284</v>
      </c>
      <c r="I236" s="22"/>
      <c r="J236" s="21" t="s">
        <v>1579</v>
      </c>
      <c r="K236" s="30"/>
      <c r="L236" s="30" t="s">
        <v>1260</v>
      </c>
      <c r="M236" s="35" t="str">
        <f>VLOOKUP(H236,'1_Value &amp; risk levers'!$H$9:$O$1048576,2,FALSE)</f>
        <v>Not utilized</v>
      </c>
      <c r="N236" s="35" t="str">
        <f>VLOOKUP(H236,'1_Value &amp; risk levers'!$H$9:$O$1048576,3,FALSE)</f>
        <v>Basic usage for high-risk categories</v>
      </c>
      <c r="O236" s="35" t="str">
        <f>VLOOKUP(H236,'1_Value &amp; risk levers'!$H$9:$O$1048576,4,FALSE)</f>
        <v>Regularly employed for risk management</v>
      </c>
      <c r="P236" s="35" t="str">
        <f>VLOOKUP(H236,'1_Value &amp; risk levers'!$H$9:$O$1048576,5,FALSE)</f>
        <v>Strategically implemented with advanced forecasting</v>
      </c>
      <c r="Q236" s="77">
        <f>IF(VLOOKUP(H236,'1_Value &amp; risk levers'!$H$9:$T$1048576,13,FALSE)=0,"",VLOOKUP(H236,'1_Value &amp; risk levers'!$H$9:$T$1048576,13,FALSE))</f>
        <v>2</v>
      </c>
      <c r="R236" s="128">
        <f t="shared" si="66"/>
        <v>2</v>
      </c>
      <c r="S236" s="128" t="e">
        <f t="shared" si="67"/>
        <v>#DIV/0!</v>
      </c>
      <c r="T236" s="77"/>
      <c r="U236" s="77"/>
      <c r="V236" s="55"/>
      <c r="W236" s="71">
        <v>0.04</v>
      </c>
      <c r="X236" s="71">
        <v>0.1</v>
      </c>
      <c r="Y236" s="71">
        <f>VLOOKUP(H236,'1_Value &amp; risk levers'!$H$9:$O$1048576,8,FALSE)</f>
        <v>0.8</v>
      </c>
      <c r="Z236" s="51">
        <f t="shared" si="68"/>
        <v>7.0000000000000007E-2</v>
      </c>
      <c r="AA236" s="51">
        <f t="shared" si="70"/>
        <v>8.5000000000000006E-2</v>
      </c>
      <c r="AB236" s="55">
        <f t="shared" si="71"/>
        <v>2800000.0000000005</v>
      </c>
      <c r="AC236" s="55">
        <f t="shared" si="72"/>
        <v>3400000.0000000005</v>
      </c>
      <c r="AD236" s="80">
        <f t="shared" si="73"/>
        <v>7</v>
      </c>
      <c r="AE236" s="84">
        <f t="shared" si="74"/>
        <v>0.48864540816326468</v>
      </c>
      <c r="AF236" s="71" t="str">
        <f t="shared" si="75"/>
        <v>Low</v>
      </c>
      <c r="AG236" s="84">
        <f t="shared" si="76"/>
        <v>5.9772908163265304E-2</v>
      </c>
      <c r="AH236" s="84">
        <f t="shared" si="77"/>
        <v>9.5227091836734709E-2</v>
      </c>
      <c r="AI236" s="73">
        <f t="shared" si="78"/>
        <v>2390916.3265306121</v>
      </c>
      <c r="AJ236" s="73">
        <f t="shared" si="79"/>
        <v>3809083.6734693884</v>
      </c>
      <c r="AK236" s="46">
        <f>VLOOKUP(H236,'1_Value &amp; risk levers'!$H$9:$O$1048576,6,FALSE)</f>
        <v>0.02</v>
      </c>
      <c r="AL236" s="46">
        <f>VLOOKUP(H236,'1_Value &amp; risk levers'!$H$9:$O$1048576,7,FALSE)</f>
        <v>0.05</v>
      </c>
      <c r="AM236" s="50">
        <f t="shared" si="80"/>
        <v>3.5000000000000003E-2</v>
      </c>
      <c r="AN236" s="72">
        <f t="shared" si="81"/>
        <v>0.16279069767441862</v>
      </c>
      <c r="AO236" s="84">
        <f t="shared" si="82"/>
        <v>9.73047342192691E-3</v>
      </c>
      <c r="AP236" s="84">
        <f t="shared" si="83"/>
        <v>1.5502084717607978E-2</v>
      </c>
      <c r="AQ236" s="55">
        <f t="shared" si="84"/>
        <v>455813.95348837221</v>
      </c>
      <c r="AR236" s="55">
        <f t="shared" si="85"/>
        <v>553488.37209302338</v>
      </c>
      <c r="AS236" s="83">
        <f t="shared" si="69"/>
        <v>41</v>
      </c>
      <c r="AT236" s="50">
        <f t="shared" si="86"/>
        <v>3.3914285714285719</v>
      </c>
      <c r="AU236" s="55" t="str">
        <f t="shared" si="87"/>
        <v>Low</v>
      </c>
      <c r="AV236" s="34" t="s">
        <v>1511</v>
      </c>
      <c r="AW236" s="111"/>
      <c r="AX236" s="30" t="s">
        <v>1493</v>
      </c>
      <c r="AY236" s="30" t="s">
        <v>1594</v>
      </c>
      <c r="AZ236" s="85" t="str">
        <f>IF(ISERROR(_xlfn.XLOOKUP(CONCATENATE(A236,"_",AV236),'Reference-Proof pt impact flag'!$I$3:$I$1048576,'Reference-Proof pt impact flag'!$G$3:$G$1048576)),"",_xlfn.XLOOKUP(CONCATENATE(A236,"_",AV236),'Reference-Proof pt impact flag'!$I$3:$I$1048576,'Reference-Proof pt impact flag'!$G$3:$G$1048576))</f>
        <v>Low</v>
      </c>
      <c r="BA236" s="27" t="s">
        <v>1458</v>
      </c>
      <c r="BB236" s="74"/>
      <c r="BC236" s="74"/>
      <c r="BD236" s="74"/>
      <c r="BE236" s="74"/>
      <c r="BF236" s="74" t="str">
        <f>_xlfn.XLOOKUP(CONCATENATE(H236,"_",AV236),'Test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BG236" s="74" t="e">
        <f>_xlfn.XLOOKUP(CONCATENATE(H236,"_",AV236),'Test 2 -Proof points - Sonnet'!$AB:$AB,'Test 2 -Proof points - Sonnet'!$AA:$AA)</f>
        <v>#N/A</v>
      </c>
      <c r="BH236" s="74" t="s">
        <v>1586</v>
      </c>
      <c r="BI236" s="74"/>
      <c r="BJ236" s="74" t="s">
        <v>1580</v>
      </c>
      <c r="BK236" s="30"/>
      <c r="BL236" s="30"/>
      <c r="BM236" s="30"/>
      <c r="BN236" s="30"/>
      <c r="BO236" s="30"/>
      <c r="BP236" s="30"/>
      <c r="BQ236" s="30"/>
      <c r="BR236" s="30"/>
      <c r="BS236" s="30"/>
      <c r="BT236" s="30"/>
      <c r="BU236" s="30"/>
      <c r="BV236" s="113" t="s">
        <v>132</v>
      </c>
    </row>
    <row r="237" spans="1:74" ht="23.5" hidden="1" customHeight="1" x14ac:dyDescent="0.35">
      <c r="A237" s="22">
        <v>6</v>
      </c>
      <c r="B237" s="22" t="s">
        <v>1451</v>
      </c>
      <c r="C237" s="22" t="s">
        <v>1452</v>
      </c>
      <c r="D237" s="22" t="s">
        <v>1224</v>
      </c>
      <c r="E237" s="22" t="s">
        <v>1453</v>
      </c>
      <c r="F237" s="22"/>
      <c r="G237" s="22" t="s">
        <v>1274</v>
      </c>
      <c r="H237" s="21" t="s">
        <v>1284</v>
      </c>
      <c r="I237" s="22"/>
      <c r="J237" s="21" t="s">
        <v>1579</v>
      </c>
      <c r="K237" s="30"/>
      <c r="L237" s="30" t="s">
        <v>1260</v>
      </c>
      <c r="M237" s="35" t="str">
        <f>VLOOKUP(H237,'1_Value &amp; risk levers'!$H$9:$O$1048576,2,FALSE)</f>
        <v>Not utilized</v>
      </c>
      <c r="N237" s="35" t="str">
        <f>VLOOKUP(H237,'1_Value &amp; risk levers'!$H$9:$O$1048576,3,FALSE)</f>
        <v>Basic usage for high-risk categories</v>
      </c>
      <c r="O237" s="35" t="str">
        <f>VLOOKUP(H237,'1_Value &amp; risk levers'!$H$9:$O$1048576,4,FALSE)</f>
        <v>Regularly employed for risk management</v>
      </c>
      <c r="P237" s="35" t="str">
        <f>VLOOKUP(H237,'1_Value &amp; risk levers'!$H$9:$O$1048576,5,FALSE)</f>
        <v>Strategically implemented with advanced forecasting</v>
      </c>
      <c r="Q237" s="77">
        <f>IF(VLOOKUP(H237,'1_Value &amp; risk levers'!$H$9:$T$1048576,13,FALSE)=0,"",VLOOKUP(H237,'1_Value &amp; risk levers'!$H$9:$T$1048576,13,FALSE))</f>
        <v>2</v>
      </c>
      <c r="R237" s="128">
        <f t="shared" si="66"/>
        <v>2</v>
      </c>
      <c r="S237" s="128" t="e">
        <f t="shared" si="67"/>
        <v>#DIV/0!</v>
      </c>
      <c r="T237" s="77"/>
      <c r="U237" s="77"/>
      <c r="V237" s="55"/>
      <c r="W237" s="71">
        <v>0.04</v>
      </c>
      <c r="X237" s="71">
        <v>0.1</v>
      </c>
      <c r="Y237" s="71">
        <f>VLOOKUP(H237,'1_Value &amp; risk levers'!$H$9:$O$1048576,8,FALSE)</f>
        <v>0.8</v>
      </c>
      <c r="Z237" s="51">
        <f t="shared" si="68"/>
        <v>7.0000000000000007E-2</v>
      </c>
      <c r="AA237" s="51">
        <f t="shared" si="70"/>
        <v>8.5000000000000006E-2</v>
      </c>
      <c r="AB237" s="55">
        <f t="shared" si="71"/>
        <v>2800000.0000000005</v>
      </c>
      <c r="AC237" s="55">
        <f t="shared" si="72"/>
        <v>3400000.0000000005</v>
      </c>
      <c r="AD237" s="80">
        <f t="shared" si="73"/>
        <v>7</v>
      </c>
      <c r="AE237" s="84">
        <f t="shared" si="74"/>
        <v>0.48864540816326468</v>
      </c>
      <c r="AF237" s="71" t="str">
        <f t="shared" si="75"/>
        <v>Low</v>
      </c>
      <c r="AG237" s="84">
        <f t="shared" si="76"/>
        <v>5.9772908163265304E-2</v>
      </c>
      <c r="AH237" s="84">
        <f t="shared" si="77"/>
        <v>9.5227091836734709E-2</v>
      </c>
      <c r="AI237" s="73">
        <f t="shared" si="78"/>
        <v>2390916.3265306121</v>
      </c>
      <c r="AJ237" s="73">
        <f t="shared" si="79"/>
        <v>3809083.6734693884</v>
      </c>
      <c r="AK237" s="46">
        <f>VLOOKUP(H237,'1_Value &amp; risk levers'!$H$9:$O$1048576,6,FALSE)</f>
        <v>0.02</v>
      </c>
      <c r="AL237" s="46">
        <f>VLOOKUP(H237,'1_Value &amp; risk levers'!$H$9:$O$1048576,7,FALSE)</f>
        <v>0.05</v>
      </c>
      <c r="AM237" s="50">
        <f t="shared" si="80"/>
        <v>3.5000000000000003E-2</v>
      </c>
      <c r="AN237" s="72">
        <f t="shared" si="81"/>
        <v>0.16279069767441862</v>
      </c>
      <c r="AO237" s="84">
        <f t="shared" si="82"/>
        <v>9.73047342192691E-3</v>
      </c>
      <c r="AP237" s="84">
        <f t="shared" si="83"/>
        <v>1.5502084717607978E-2</v>
      </c>
      <c r="AQ237" s="55">
        <f t="shared" si="84"/>
        <v>455813.95348837221</v>
      </c>
      <c r="AR237" s="55">
        <f t="shared" si="85"/>
        <v>553488.37209302338</v>
      </c>
      <c r="AS237" s="83">
        <f t="shared" si="69"/>
        <v>41</v>
      </c>
      <c r="AT237" s="50">
        <f t="shared" si="86"/>
        <v>3.3914285714285719</v>
      </c>
      <c r="AU237" s="55" t="str">
        <f t="shared" si="87"/>
        <v>Low</v>
      </c>
      <c r="AV237" s="34" t="s">
        <v>1512</v>
      </c>
      <c r="AW237" s="111"/>
      <c r="AX237" s="30" t="s">
        <v>1493</v>
      </c>
      <c r="AY237" s="27" t="s">
        <v>1595</v>
      </c>
      <c r="AZ237" s="85" t="str">
        <f>IF(ISERROR(_xlfn.XLOOKUP(CONCATENATE(A237,"_",AV237),'Reference-Proof pt impact flag'!$I$3:$I$1048576,'Reference-Proof pt impact flag'!$G$3:$G$1048576)),"",_xlfn.XLOOKUP(CONCATENATE(A237,"_",AV237),'Reference-Proof pt impact flag'!$I$3:$I$1048576,'Reference-Proof pt impact flag'!$G$3:$G$1048576))</f>
        <v>Low</v>
      </c>
      <c r="BA237" s="27" t="s">
        <v>1458</v>
      </c>
      <c r="BB237" s="30" t="s">
        <v>1449</v>
      </c>
      <c r="BC237" s="27" t="s">
        <v>1596</v>
      </c>
      <c r="BD237" s="85" t="s">
        <v>1521</v>
      </c>
      <c r="BE237" s="74" t="s">
        <v>1597</v>
      </c>
      <c r="BF237" s="74" t="str">
        <f>_xlfn.XLOOKUP(CONCATENATE(H237,"_",AV237),'Test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BG237" s="74" t="e">
        <f>_xlfn.XLOOKUP(CONCATENATE(H237,"_",AV237),'Test 2 -Proof points - Sonnet'!$AB:$AB,'Test 2 -Proof points - Sonnet'!$AA:$AA)</f>
        <v>#N/A</v>
      </c>
      <c r="BH237" s="74" t="s">
        <v>1586</v>
      </c>
      <c r="BI237" s="74"/>
      <c r="BJ237" s="74" t="s">
        <v>1580</v>
      </c>
      <c r="BK237" s="30" t="s">
        <v>132</v>
      </c>
      <c r="BL237" s="30" t="s">
        <v>132</v>
      </c>
      <c r="BM237" s="30"/>
      <c r="BN237" s="30"/>
      <c r="BO237" s="30"/>
      <c r="BP237" s="30"/>
      <c r="BQ237" s="30"/>
      <c r="BR237" s="30"/>
      <c r="BS237" s="30"/>
      <c r="BT237" s="30"/>
      <c r="BU237" s="30"/>
      <c r="BV237" s="113" t="s">
        <v>132</v>
      </c>
    </row>
    <row r="238" spans="1:74" ht="217.5" hidden="1" x14ac:dyDescent="0.35">
      <c r="A238" s="22">
        <v>6</v>
      </c>
      <c r="B238" s="22" t="s">
        <v>1451</v>
      </c>
      <c r="C238" s="22" t="s">
        <v>1452</v>
      </c>
      <c r="D238" s="22" t="s">
        <v>1224</v>
      </c>
      <c r="E238" s="22" t="s">
        <v>1453</v>
      </c>
      <c r="F238" s="22"/>
      <c r="G238" s="22" t="s">
        <v>1274</v>
      </c>
      <c r="H238" s="21" t="s">
        <v>1284</v>
      </c>
      <c r="I238" s="22"/>
      <c r="J238" s="21" t="s">
        <v>1579</v>
      </c>
      <c r="K238" s="30"/>
      <c r="L238" s="30" t="s">
        <v>1260</v>
      </c>
      <c r="M238" s="35" t="str">
        <f>VLOOKUP(H238,'1_Value &amp; risk levers'!$H$9:$O$1048576,2,FALSE)</f>
        <v>Not utilized</v>
      </c>
      <c r="N238" s="35" t="str">
        <f>VLOOKUP(H238,'1_Value &amp; risk levers'!$H$9:$O$1048576,3,FALSE)</f>
        <v>Basic usage for high-risk categories</v>
      </c>
      <c r="O238" s="35" t="str">
        <f>VLOOKUP(H238,'1_Value &amp; risk levers'!$H$9:$O$1048576,4,FALSE)</f>
        <v>Regularly employed for risk management</v>
      </c>
      <c r="P238" s="35" t="str">
        <f>VLOOKUP(H238,'1_Value &amp; risk levers'!$H$9:$O$1048576,5,FALSE)</f>
        <v>Strategically implemented with advanced forecasting</v>
      </c>
      <c r="Q238" s="77">
        <f>IF(VLOOKUP(H238,'1_Value &amp; risk levers'!$H$9:$T$1048576,13,FALSE)=0,"",VLOOKUP(H238,'1_Value &amp; risk levers'!$H$9:$T$1048576,13,FALSE))</f>
        <v>2</v>
      </c>
      <c r="R238" s="128">
        <f t="shared" si="66"/>
        <v>2</v>
      </c>
      <c r="S238" s="128" t="e">
        <f t="shared" si="67"/>
        <v>#DIV/0!</v>
      </c>
      <c r="T238" s="77"/>
      <c r="U238" s="77"/>
      <c r="V238" s="55"/>
      <c r="W238" s="71">
        <v>0.04</v>
      </c>
      <c r="X238" s="71">
        <v>0.1</v>
      </c>
      <c r="Y238" s="71">
        <f>VLOOKUP(H238,'1_Value &amp; risk levers'!$H$9:$O$1048576,8,FALSE)</f>
        <v>0.8</v>
      </c>
      <c r="Z238" s="51">
        <f t="shared" si="68"/>
        <v>7.0000000000000007E-2</v>
      </c>
      <c r="AA238" s="51">
        <f t="shared" si="70"/>
        <v>8.5000000000000006E-2</v>
      </c>
      <c r="AB238" s="55">
        <f t="shared" si="71"/>
        <v>2800000.0000000005</v>
      </c>
      <c r="AC238" s="55">
        <f t="shared" si="72"/>
        <v>3400000.0000000005</v>
      </c>
      <c r="AD238" s="80">
        <f t="shared" si="73"/>
        <v>7</v>
      </c>
      <c r="AE238" s="84">
        <f t="shared" si="74"/>
        <v>0.48864540816326468</v>
      </c>
      <c r="AF238" s="71" t="str">
        <f t="shared" si="75"/>
        <v>Low</v>
      </c>
      <c r="AG238" s="84">
        <f t="shared" si="76"/>
        <v>5.9772908163265304E-2</v>
      </c>
      <c r="AH238" s="84">
        <f t="shared" si="77"/>
        <v>9.5227091836734709E-2</v>
      </c>
      <c r="AI238" s="73">
        <f t="shared" si="78"/>
        <v>2390916.3265306121</v>
      </c>
      <c r="AJ238" s="73">
        <f t="shared" si="79"/>
        <v>3809083.6734693884</v>
      </c>
      <c r="AK238" s="46">
        <f>VLOOKUP(H238,'1_Value &amp; risk levers'!$H$9:$O$1048576,6,FALSE)</f>
        <v>0.02</v>
      </c>
      <c r="AL238" s="46">
        <f>VLOOKUP(H238,'1_Value &amp; risk levers'!$H$9:$O$1048576,7,FALSE)</f>
        <v>0.05</v>
      </c>
      <c r="AM238" s="50">
        <f t="shared" si="80"/>
        <v>3.5000000000000003E-2</v>
      </c>
      <c r="AN238" s="72">
        <f t="shared" si="81"/>
        <v>0.16279069767441862</v>
      </c>
      <c r="AO238" s="84">
        <f t="shared" si="82"/>
        <v>9.73047342192691E-3</v>
      </c>
      <c r="AP238" s="84">
        <f t="shared" si="83"/>
        <v>1.5502084717607978E-2</v>
      </c>
      <c r="AQ238" s="55">
        <f t="shared" si="84"/>
        <v>455813.95348837221</v>
      </c>
      <c r="AR238" s="55">
        <f t="shared" si="85"/>
        <v>553488.37209302338</v>
      </c>
      <c r="AS238" s="83">
        <f t="shared" si="69"/>
        <v>41</v>
      </c>
      <c r="AT238" s="50">
        <f t="shared" si="86"/>
        <v>3.3914285714285719</v>
      </c>
      <c r="AU238" s="55" t="str">
        <f t="shared" si="87"/>
        <v>Low</v>
      </c>
      <c r="AV238" s="34" t="s">
        <v>1513</v>
      </c>
      <c r="AW238" s="111"/>
      <c r="AX238" s="30" t="s">
        <v>1493</v>
      </c>
      <c r="AY238" s="30"/>
      <c r="AZ238" s="85" t="str">
        <f>IF(ISERROR(_xlfn.XLOOKUP(CONCATENATE(A238,"_",AV238),'Reference-Proof pt impact flag'!$I$3:$I$1048576,'Reference-Proof pt impact flag'!$G$3:$G$1048576)),"",_xlfn.XLOOKUP(CONCATENATE(A238,"_",AV238),'Reference-Proof pt impact flag'!$I$3:$I$1048576,'Reference-Proof pt impact flag'!$G$3:$G$1048576))</f>
        <v/>
      </c>
      <c r="BA238" s="74"/>
      <c r="BB238" s="74"/>
      <c r="BC238" s="74"/>
      <c r="BD238" s="74"/>
      <c r="BE238" s="74"/>
      <c r="BF238" s="74" t="e">
        <f>_xlfn.XLOOKUP(CONCATENATE(H238,"_",AV238),'Test 2 - Proof points - GPT5'!$T:$T,'Test 2 - Proof points - GPT5'!$S:$S)</f>
        <v>#N/A</v>
      </c>
      <c r="BG238" s="74" t="e">
        <f>_xlfn.XLOOKUP(CONCATENATE(H238,"_",AV238),'Test 2 -Proof points - Sonnet'!$AB:$AB,'Test 2 -Proof points - Sonnet'!$AA:$AA)</f>
        <v>#N/A</v>
      </c>
      <c r="BH238" s="74"/>
      <c r="BI238" s="74"/>
      <c r="BJ238" s="74" t="s">
        <v>1580</v>
      </c>
      <c r="BK238" s="30"/>
      <c r="BL238" s="30"/>
      <c r="BM238" s="30"/>
      <c r="BN238" s="30"/>
      <c r="BO238" s="30"/>
      <c r="BP238" s="30"/>
      <c r="BQ238" s="30"/>
      <c r="BR238" s="30"/>
      <c r="BS238" s="30"/>
      <c r="BT238" s="30"/>
      <c r="BU238" s="30"/>
      <c r="BV238" s="113"/>
    </row>
    <row r="239" spans="1:74" ht="217.5" hidden="1" x14ac:dyDescent="0.35">
      <c r="A239" s="22">
        <v>6</v>
      </c>
      <c r="B239" s="22" t="s">
        <v>1451</v>
      </c>
      <c r="C239" s="22" t="s">
        <v>1452</v>
      </c>
      <c r="D239" s="22" t="s">
        <v>1224</v>
      </c>
      <c r="E239" s="22" t="s">
        <v>1453</v>
      </c>
      <c r="F239" s="22"/>
      <c r="G239" s="22" t="s">
        <v>1274</v>
      </c>
      <c r="H239" s="21" t="s">
        <v>1284</v>
      </c>
      <c r="I239" s="22"/>
      <c r="J239" s="21" t="s">
        <v>1579</v>
      </c>
      <c r="K239" s="30"/>
      <c r="L239" s="30" t="s">
        <v>1260</v>
      </c>
      <c r="M239" s="35" t="str">
        <f>VLOOKUP(H239,'1_Value &amp; risk levers'!$H$9:$O$1048576,2,FALSE)</f>
        <v>Not utilized</v>
      </c>
      <c r="N239" s="35" t="str">
        <f>VLOOKUP(H239,'1_Value &amp; risk levers'!$H$9:$O$1048576,3,FALSE)</f>
        <v>Basic usage for high-risk categories</v>
      </c>
      <c r="O239" s="35" t="str">
        <f>VLOOKUP(H239,'1_Value &amp; risk levers'!$H$9:$O$1048576,4,FALSE)</f>
        <v>Regularly employed for risk management</v>
      </c>
      <c r="P239" s="35" t="str">
        <f>VLOOKUP(H239,'1_Value &amp; risk levers'!$H$9:$O$1048576,5,FALSE)</f>
        <v>Strategically implemented with advanced forecasting</v>
      </c>
      <c r="Q239" s="77">
        <f>IF(VLOOKUP(H239,'1_Value &amp; risk levers'!$H$9:$T$1048576,13,FALSE)=0,"",VLOOKUP(H239,'1_Value &amp; risk levers'!$H$9:$T$1048576,13,FALSE))</f>
        <v>2</v>
      </c>
      <c r="R239" s="128">
        <f t="shared" si="66"/>
        <v>2</v>
      </c>
      <c r="S239" s="128" t="e">
        <f t="shared" si="67"/>
        <v>#DIV/0!</v>
      </c>
      <c r="T239" s="77"/>
      <c r="U239" s="77"/>
      <c r="V239" s="55"/>
      <c r="W239" s="71">
        <v>0.04</v>
      </c>
      <c r="X239" s="71">
        <v>0.1</v>
      </c>
      <c r="Y239" s="71">
        <f>VLOOKUP(H239,'1_Value &amp; risk levers'!$H$9:$O$1048576,8,FALSE)</f>
        <v>0.8</v>
      </c>
      <c r="Z239" s="51">
        <f t="shared" si="68"/>
        <v>7.0000000000000007E-2</v>
      </c>
      <c r="AA239" s="51">
        <f t="shared" si="70"/>
        <v>8.5000000000000006E-2</v>
      </c>
      <c r="AB239" s="55">
        <f t="shared" si="71"/>
        <v>2800000.0000000005</v>
      </c>
      <c r="AC239" s="55">
        <f t="shared" si="72"/>
        <v>3400000.0000000005</v>
      </c>
      <c r="AD239" s="80">
        <f t="shared" si="73"/>
        <v>7</v>
      </c>
      <c r="AE239" s="84">
        <f t="shared" si="74"/>
        <v>0.48864540816326468</v>
      </c>
      <c r="AF239" s="71" t="str">
        <f t="shared" si="75"/>
        <v>Low</v>
      </c>
      <c r="AG239" s="84">
        <f t="shared" si="76"/>
        <v>5.9772908163265304E-2</v>
      </c>
      <c r="AH239" s="84">
        <f t="shared" si="77"/>
        <v>9.5227091836734709E-2</v>
      </c>
      <c r="AI239" s="73">
        <f t="shared" si="78"/>
        <v>2390916.3265306121</v>
      </c>
      <c r="AJ239" s="73">
        <f t="shared" si="79"/>
        <v>3809083.6734693884</v>
      </c>
      <c r="AK239" s="46">
        <f>VLOOKUP(H239,'1_Value &amp; risk levers'!$H$9:$O$1048576,6,FALSE)</f>
        <v>0.02</v>
      </c>
      <c r="AL239" s="46">
        <f>VLOOKUP(H239,'1_Value &amp; risk levers'!$H$9:$O$1048576,7,FALSE)</f>
        <v>0.05</v>
      </c>
      <c r="AM239" s="50">
        <f t="shared" si="80"/>
        <v>3.5000000000000003E-2</v>
      </c>
      <c r="AN239" s="72">
        <f t="shared" si="81"/>
        <v>0.16279069767441862</v>
      </c>
      <c r="AO239" s="84">
        <f t="shared" si="82"/>
        <v>9.73047342192691E-3</v>
      </c>
      <c r="AP239" s="84">
        <f t="shared" si="83"/>
        <v>1.5502084717607978E-2</v>
      </c>
      <c r="AQ239" s="55">
        <f t="shared" si="84"/>
        <v>455813.95348837221</v>
      </c>
      <c r="AR239" s="55">
        <f t="shared" si="85"/>
        <v>553488.37209302338</v>
      </c>
      <c r="AS239" s="83">
        <f t="shared" si="69"/>
        <v>41</v>
      </c>
      <c r="AT239" s="50">
        <f t="shared" si="86"/>
        <v>3.3914285714285719</v>
      </c>
      <c r="AU239" s="55" t="str">
        <f t="shared" si="87"/>
        <v>Low</v>
      </c>
      <c r="AV239" s="34" t="s">
        <v>1514</v>
      </c>
      <c r="AW239" s="111"/>
      <c r="AX239" s="30" t="s">
        <v>1493</v>
      </c>
      <c r="AY239" s="30"/>
      <c r="AZ239" s="85" t="str">
        <f>IF(ISERROR(_xlfn.XLOOKUP(CONCATENATE(A239,"_",AV239),'Reference-Proof pt impact flag'!$I$3:$I$1048576,'Reference-Proof pt impact flag'!$G$3:$G$1048576)),"",_xlfn.XLOOKUP(CONCATENATE(A239,"_",AV239),'Reference-Proof pt impact flag'!$I$3:$I$1048576,'Reference-Proof pt impact flag'!$G$3:$G$1048576))</f>
        <v/>
      </c>
      <c r="BA239" s="74"/>
      <c r="BB239" s="74"/>
      <c r="BC239" s="74"/>
      <c r="BD239" s="74"/>
      <c r="BE239" s="74"/>
      <c r="BF239" s="74" t="e">
        <f>_xlfn.XLOOKUP(CONCATENATE(H239,"_",AV239),'Test 2 - Proof points - GPT5'!$T:$T,'Test 2 - Proof points - GPT5'!$S:$S)</f>
        <v>#N/A</v>
      </c>
      <c r="BG239" s="74" t="e">
        <f>_xlfn.XLOOKUP(CONCATENATE(H239,"_",AV239),'Test 2 -Proof points - Sonnet'!$AB:$AB,'Test 2 -Proof points - Sonnet'!$AA:$AA)</f>
        <v>#N/A</v>
      </c>
      <c r="BH239" s="74"/>
      <c r="BI239" s="74"/>
      <c r="BJ239" s="74" t="s">
        <v>1580</v>
      </c>
      <c r="BK239" s="30"/>
      <c r="BL239" s="30"/>
      <c r="BM239" s="30"/>
      <c r="BN239" s="30"/>
      <c r="BO239" s="30"/>
      <c r="BP239" s="30"/>
      <c r="BQ239" s="30"/>
      <c r="BR239" s="30"/>
      <c r="BS239" s="30"/>
      <c r="BT239" s="30"/>
      <c r="BU239" s="30"/>
      <c r="BV239" s="113"/>
    </row>
    <row r="240" spans="1:74" ht="217.5" hidden="1" x14ac:dyDescent="0.35">
      <c r="A240" s="22">
        <v>6</v>
      </c>
      <c r="B240" s="22" t="s">
        <v>1451</v>
      </c>
      <c r="C240" s="22" t="s">
        <v>1452</v>
      </c>
      <c r="D240" s="22" t="s">
        <v>1224</v>
      </c>
      <c r="E240" s="22" t="s">
        <v>1453</v>
      </c>
      <c r="F240" s="22"/>
      <c r="G240" s="22" t="s">
        <v>1274</v>
      </c>
      <c r="H240" s="21" t="s">
        <v>1284</v>
      </c>
      <c r="I240" s="22"/>
      <c r="J240" s="21" t="s">
        <v>1579</v>
      </c>
      <c r="K240" s="30"/>
      <c r="L240" s="30" t="s">
        <v>1260</v>
      </c>
      <c r="M240" s="35" t="str">
        <f>VLOOKUP(H240,'1_Value &amp; risk levers'!$H$9:$O$1048576,2,FALSE)</f>
        <v>Not utilized</v>
      </c>
      <c r="N240" s="35" t="str">
        <f>VLOOKUP(H240,'1_Value &amp; risk levers'!$H$9:$O$1048576,3,FALSE)</f>
        <v>Basic usage for high-risk categories</v>
      </c>
      <c r="O240" s="35" t="str">
        <f>VLOOKUP(H240,'1_Value &amp; risk levers'!$H$9:$O$1048576,4,FALSE)</f>
        <v>Regularly employed for risk management</v>
      </c>
      <c r="P240" s="35" t="str">
        <f>VLOOKUP(H240,'1_Value &amp; risk levers'!$H$9:$O$1048576,5,FALSE)</f>
        <v>Strategically implemented with advanced forecasting</v>
      </c>
      <c r="Q240" s="77">
        <f>IF(VLOOKUP(H240,'1_Value &amp; risk levers'!$H$9:$T$1048576,13,FALSE)=0,"",VLOOKUP(H240,'1_Value &amp; risk levers'!$H$9:$T$1048576,13,FALSE))</f>
        <v>2</v>
      </c>
      <c r="R240" s="128">
        <f t="shared" si="66"/>
        <v>2</v>
      </c>
      <c r="S240" s="128" t="e">
        <f t="shared" si="67"/>
        <v>#DIV/0!</v>
      </c>
      <c r="T240" s="77"/>
      <c r="U240" s="77"/>
      <c r="V240" s="55"/>
      <c r="W240" s="71">
        <v>0.04</v>
      </c>
      <c r="X240" s="71">
        <v>0.1</v>
      </c>
      <c r="Y240" s="71">
        <f>VLOOKUP(H240,'1_Value &amp; risk levers'!$H$9:$O$1048576,8,FALSE)</f>
        <v>0.8</v>
      </c>
      <c r="Z240" s="51">
        <f t="shared" si="68"/>
        <v>7.0000000000000007E-2</v>
      </c>
      <c r="AA240" s="51">
        <f t="shared" si="70"/>
        <v>8.5000000000000006E-2</v>
      </c>
      <c r="AB240" s="55">
        <f t="shared" si="71"/>
        <v>2800000.0000000005</v>
      </c>
      <c r="AC240" s="55">
        <f t="shared" si="72"/>
        <v>3400000.0000000005</v>
      </c>
      <c r="AD240" s="80">
        <f t="shared" si="73"/>
        <v>7</v>
      </c>
      <c r="AE240" s="84">
        <f t="shared" si="74"/>
        <v>0.48864540816326468</v>
      </c>
      <c r="AF240" s="71" t="str">
        <f t="shared" si="75"/>
        <v>Low</v>
      </c>
      <c r="AG240" s="84">
        <f t="shared" si="76"/>
        <v>5.9772908163265304E-2</v>
      </c>
      <c r="AH240" s="84">
        <f t="shared" si="77"/>
        <v>9.5227091836734709E-2</v>
      </c>
      <c r="AI240" s="73">
        <f t="shared" si="78"/>
        <v>2390916.3265306121</v>
      </c>
      <c r="AJ240" s="73">
        <f t="shared" si="79"/>
        <v>3809083.6734693884</v>
      </c>
      <c r="AK240" s="46">
        <f>VLOOKUP(H240,'1_Value &amp; risk levers'!$H$9:$O$1048576,6,FALSE)</f>
        <v>0.02</v>
      </c>
      <c r="AL240" s="46">
        <f>VLOOKUP(H240,'1_Value &amp; risk levers'!$H$9:$O$1048576,7,FALSE)</f>
        <v>0.05</v>
      </c>
      <c r="AM240" s="50">
        <f t="shared" si="80"/>
        <v>3.5000000000000003E-2</v>
      </c>
      <c r="AN240" s="72">
        <f t="shared" si="81"/>
        <v>0.16279069767441862</v>
      </c>
      <c r="AO240" s="84">
        <f t="shared" si="82"/>
        <v>9.73047342192691E-3</v>
      </c>
      <c r="AP240" s="84">
        <f t="shared" si="83"/>
        <v>1.5502084717607978E-2</v>
      </c>
      <c r="AQ240" s="55">
        <f t="shared" si="84"/>
        <v>455813.95348837221</v>
      </c>
      <c r="AR240" s="55">
        <f t="shared" si="85"/>
        <v>553488.37209302338</v>
      </c>
      <c r="AS240" s="83">
        <f t="shared" si="69"/>
        <v>41</v>
      </c>
      <c r="AT240" s="50">
        <f t="shared" si="86"/>
        <v>3.3914285714285719</v>
      </c>
      <c r="AU240" s="55" t="str">
        <f t="shared" si="87"/>
        <v>Low</v>
      </c>
      <c r="AV240" s="34" t="s">
        <v>1515</v>
      </c>
      <c r="AW240" s="111"/>
      <c r="AX240" s="30" t="s">
        <v>1493</v>
      </c>
      <c r="AY240" s="30"/>
      <c r="AZ240" s="85" t="str">
        <f>IF(ISERROR(_xlfn.XLOOKUP(CONCATENATE(A240,"_",AV240),'Reference-Proof pt impact flag'!$I$3:$I$1048576,'Reference-Proof pt impact flag'!$G$3:$G$1048576)),"",_xlfn.XLOOKUP(CONCATENATE(A240,"_",AV240),'Reference-Proof pt impact flag'!$I$3:$I$1048576,'Reference-Proof pt impact flag'!$G$3:$G$1048576))</f>
        <v/>
      </c>
      <c r="BA240" s="74"/>
      <c r="BB240" s="74"/>
      <c r="BC240" s="74"/>
      <c r="BD240" s="74"/>
      <c r="BE240" s="74"/>
      <c r="BF240" s="74" t="e">
        <f>_xlfn.XLOOKUP(CONCATENATE(H240,"_",AV240),'Test 2 - Proof points - GPT5'!$T:$T,'Test 2 - Proof points - GPT5'!$S:$S)</f>
        <v>#N/A</v>
      </c>
      <c r="BG240" s="74" t="e">
        <f>_xlfn.XLOOKUP(CONCATENATE(H240,"_",AV240),'Test 2 -Proof points - Sonnet'!$AB:$AB,'Test 2 -Proof points - Sonnet'!$AA:$AA)</f>
        <v>#N/A</v>
      </c>
      <c r="BH240" s="74"/>
      <c r="BI240" s="74"/>
      <c r="BJ240" s="74" t="s">
        <v>1580</v>
      </c>
      <c r="BK240" s="30"/>
      <c r="BL240" s="30"/>
      <c r="BM240" s="30"/>
      <c r="BN240" s="30"/>
      <c r="BO240" s="30"/>
      <c r="BP240" s="30"/>
      <c r="BQ240" s="30"/>
      <c r="BR240" s="30"/>
      <c r="BS240" s="30"/>
      <c r="BT240" s="30"/>
      <c r="BU240" s="30"/>
      <c r="BV240" s="113"/>
    </row>
    <row r="241" spans="1:74" ht="217.5" hidden="1" x14ac:dyDescent="0.35">
      <c r="A241" s="22">
        <v>6</v>
      </c>
      <c r="B241" s="22" t="s">
        <v>1451</v>
      </c>
      <c r="C241" s="22" t="s">
        <v>1452</v>
      </c>
      <c r="D241" s="22" t="s">
        <v>1224</v>
      </c>
      <c r="E241" s="22" t="s">
        <v>1453</v>
      </c>
      <c r="F241" s="22"/>
      <c r="G241" s="22" t="s">
        <v>1274</v>
      </c>
      <c r="H241" s="21" t="s">
        <v>1284</v>
      </c>
      <c r="I241" s="22"/>
      <c r="J241" s="21" t="s">
        <v>1579</v>
      </c>
      <c r="K241" s="30"/>
      <c r="L241" s="30" t="s">
        <v>1260</v>
      </c>
      <c r="M241" s="35" t="str">
        <f>VLOOKUP(H241,'1_Value &amp; risk levers'!$H$9:$O$1048576,2,FALSE)</f>
        <v>Not utilized</v>
      </c>
      <c r="N241" s="35" t="str">
        <f>VLOOKUP(H241,'1_Value &amp; risk levers'!$H$9:$O$1048576,3,FALSE)</f>
        <v>Basic usage for high-risk categories</v>
      </c>
      <c r="O241" s="35" t="str">
        <f>VLOOKUP(H241,'1_Value &amp; risk levers'!$H$9:$O$1048576,4,FALSE)</f>
        <v>Regularly employed for risk management</v>
      </c>
      <c r="P241" s="35" t="str">
        <f>VLOOKUP(H241,'1_Value &amp; risk levers'!$H$9:$O$1048576,5,FALSE)</f>
        <v>Strategically implemented with advanced forecasting</v>
      </c>
      <c r="Q241" s="77">
        <f>IF(VLOOKUP(H241,'1_Value &amp; risk levers'!$H$9:$T$1048576,13,FALSE)=0,"",VLOOKUP(H241,'1_Value &amp; risk levers'!$H$9:$T$1048576,13,FALSE))</f>
        <v>2</v>
      </c>
      <c r="R241" s="128">
        <f t="shared" si="66"/>
        <v>2</v>
      </c>
      <c r="S241" s="128" t="e">
        <f t="shared" si="67"/>
        <v>#DIV/0!</v>
      </c>
      <c r="T241" s="77"/>
      <c r="U241" s="77"/>
      <c r="V241" s="55"/>
      <c r="W241" s="71">
        <v>0.04</v>
      </c>
      <c r="X241" s="71">
        <v>0.1</v>
      </c>
      <c r="Y241" s="71">
        <f>VLOOKUP(H241,'1_Value &amp; risk levers'!$H$9:$O$1048576,8,FALSE)</f>
        <v>0.8</v>
      </c>
      <c r="Z241" s="51">
        <f t="shared" si="68"/>
        <v>7.0000000000000007E-2</v>
      </c>
      <c r="AA241" s="51">
        <f t="shared" si="70"/>
        <v>8.5000000000000006E-2</v>
      </c>
      <c r="AB241" s="55">
        <f t="shared" si="71"/>
        <v>2800000.0000000005</v>
      </c>
      <c r="AC241" s="55">
        <f t="shared" si="72"/>
        <v>3400000.0000000005</v>
      </c>
      <c r="AD241" s="80">
        <f t="shared" si="73"/>
        <v>7</v>
      </c>
      <c r="AE241" s="84">
        <f t="shared" si="74"/>
        <v>0.48864540816326468</v>
      </c>
      <c r="AF241" s="71" t="str">
        <f t="shared" si="75"/>
        <v>Low</v>
      </c>
      <c r="AG241" s="84">
        <f t="shared" si="76"/>
        <v>5.9772908163265304E-2</v>
      </c>
      <c r="AH241" s="84">
        <f t="shared" si="77"/>
        <v>9.5227091836734709E-2</v>
      </c>
      <c r="AI241" s="73">
        <f t="shared" si="78"/>
        <v>2390916.3265306121</v>
      </c>
      <c r="AJ241" s="73">
        <f t="shared" si="79"/>
        <v>3809083.6734693884</v>
      </c>
      <c r="AK241" s="46">
        <f>VLOOKUP(H241,'1_Value &amp; risk levers'!$H$9:$O$1048576,6,FALSE)</f>
        <v>0.02</v>
      </c>
      <c r="AL241" s="46">
        <f>VLOOKUP(H241,'1_Value &amp; risk levers'!$H$9:$O$1048576,7,FALSE)</f>
        <v>0.05</v>
      </c>
      <c r="AM241" s="50">
        <f t="shared" si="80"/>
        <v>3.5000000000000003E-2</v>
      </c>
      <c r="AN241" s="72">
        <f t="shared" si="81"/>
        <v>0.16279069767441862</v>
      </c>
      <c r="AO241" s="84">
        <f t="shared" si="82"/>
        <v>9.73047342192691E-3</v>
      </c>
      <c r="AP241" s="84">
        <f t="shared" si="83"/>
        <v>1.5502084717607978E-2</v>
      </c>
      <c r="AQ241" s="55">
        <f t="shared" si="84"/>
        <v>455813.95348837221</v>
      </c>
      <c r="AR241" s="55">
        <f t="shared" si="85"/>
        <v>553488.37209302338</v>
      </c>
      <c r="AS241" s="83">
        <f t="shared" si="69"/>
        <v>41</v>
      </c>
      <c r="AT241" s="50">
        <f t="shared" si="86"/>
        <v>3.3914285714285719</v>
      </c>
      <c r="AU241" s="55" t="str">
        <f t="shared" si="87"/>
        <v>Low</v>
      </c>
      <c r="AV241" s="34" t="s">
        <v>1516</v>
      </c>
      <c r="AW241" s="111"/>
      <c r="AX241" s="30" t="s">
        <v>1493</v>
      </c>
      <c r="AY241" s="30"/>
      <c r="AZ241" s="85" t="str">
        <f>IF(ISERROR(_xlfn.XLOOKUP(CONCATENATE(A241,"_",AV241),'Reference-Proof pt impact flag'!$I$3:$I$1048576,'Reference-Proof pt impact flag'!$G$3:$G$1048576)),"",_xlfn.XLOOKUP(CONCATENATE(A241,"_",AV241),'Reference-Proof pt impact flag'!$I$3:$I$1048576,'Reference-Proof pt impact flag'!$G$3:$G$1048576))</f>
        <v/>
      </c>
      <c r="BA241" s="74"/>
      <c r="BB241" s="74"/>
      <c r="BC241" s="74"/>
      <c r="BD241" s="74"/>
      <c r="BE241" s="74"/>
      <c r="BF241" s="74" t="e">
        <f>_xlfn.XLOOKUP(CONCATENATE(H241,"_",AV241),'Test 2 - Proof points - GPT5'!$T:$T,'Test 2 - Proof points - GPT5'!$S:$S)</f>
        <v>#N/A</v>
      </c>
      <c r="BG241" s="74" t="e">
        <f>_xlfn.XLOOKUP(CONCATENATE(H241,"_",AV241),'Test 2 -Proof points - Sonnet'!$AB:$AB,'Test 2 -Proof points - Sonnet'!$AA:$AA)</f>
        <v>#N/A</v>
      </c>
      <c r="BH241" s="74"/>
      <c r="BI241" s="74"/>
      <c r="BJ241" s="74" t="s">
        <v>1580</v>
      </c>
      <c r="BK241" s="30"/>
      <c r="BL241" s="30"/>
      <c r="BM241" s="30"/>
      <c r="BN241" s="30"/>
      <c r="BO241" s="30"/>
      <c r="BP241" s="30"/>
      <c r="BQ241" s="30"/>
      <c r="BR241" s="30"/>
      <c r="BS241" s="30"/>
      <c r="BT241" s="30"/>
      <c r="BU241" s="30"/>
      <c r="BV241" s="113"/>
    </row>
    <row r="242" spans="1:74" ht="217.5" hidden="1" x14ac:dyDescent="0.35">
      <c r="A242" s="22">
        <v>6</v>
      </c>
      <c r="B242" s="22" t="s">
        <v>1451</v>
      </c>
      <c r="C242" s="22" t="s">
        <v>1452</v>
      </c>
      <c r="D242" s="22" t="s">
        <v>1224</v>
      </c>
      <c r="E242" s="22" t="s">
        <v>1453</v>
      </c>
      <c r="F242" s="22"/>
      <c r="G242" s="22" t="s">
        <v>1274</v>
      </c>
      <c r="H242" s="21" t="s">
        <v>1284</v>
      </c>
      <c r="I242" s="22"/>
      <c r="J242" s="21" t="s">
        <v>1579</v>
      </c>
      <c r="K242" s="30"/>
      <c r="L242" s="30" t="s">
        <v>1260</v>
      </c>
      <c r="M242" s="35" t="str">
        <f>VLOOKUP(H242,'1_Value &amp; risk levers'!$H$9:$O$1048576,2,FALSE)</f>
        <v>Not utilized</v>
      </c>
      <c r="N242" s="35" t="str">
        <f>VLOOKUP(H242,'1_Value &amp; risk levers'!$H$9:$O$1048576,3,FALSE)</f>
        <v>Basic usage for high-risk categories</v>
      </c>
      <c r="O242" s="35" t="str">
        <f>VLOOKUP(H242,'1_Value &amp; risk levers'!$H$9:$O$1048576,4,FALSE)</f>
        <v>Regularly employed for risk management</v>
      </c>
      <c r="P242" s="35" t="str">
        <f>VLOOKUP(H242,'1_Value &amp; risk levers'!$H$9:$O$1048576,5,FALSE)</f>
        <v>Strategically implemented with advanced forecasting</v>
      </c>
      <c r="Q242" s="77">
        <f>IF(VLOOKUP(H242,'1_Value &amp; risk levers'!$H$9:$T$1048576,13,FALSE)=0,"",VLOOKUP(H242,'1_Value &amp; risk levers'!$H$9:$T$1048576,13,FALSE))</f>
        <v>2</v>
      </c>
      <c r="R242" s="128">
        <f t="shared" si="66"/>
        <v>2</v>
      </c>
      <c r="S242" s="128" t="e">
        <f t="shared" si="67"/>
        <v>#DIV/0!</v>
      </c>
      <c r="T242" s="77"/>
      <c r="U242" s="77"/>
      <c r="V242" s="55"/>
      <c r="W242" s="71">
        <v>0.04</v>
      </c>
      <c r="X242" s="71">
        <v>0.1</v>
      </c>
      <c r="Y242" s="71">
        <f>VLOOKUP(H242,'1_Value &amp; risk levers'!$H$9:$O$1048576,8,FALSE)</f>
        <v>0.8</v>
      </c>
      <c r="Z242" s="51">
        <f t="shared" si="68"/>
        <v>7.0000000000000007E-2</v>
      </c>
      <c r="AA242" s="51">
        <f t="shared" si="70"/>
        <v>8.5000000000000006E-2</v>
      </c>
      <c r="AB242" s="55">
        <f t="shared" si="71"/>
        <v>2800000.0000000005</v>
      </c>
      <c r="AC242" s="55">
        <f t="shared" si="72"/>
        <v>3400000.0000000005</v>
      </c>
      <c r="AD242" s="80">
        <f t="shared" si="73"/>
        <v>7</v>
      </c>
      <c r="AE242" s="84">
        <f t="shared" si="74"/>
        <v>0.48864540816326468</v>
      </c>
      <c r="AF242" s="71" t="str">
        <f t="shared" si="75"/>
        <v>Low</v>
      </c>
      <c r="AG242" s="84">
        <f t="shared" si="76"/>
        <v>5.9772908163265304E-2</v>
      </c>
      <c r="AH242" s="84">
        <f t="shared" si="77"/>
        <v>9.5227091836734709E-2</v>
      </c>
      <c r="AI242" s="73">
        <f t="shared" si="78"/>
        <v>2390916.3265306121</v>
      </c>
      <c r="AJ242" s="73">
        <f t="shared" si="79"/>
        <v>3809083.6734693884</v>
      </c>
      <c r="AK242" s="46">
        <f>VLOOKUP(H242,'1_Value &amp; risk levers'!$H$9:$O$1048576,6,FALSE)</f>
        <v>0.02</v>
      </c>
      <c r="AL242" s="46">
        <f>VLOOKUP(H242,'1_Value &amp; risk levers'!$H$9:$O$1048576,7,FALSE)</f>
        <v>0.05</v>
      </c>
      <c r="AM242" s="50">
        <f t="shared" si="80"/>
        <v>3.5000000000000003E-2</v>
      </c>
      <c r="AN242" s="72">
        <f t="shared" si="81"/>
        <v>0.16279069767441862</v>
      </c>
      <c r="AO242" s="84">
        <f t="shared" si="82"/>
        <v>9.73047342192691E-3</v>
      </c>
      <c r="AP242" s="84">
        <f t="shared" si="83"/>
        <v>1.5502084717607978E-2</v>
      </c>
      <c r="AQ242" s="55">
        <f t="shared" si="84"/>
        <v>455813.95348837221</v>
      </c>
      <c r="AR242" s="55">
        <f t="shared" si="85"/>
        <v>553488.37209302338</v>
      </c>
      <c r="AS242" s="83">
        <f t="shared" si="69"/>
        <v>41</v>
      </c>
      <c r="AT242" s="50">
        <f t="shared" si="86"/>
        <v>3.3914285714285719</v>
      </c>
      <c r="AU242" s="55" t="str">
        <f t="shared" si="87"/>
        <v>Low</v>
      </c>
      <c r="AV242" s="34" t="s">
        <v>1517</v>
      </c>
      <c r="AW242" s="111"/>
      <c r="AX242" s="30" t="s">
        <v>1493</v>
      </c>
      <c r="AY242" s="30"/>
      <c r="AZ242" s="85" t="str">
        <f>IF(ISERROR(_xlfn.XLOOKUP(CONCATENATE(A242,"_",AV242),'Reference-Proof pt impact flag'!$I$3:$I$1048576,'Reference-Proof pt impact flag'!$G$3:$G$1048576)),"",_xlfn.XLOOKUP(CONCATENATE(A242,"_",AV242),'Reference-Proof pt impact flag'!$I$3:$I$1048576,'Reference-Proof pt impact flag'!$G$3:$G$1048576))</f>
        <v/>
      </c>
      <c r="BA242" s="74"/>
      <c r="BB242" s="74"/>
      <c r="BC242" s="74"/>
      <c r="BD242" s="74"/>
      <c r="BE242" s="74"/>
      <c r="BF242" s="74" t="e">
        <f>_xlfn.XLOOKUP(CONCATENATE(H242,"_",AV242),'Test 2 - Proof points - GPT5'!$T:$T,'Test 2 - Proof points - GPT5'!$S:$S)</f>
        <v>#N/A</v>
      </c>
      <c r="BG242" s="74" t="e">
        <f>_xlfn.XLOOKUP(CONCATENATE(H242,"_",AV242),'Test 2 -Proof points - Sonnet'!$AB:$AB,'Test 2 -Proof points - Sonnet'!$AA:$AA)</f>
        <v>#N/A</v>
      </c>
      <c r="BH242" s="74"/>
      <c r="BI242" s="74"/>
      <c r="BJ242" s="74" t="s">
        <v>1580</v>
      </c>
      <c r="BK242" s="30"/>
      <c r="BL242" s="30"/>
      <c r="BM242" s="30"/>
      <c r="BN242" s="30"/>
      <c r="BO242" s="30"/>
      <c r="BP242" s="30"/>
      <c r="BQ242" s="30"/>
      <c r="BR242" s="30"/>
      <c r="BS242" s="30"/>
      <c r="BT242" s="30"/>
      <c r="BU242" s="30"/>
      <c r="BV242" s="113"/>
    </row>
    <row r="243" spans="1:74" ht="23.5" hidden="1" customHeight="1" x14ac:dyDescent="0.35">
      <c r="A243" s="22">
        <v>6</v>
      </c>
      <c r="B243" s="22" t="s">
        <v>1451</v>
      </c>
      <c r="C243" s="22" t="s">
        <v>1452</v>
      </c>
      <c r="D243" s="22" t="s">
        <v>1224</v>
      </c>
      <c r="E243" s="22" t="s">
        <v>1453</v>
      </c>
      <c r="F243" s="22"/>
      <c r="G243" s="22" t="s">
        <v>1274</v>
      </c>
      <c r="H243" s="21" t="s">
        <v>1284</v>
      </c>
      <c r="I243" s="22"/>
      <c r="J243" s="21" t="s">
        <v>1579</v>
      </c>
      <c r="K243" s="30"/>
      <c r="L243" s="30" t="s">
        <v>1260</v>
      </c>
      <c r="M243" s="35" t="str">
        <f>VLOOKUP(H243,'1_Value &amp; risk levers'!$H$9:$O$1048576,2,FALSE)</f>
        <v>Not utilized</v>
      </c>
      <c r="N243" s="35" t="str">
        <f>VLOOKUP(H243,'1_Value &amp; risk levers'!$H$9:$O$1048576,3,FALSE)</f>
        <v>Basic usage for high-risk categories</v>
      </c>
      <c r="O243" s="35" t="str">
        <f>VLOOKUP(H243,'1_Value &amp; risk levers'!$H$9:$O$1048576,4,FALSE)</f>
        <v>Regularly employed for risk management</v>
      </c>
      <c r="P243" s="35" t="str">
        <f>VLOOKUP(H243,'1_Value &amp; risk levers'!$H$9:$O$1048576,5,FALSE)</f>
        <v>Strategically implemented with advanced forecasting</v>
      </c>
      <c r="Q243" s="77">
        <f>IF(VLOOKUP(H243,'1_Value &amp; risk levers'!$H$9:$T$1048576,13,FALSE)=0,"",VLOOKUP(H243,'1_Value &amp; risk levers'!$H$9:$T$1048576,13,FALSE))</f>
        <v>2</v>
      </c>
      <c r="R243" s="128">
        <f t="shared" si="66"/>
        <v>2</v>
      </c>
      <c r="S243" s="128" t="e">
        <f t="shared" si="67"/>
        <v>#DIV/0!</v>
      </c>
      <c r="T243" s="77"/>
      <c r="U243" s="77"/>
      <c r="V243" s="55"/>
      <c r="W243" s="71">
        <v>0.04</v>
      </c>
      <c r="X243" s="71">
        <v>0.1</v>
      </c>
      <c r="Y243" s="71">
        <f>VLOOKUP(H243,'1_Value &amp; risk levers'!$H$9:$O$1048576,8,FALSE)</f>
        <v>0.8</v>
      </c>
      <c r="Z243" s="51">
        <f t="shared" si="68"/>
        <v>7.0000000000000007E-2</v>
      </c>
      <c r="AA243" s="51">
        <f t="shared" si="70"/>
        <v>8.5000000000000006E-2</v>
      </c>
      <c r="AB243" s="55">
        <f t="shared" si="71"/>
        <v>2800000.0000000005</v>
      </c>
      <c r="AC243" s="55">
        <f t="shared" si="72"/>
        <v>3400000.0000000005</v>
      </c>
      <c r="AD243" s="80">
        <f t="shared" si="73"/>
        <v>7</v>
      </c>
      <c r="AE243" s="84">
        <f t="shared" si="74"/>
        <v>0.48864540816326468</v>
      </c>
      <c r="AF243" s="71" t="str">
        <f t="shared" si="75"/>
        <v>Low</v>
      </c>
      <c r="AG243" s="84">
        <f t="shared" si="76"/>
        <v>5.9772908163265304E-2</v>
      </c>
      <c r="AH243" s="84">
        <f t="shared" si="77"/>
        <v>9.5227091836734709E-2</v>
      </c>
      <c r="AI243" s="73">
        <f t="shared" si="78"/>
        <v>2390916.3265306121</v>
      </c>
      <c r="AJ243" s="73">
        <f t="shared" si="79"/>
        <v>3809083.6734693884</v>
      </c>
      <c r="AK243" s="46">
        <f>VLOOKUP(H243,'1_Value &amp; risk levers'!$H$9:$O$1048576,6,FALSE)</f>
        <v>0.02</v>
      </c>
      <c r="AL243" s="46">
        <f>VLOOKUP(H243,'1_Value &amp; risk levers'!$H$9:$O$1048576,7,FALSE)</f>
        <v>0.05</v>
      </c>
      <c r="AM243" s="50">
        <f t="shared" si="80"/>
        <v>3.5000000000000003E-2</v>
      </c>
      <c r="AN243" s="72">
        <f t="shared" si="81"/>
        <v>0.16279069767441862</v>
      </c>
      <c r="AO243" s="84">
        <f t="shared" si="82"/>
        <v>9.73047342192691E-3</v>
      </c>
      <c r="AP243" s="84">
        <f t="shared" si="83"/>
        <v>1.5502084717607978E-2</v>
      </c>
      <c r="AQ243" s="55">
        <f t="shared" si="84"/>
        <v>455813.95348837221</v>
      </c>
      <c r="AR243" s="55">
        <f t="shared" si="85"/>
        <v>553488.37209302338</v>
      </c>
      <c r="AS243" s="83">
        <f t="shared" si="69"/>
        <v>41</v>
      </c>
      <c r="AT243" s="50">
        <f t="shared" si="86"/>
        <v>3.3914285714285719</v>
      </c>
      <c r="AU243" s="55" t="str">
        <f t="shared" si="87"/>
        <v>Low</v>
      </c>
      <c r="AV243" s="34" t="s">
        <v>1524</v>
      </c>
      <c r="AW243" s="111"/>
      <c r="AX243" s="30" t="s">
        <v>1493</v>
      </c>
      <c r="AY243" s="27" t="s">
        <v>1598</v>
      </c>
      <c r="AZ243" s="85" t="str">
        <f>IF(ISERROR(_xlfn.XLOOKUP(CONCATENATE(A243,"_",AV243),'Reference-Proof pt impact flag'!$I$3:$I$1048576,'Reference-Proof pt impact flag'!$G$3:$G$1048576)),"",_xlfn.XLOOKUP(CONCATENATE(A243,"_",AV243),'Reference-Proof pt impact flag'!$I$3:$I$1048576,'Reference-Proof pt impact flag'!$G$3:$G$1048576))</f>
        <v>Low</v>
      </c>
      <c r="BA243" s="27" t="s">
        <v>1458</v>
      </c>
      <c r="BB243" s="30" t="s">
        <v>1599</v>
      </c>
      <c r="BC243" s="30"/>
      <c r="BD243" s="85"/>
      <c r="BE243" s="74" t="s">
        <v>1600</v>
      </c>
      <c r="BF243" s="74" t="str">
        <f>_xlfn.XLOOKUP(CONCATENATE(H243,"_",AV243),'Test 2 - Proof points - GPT5'!$T:$T,'Test 2 - Proof points - GPT5'!$S:$S)</f>
        <v>Approach: Enrich vendor master with financial health, sanctions, ESG, and delivery performance scores; apply dual-trigger risk limits by spend and criticality. Actions: offboard any vendor below threshold; substitute with pre-qualified alternates; put CapEx-dependent suppliers under quarterly monitoring.</v>
      </c>
      <c r="BG243" s="74" t="e">
        <f>_xlfn.XLOOKUP(CONCATENATE(H243,"_",AV243),'Test 2 -Proof points - Sonnet'!$AB:$AB,'Test 2 -Proof points - Sonnet'!$AA:$AA)</f>
        <v>#N/A</v>
      </c>
      <c r="BH243" s="74" t="s">
        <v>1586</v>
      </c>
      <c r="BI243" s="74"/>
      <c r="BJ243" s="74" t="s">
        <v>1580</v>
      </c>
      <c r="BK243" s="30"/>
      <c r="BL243" s="30"/>
      <c r="BM243" s="30" t="s">
        <v>132</v>
      </c>
      <c r="BN243" s="30"/>
      <c r="BO243" s="30"/>
      <c r="BP243" s="30"/>
      <c r="BQ243" s="30" t="s">
        <v>132</v>
      </c>
      <c r="BR243" s="30"/>
      <c r="BS243" s="30"/>
      <c r="BT243" s="30"/>
      <c r="BU243" s="30"/>
      <c r="BV243" s="113" t="s">
        <v>132</v>
      </c>
    </row>
    <row r="244" spans="1:74" ht="217.5" hidden="1" x14ac:dyDescent="0.35">
      <c r="A244" s="22">
        <v>6</v>
      </c>
      <c r="B244" s="22" t="s">
        <v>1451</v>
      </c>
      <c r="C244" s="22" t="s">
        <v>1452</v>
      </c>
      <c r="D244" s="22" t="s">
        <v>1224</v>
      </c>
      <c r="E244" s="22" t="s">
        <v>1453</v>
      </c>
      <c r="F244" s="22"/>
      <c r="G244" s="22" t="s">
        <v>1274</v>
      </c>
      <c r="H244" s="21" t="s">
        <v>1284</v>
      </c>
      <c r="I244" s="22"/>
      <c r="J244" s="21" t="s">
        <v>1579</v>
      </c>
      <c r="K244" s="30"/>
      <c r="L244" s="30" t="s">
        <v>1260</v>
      </c>
      <c r="M244" s="35" t="str">
        <f>VLOOKUP(H244,'1_Value &amp; risk levers'!$H$9:$O$1048576,2,FALSE)</f>
        <v>Not utilized</v>
      </c>
      <c r="N244" s="35" t="str">
        <f>VLOOKUP(H244,'1_Value &amp; risk levers'!$H$9:$O$1048576,3,FALSE)</f>
        <v>Basic usage for high-risk categories</v>
      </c>
      <c r="O244" s="35" t="str">
        <f>VLOOKUP(H244,'1_Value &amp; risk levers'!$H$9:$O$1048576,4,FALSE)</f>
        <v>Regularly employed for risk management</v>
      </c>
      <c r="P244" s="35" t="str">
        <f>VLOOKUP(H244,'1_Value &amp; risk levers'!$H$9:$O$1048576,5,FALSE)</f>
        <v>Strategically implemented with advanced forecasting</v>
      </c>
      <c r="Q244" s="77">
        <f>IF(VLOOKUP(H244,'1_Value &amp; risk levers'!$H$9:$T$1048576,13,FALSE)=0,"",VLOOKUP(H244,'1_Value &amp; risk levers'!$H$9:$T$1048576,13,FALSE))</f>
        <v>2</v>
      </c>
      <c r="R244" s="128">
        <f t="shared" si="66"/>
        <v>2</v>
      </c>
      <c r="S244" s="128" t="e">
        <f t="shared" si="67"/>
        <v>#DIV/0!</v>
      </c>
      <c r="T244" s="77"/>
      <c r="U244" s="77"/>
      <c r="V244" s="55"/>
      <c r="W244" s="71">
        <v>0.04</v>
      </c>
      <c r="X244" s="71">
        <v>0.1</v>
      </c>
      <c r="Y244" s="71">
        <f>VLOOKUP(H244,'1_Value &amp; risk levers'!$H$9:$O$1048576,8,FALSE)</f>
        <v>0.8</v>
      </c>
      <c r="Z244" s="51">
        <f t="shared" si="68"/>
        <v>7.0000000000000007E-2</v>
      </c>
      <c r="AA244" s="51">
        <f t="shared" si="70"/>
        <v>8.5000000000000006E-2</v>
      </c>
      <c r="AB244" s="55">
        <f t="shared" si="71"/>
        <v>2800000.0000000005</v>
      </c>
      <c r="AC244" s="55">
        <f t="shared" si="72"/>
        <v>3400000.0000000005</v>
      </c>
      <c r="AD244" s="80">
        <f t="shared" si="73"/>
        <v>7</v>
      </c>
      <c r="AE244" s="84">
        <f t="shared" si="74"/>
        <v>0.48864540816326468</v>
      </c>
      <c r="AF244" s="71" t="str">
        <f t="shared" si="75"/>
        <v>Low</v>
      </c>
      <c r="AG244" s="84">
        <f t="shared" si="76"/>
        <v>5.9772908163265304E-2</v>
      </c>
      <c r="AH244" s="84">
        <f t="shared" si="77"/>
        <v>9.5227091836734709E-2</v>
      </c>
      <c r="AI244" s="73">
        <f t="shared" si="78"/>
        <v>2390916.3265306121</v>
      </c>
      <c r="AJ244" s="73">
        <f t="shared" si="79"/>
        <v>3809083.6734693884</v>
      </c>
      <c r="AK244" s="46">
        <f>VLOOKUP(H244,'1_Value &amp; risk levers'!$H$9:$O$1048576,6,FALSE)</f>
        <v>0.02</v>
      </c>
      <c r="AL244" s="46">
        <f>VLOOKUP(H244,'1_Value &amp; risk levers'!$H$9:$O$1048576,7,FALSE)</f>
        <v>0.05</v>
      </c>
      <c r="AM244" s="50">
        <f t="shared" si="80"/>
        <v>3.5000000000000003E-2</v>
      </c>
      <c r="AN244" s="72">
        <f t="shared" si="81"/>
        <v>0.16279069767441862</v>
      </c>
      <c r="AO244" s="84">
        <f t="shared" si="82"/>
        <v>9.73047342192691E-3</v>
      </c>
      <c r="AP244" s="84">
        <f t="shared" si="83"/>
        <v>1.5502084717607978E-2</v>
      </c>
      <c r="AQ244" s="55">
        <f t="shared" si="84"/>
        <v>455813.95348837221</v>
      </c>
      <c r="AR244" s="55">
        <f t="shared" si="85"/>
        <v>553488.37209302338</v>
      </c>
      <c r="AS244" s="83">
        <f t="shared" si="69"/>
        <v>41</v>
      </c>
      <c r="AT244" s="50">
        <f t="shared" si="86"/>
        <v>3.3914285714285719</v>
      </c>
      <c r="AU244" s="55" t="str">
        <f t="shared" si="87"/>
        <v>Low</v>
      </c>
      <c r="AV244" s="34" t="s">
        <v>1528</v>
      </c>
      <c r="AW244" s="111"/>
      <c r="AX244" s="30" t="s">
        <v>1493</v>
      </c>
      <c r="AY244" s="30"/>
      <c r="AZ244" s="85" t="str">
        <f>IF(ISERROR(_xlfn.XLOOKUP(CONCATENATE(A244,"_",AV244),'Reference-Proof pt impact flag'!$I$3:$I$1048576,'Reference-Proof pt impact flag'!$G$3:$G$1048576)),"",_xlfn.XLOOKUP(CONCATENATE(A244,"_",AV244),'Reference-Proof pt impact flag'!$I$3:$I$1048576,'Reference-Proof pt impact flag'!$G$3:$G$1048576))</f>
        <v/>
      </c>
      <c r="BA244" s="74"/>
      <c r="BB244" s="74"/>
      <c r="BC244" s="74"/>
      <c r="BD244" s="74"/>
      <c r="BE244" s="74"/>
      <c r="BF244" s="74" t="e">
        <f>_xlfn.XLOOKUP(CONCATENATE(H244,"_",AV244),'Test 2 - Proof points - GPT5'!$T:$T,'Test 2 - Proof points - GPT5'!$S:$S)</f>
        <v>#N/A</v>
      </c>
      <c r="BG244" s="74" t="e">
        <f>_xlfn.XLOOKUP(CONCATENATE(H244,"_",AV244),'Test 2 -Proof points - Sonnet'!$AB:$AB,'Test 2 -Proof points - Sonnet'!$AA:$AA)</f>
        <v>#N/A</v>
      </c>
      <c r="BH244" s="74"/>
      <c r="BI244" s="74"/>
      <c r="BJ244" s="74" t="s">
        <v>1580</v>
      </c>
      <c r="BK244" s="30"/>
      <c r="BL244" s="30"/>
      <c r="BM244" s="30"/>
      <c r="BN244" s="30"/>
      <c r="BO244" s="30"/>
      <c r="BP244" s="30"/>
      <c r="BQ244" s="30"/>
      <c r="BR244" s="30"/>
      <c r="BS244" s="30"/>
      <c r="BT244" s="30"/>
      <c r="BU244" s="30"/>
      <c r="BV244" s="113"/>
    </row>
    <row r="245" spans="1:74" ht="217.5" hidden="1" x14ac:dyDescent="0.35">
      <c r="A245" s="22">
        <v>6</v>
      </c>
      <c r="B245" s="22" t="s">
        <v>1451</v>
      </c>
      <c r="C245" s="22" t="s">
        <v>1452</v>
      </c>
      <c r="D245" s="22" t="s">
        <v>1224</v>
      </c>
      <c r="E245" s="22" t="s">
        <v>1453</v>
      </c>
      <c r="F245" s="22"/>
      <c r="G245" s="22" t="s">
        <v>1274</v>
      </c>
      <c r="H245" s="21" t="s">
        <v>1284</v>
      </c>
      <c r="I245" s="22"/>
      <c r="J245" s="21" t="s">
        <v>1579</v>
      </c>
      <c r="K245" s="30"/>
      <c r="L245" s="30" t="s">
        <v>1260</v>
      </c>
      <c r="M245" s="35" t="str">
        <f>VLOOKUP(H245,'1_Value &amp; risk levers'!$H$9:$O$1048576,2,FALSE)</f>
        <v>Not utilized</v>
      </c>
      <c r="N245" s="35" t="str">
        <f>VLOOKUP(H245,'1_Value &amp; risk levers'!$H$9:$O$1048576,3,FALSE)</f>
        <v>Basic usage for high-risk categories</v>
      </c>
      <c r="O245" s="35" t="str">
        <f>VLOOKUP(H245,'1_Value &amp; risk levers'!$H$9:$O$1048576,4,FALSE)</f>
        <v>Regularly employed for risk management</v>
      </c>
      <c r="P245" s="35" t="str">
        <f>VLOOKUP(H245,'1_Value &amp; risk levers'!$H$9:$O$1048576,5,FALSE)</f>
        <v>Strategically implemented with advanced forecasting</v>
      </c>
      <c r="Q245" s="77">
        <f>IF(VLOOKUP(H245,'1_Value &amp; risk levers'!$H$9:$T$1048576,13,FALSE)=0,"",VLOOKUP(H245,'1_Value &amp; risk levers'!$H$9:$T$1048576,13,FALSE))</f>
        <v>2</v>
      </c>
      <c r="R245" s="128">
        <f t="shared" si="66"/>
        <v>2</v>
      </c>
      <c r="S245" s="128" t="e">
        <f t="shared" si="67"/>
        <v>#DIV/0!</v>
      </c>
      <c r="T245" s="77"/>
      <c r="U245" s="77"/>
      <c r="V245" s="55"/>
      <c r="W245" s="71">
        <v>0.04</v>
      </c>
      <c r="X245" s="71">
        <v>0.1</v>
      </c>
      <c r="Y245" s="71">
        <f>VLOOKUP(H245,'1_Value &amp; risk levers'!$H$9:$O$1048576,8,FALSE)</f>
        <v>0.8</v>
      </c>
      <c r="Z245" s="51">
        <f t="shared" si="68"/>
        <v>7.0000000000000007E-2</v>
      </c>
      <c r="AA245" s="51">
        <f t="shared" si="70"/>
        <v>8.5000000000000006E-2</v>
      </c>
      <c r="AB245" s="55">
        <f t="shared" si="71"/>
        <v>2800000.0000000005</v>
      </c>
      <c r="AC245" s="55">
        <f t="shared" si="72"/>
        <v>3400000.0000000005</v>
      </c>
      <c r="AD245" s="80">
        <f t="shared" si="73"/>
        <v>7</v>
      </c>
      <c r="AE245" s="84">
        <f t="shared" si="74"/>
        <v>0.48864540816326468</v>
      </c>
      <c r="AF245" s="71" t="str">
        <f t="shared" si="75"/>
        <v>Low</v>
      </c>
      <c r="AG245" s="84">
        <f t="shared" si="76"/>
        <v>5.9772908163265304E-2</v>
      </c>
      <c r="AH245" s="84">
        <f t="shared" si="77"/>
        <v>9.5227091836734709E-2</v>
      </c>
      <c r="AI245" s="73">
        <f t="shared" si="78"/>
        <v>2390916.3265306121</v>
      </c>
      <c r="AJ245" s="73">
        <f t="shared" si="79"/>
        <v>3809083.6734693884</v>
      </c>
      <c r="AK245" s="46">
        <f>VLOOKUP(H245,'1_Value &amp; risk levers'!$H$9:$O$1048576,6,FALSE)</f>
        <v>0.02</v>
      </c>
      <c r="AL245" s="46">
        <f>VLOOKUP(H245,'1_Value &amp; risk levers'!$H$9:$O$1048576,7,FALSE)</f>
        <v>0.05</v>
      </c>
      <c r="AM245" s="50">
        <f t="shared" si="80"/>
        <v>3.5000000000000003E-2</v>
      </c>
      <c r="AN245" s="72">
        <f t="shared" si="81"/>
        <v>0.16279069767441862</v>
      </c>
      <c r="AO245" s="84">
        <f t="shared" si="82"/>
        <v>9.73047342192691E-3</v>
      </c>
      <c r="AP245" s="84">
        <f t="shared" si="83"/>
        <v>1.5502084717607978E-2</v>
      </c>
      <c r="AQ245" s="55">
        <f t="shared" si="84"/>
        <v>455813.95348837221</v>
      </c>
      <c r="AR245" s="55">
        <f t="shared" si="85"/>
        <v>553488.37209302338</v>
      </c>
      <c r="AS245" s="83">
        <f t="shared" si="69"/>
        <v>41</v>
      </c>
      <c r="AT245" s="50">
        <f t="shared" si="86"/>
        <v>3.3914285714285719</v>
      </c>
      <c r="AU245" s="55" t="str">
        <f t="shared" si="87"/>
        <v>Low</v>
      </c>
      <c r="AV245" s="34" t="s">
        <v>1529</v>
      </c>
      <c r="AW245" s="111"/>
      <c r="AX245" s="30" t="s">
        <v>1493</v>
      </c>
      <c r="AY245" s="30"/>
      <c r="AZ245" s="85" t="str">
        <f>IF(ISERROR(_xlfn.XLOOKUP(CONCATENATE(A245,"_",AV245),'Reference-Proof pt impact flag'!$I$3:$I$1048576,'Reference-Proof pt impact flag'!$G$3:$G$1048576)),"",_xlfn.XLOOKUP(CONCATENATE(A245,"_",AV245),'Reference-Proof pt impact flag'!$I$3:$I$1048576,'Reference-Proof pt impact flag'!$G$3:$G$1048576))</f>
        <v/>
      </c>
      <c r="BA245" s="74"/>
      <c r="BB245" s="74"/>
      <c r="BC245" s="74"/>
      <c r="BD245" s="74"/>
      <c r="BE245" s="74"/>
      <c r="BF245" s="74" t="e">
        <f>_xlfn.XLOOKUP(CONCATENATE(H245,"_",AV245),'Test 2 - Proof points - GPT5'!$T:$T,'Test 2 - Proof points - GPT5'!$S:$S)</f>
        <v>#N/A</v>
      </c>
      <c r="BG245" s="74" t="e">
        <f>_xlfn.XLOOKUP(CONCATENATE(H245,"_",AV245),'Test 2 -Proof points - Sonnet'!$AB:$AB,'Test 2 -Proof points - Sonnet'!$AA:$AA)</f>
        <v>#N/A</v>
      </c>
      <c r="BH245" s="74"/>
      <c r="BI245" s="74"/>
      <c r="BJ245" s="74" t="s">
        <v>1580</v>
      </c>
      <c r="BK245" s="30"/>
      <c r="BL245" s="30"/>
      <c r="BM245" s="30"/>
      <c r="BN245" s="30"/>
      <c r="BO245" s="30"/>
      <c r="BP245" s="30"/>
      <c r="BQ245" s="30"/>
      <c r="BR245" s="30"/>
      <c r="BS245" s="30"/>
      <c r="BT245" s="30"/>
      <c r="BU245" s="30"/>
      <c r="BV245" s="113"/>
    </row>
    <row r="246" spans="1:74" ht="217.5" hidden="1" x14ac:dyDescent="0.35">
      <c r="A246" s="22">
        <v>6</v>
      </c>
      <c r="B246" s="22" t="s">
        <v>1451</v>
      </c>
      <c r="C246" s="22" t="s">
        <v>1452</v>
      </c>
      <c r="D246" s="22" t="s">
        <v>1224</v>
      </c>
      <c r="E246" s="22" t="s">
        <v>1453</v>
      </c>
      <c r="F246" s="22"/>
      <c r="G246" s="22" t="s">
        <v>1274</v>
      </c>
      <c r="H246" s="21" t="s">
        <v>1284</v>
      </c>
      <c r="I246" s="22"/>
      <c r="J246" s="21" t="s">
        <v>1579</v>
      </c>
      <c r="K246" s="30"/>
      <c r="L246" s="30" t="s">
        <v>1260</v>
      </c>
      <c r="M246" s="35" t="str">
        <f>VLOOKUP(H246,'1_Value &amp; risk levers'!$H$9:$O$1048576,2,FALSE)</f>
        <v>Not utilized</v>
      </c>
      <c r="N246" s="35" t="str">
        <f>VLOOKUP(H246,'1_Value &amp; risk levers'!$H$9:$O$1048576,3,FALSE)</f>
        <v>Basic usage for high-risk categories</v>
      </c>
      <c r="O246" s="35" t="str">
        <f>VLOOKUP(H246,'1_Value &amp; risk levers'!$H$9:$O$1048576,4,FALSE)</f>
        <v>Regularly employed for risk management</v>
      </c>
      <c r="P246" s="35" t="str">
        <f>VLOOKUP(H246,'1_Value &amp; risk levers'!$H$9:$O$1048576,5,FALSE)</f>
        <v>Strategically implemented with advanced forecasting</v>
      </c>
      <c r="Q246" s="77">
        <f>IF(VLOOKUP(H246,'1_Value &amp; risk levers'!$H$9:$T$1048576,13,FALSE)=0,"",VLOOKUP(H246,'1_Value &amp; risk levers'!$H$9:$T$1048576,13,FALSE))</f>
        <v>2</v>
      </c>
      <c r="R246" s="128">
        <f t="shared" si="66"/>
        <v>2</v>
      </c>
      <c r="S246" s="128" t="e">
        <f t="shared" si="67"/>
        <v>#DIV/0!</v>
      </c>
      <c r="T246" s="77"/>
      <c r="U246" s="77"/>
      <c r="V246" s="55"/>
      <c r="W246" s="71">
        <v>0.04</v>
      </c>
      <c r="X246" s="71">
        <v>0.1</v>
      </c>
      <c r="Y246" s="71">
        <f>VLOOKUP(H246,'1_Value &amp; risk levers'!$H$9:$O$1048576,8,FALSE)</f>
        <v>0.8</v>
      </c>
      <c r="Z246" s="51">
        <f t="shared" si="68"/>
        <v>7.0000000000000007E-2</v>
      </c>
      <c r="AA246" s="51">
        <f t="shared" si="70"/>
        <v>8.5000000000000006E-2</v>
      </c>
      <c r="AB246" s="55">
        <f t="shared" si="71"/>
        <v>2800000.0000000005</v>
      </c>
      <c r="AC246" s="55">
        <f t="shared" si="72"/>
        <v>3400000.0000000005</v>
      </c>
      <c r="AD246" s="80">
        <f t="shared" si="73"/>
        <v>7</v>
      </c>
      <c r="AE246" s="84">
        <f t="shared" si="74"/>
        <v>0.48864540816326468</v>
      </c>
      <c r="AF246" s="71" t="str">
        <f t="shared" si="75"/>
        <v>Low</v>
      </c>
      <c r="AG246" s="84">
        <f t="shared" si="76"/>
        <v>5.9772908163265304E-2</v>
      </c>
      <c r="AH246" s="84">
        <f t="shared" si="77"/>
        <v>9.5227091836734709E-2</v>
      </c>
      <c r="AI246" s="73">
        <f t="shared" si="78"/>
        <v>2390916.3265306121</v>
      </c>
      <c r="AJ246" s="73">
        <f t="shared" si="79"/>
        <v>3809083.6734693884</v>
      </c>
      <c r="AK246" s="46">
        <f>VLOOKUP(H246,'1_Value &amp; risk levers'!$H$9:$O$1048576,6,FALSE)</f>
        <v>0.02</v>
      </c>
      <c r="AL246" s="46">
        <f>VLOOKUP(H246,'1_Value &amp; risk levers'!$H$9:$O$1048576,7,FALSE)</f>
        <v>0.05</v>
      </c>
      <c r="AM246" s="50">
        <f t="shared" si="80"/>
        <v>3.5000000000000003E-2</v>
      </c>
      <c r="AN246" s="72">
        <f t="shared" si="81"/>
        <v>0.16279069767441862</v>
      </c>
      <c r="AO246" s="84">
        <f t="shared" si="82"/>
        <v>9.73047342192691E-3</v>
      </c>
      <c r="AP246" s="84">
        <f t="shared" si="83"/>
        <v>1.5502084717607978E-2</v>
      </c>
      <c r="AQ246" s="55">
        <f t="shared" si="84"/>
        <v>455813.95348837221</v>
      </c>
      <c r="AR246" s="55">
        <f t="shared" si="85"/>
        <v>553488.37209302338</v>
      </c>
      <c r="AS246" s="83">
        <f t="shared" si="69"/>
        <v>41</v>
      </c>
      <c r="AT246" s="50">
        <f t="shared" si="86"/>
        <v>3.3914285714285719</v>
      </c>
      <c r="AU246" s="55" t="str">
        <f t="shared" si="87"/>
        <v>Low</v>
      </c>
      <c r="AV246" s="34" t="s">
        <v>1530</v>
      </c>
      <c r="AW246" s="111"/>
      <c r="AX246" s="30" t="s">
        <v>1493</v>
      </c>
      <c r="AY246" s="30"/>
      <c r="AZ246" s="85" t="str">
        <f>IF(ISERROR(_xlfn.XLOOKUP(CONCATENATE(A246,"_",AV246),'Reference-Proof pt impact flag'!$I$3:$I$1048576,'Reference-Proof pt impact flag'!$G$3:$G$1048576)),"",_xlfn.XLOOKUP(CONCATENATE(A246,"_",AV246),'Reference-Proof pt impact flag'!$I$3:$I$1048576,'Reference-Proof pt impact flag'!$G$3:$G$1048576))</f>
        <v/>
      </c>
      <c r="BA246" s="74"/>
      <c r="BB246" s="74"/>
      <c r="BC246" s="74"/>
      <c r="BD246" s="74"/>
      <c r="BE246" s="74"/>
      <c r="BF246" s="74" t="e">
        <f>_xlfn.XLOOKUP(CONCATENATE(H246,"_",AV246),'Test 2 - Proof points - GPT5'!$T:$T,'Test 2 - Proof points - GPT5'!$S:$S)</f>
        <v>#N/A</v>
      </c>
      <c r="BG246" s="74" t="e">
        <f>_xlfn.XLOOKUP(CONCATENATE(H246,"_",AV246),'Test 2 -Proof points - Sonnet'!$AB:$AB,'Test 2 -Proof points - Sonnet'!$AA:$AA)</f>
        <v>#N/A</v>
      </c>
      <c r="BH246" s="74"/>
      <c r="BI246" s="74"/>
      <c r="BJ246" s="74" t="s">
        <v>1580</v>
      </c>
      <c r="BK246" s="30"/>
      <c r="BL246" s="30"/>
      <c r="BM246" s="30"/>
      <c r="BN246" s="30"/>
      <c r="BO246" s="30"/>
      <c r="BP246" s="30"/>
      <c r="BQ246" s="30"/>
      <c r="BR246" s="30"/>
      <c r="BS246" s="30"/>
      <c r="BT246" s="30"/>
      <c r="BU246" s="30"/>
      <c r="BV246" s="113"/>
    </row>
    <row r="247" spans="1:74" ht="217.5" hidden="1" x14ac:dyDescent="0.35">
      <c r="A247" s="22">
        <v>6</v>
      </c>
      <c r="B247" s="22" t="s">
        <v>1451</v>
      </c>
      <c r="C247" s="22" t="s">
        <v>1452</v>
      </c>
      <c r="D247" s="22" t="s">
        <v>1224</v>
      </c>
      <c r="E247" s="22" t="s">
        <v>1453</v>
      </c>
      <c r="F247" s="22"/>
      <c r="G247" s="22" t="s">
        <v>1274</v>
      </c>
      <c r="H247" s="21" t="s">
        <v>1284</v>
      </c>
      <c r="I247" s="22"/>
      <c r="J247" s="21" t="s">
        <v>1579</v>
      </c>
      <c r="K247" s="30"/>
      <c r="L247" s="30" t="s">
        <v>1260</v>
      </c>
      <c r="M247" s="35" t="str">
        <f>VLOOKUP(H247,'1_Value &amp; risk levers'!$H$9:$O$1048576,2,FALSE)</f>
        <v>Not utilized</v>
      </c>
      <c r="N247" s="35" t="str">
        <f>VLOOKUP(H247,'1_Value &amp; risk levers'!$H$9:$O$1048576,3,FALSE)</f>
        <v>Basic usage for high-risk categories</v>
      </c>
      <c r="O247" s="35" t="str">
        <f>VLOOKUP(H247,'1_Value &amp; risk levers'!$H$9:$O$1048576,4,FALSE)</f>
        <v>Regularly employed for risk management</v>
      </c>
      <c r="P247" s="35" t="str">
        <f>VLOOKUP(H247,'1_Value &amp; risk levers'!$H$9:$O$1048576,5,FALSE)</f>
        <v>Strategically implemented with advanced forecasting</v>
      </c>
      <c r="Q247" s="77">
        <f>IF(VLOOKUP(H247,'1_Value &amp; risk levers'!$H$9:$T$1048576,13,FALSE)=0,"",VLOOKUP(H247,'1_Value &amp; risk levers'!$H$9:$T$1048576,13,FALSE))</f>
        <v>2</v>
      </c>
      <c r="R247" s="128">
        <f t="shared" si="66"/>
        <v>2</v>
      </c>
      <c r="S247" s="128" t="e">
        <f t="shared" si="67"/>
        <v>#DIV/0!</v>
      </c>
      <c r="T247" s="77"/>
      <c r="U247" s="77"/>
      <c r="V247" s="55"/>
      <c r="W247" s="71">
        <v>0.04</v>
      </c>
      <c r="X247" s="71">
        <v>0.1</v>
      </c>
      <c r="Y247" s="71">
        <f>VLOOKUP(H247,'1_Value &amp; risk levers'!$H$9:$O$1048576,8,FALSE)</f>
        <v>0.8</v>
      </c>
      <c r="Z247" s="51">
        <f t="shared" si="68"/>
        <v>7.0000000000000007E-2</v>
      </c>
      <c r="AA247" s="51">
        <f t="shared" si="70"/>
        <v>8.5000000000000006E-2</v>
      </c>
      <c r="AB247" s="55">
        <f t="shared" si="71"/>
        <v>2800000.0000000005</v>
      </c>
      <c r="AC247" s="55">
        <f t="shared" si="72"/>
        <v>3400000.0000000005</v>
      </c>
      <c r="AD247" s="80">
        <f t="shared" si="73"/>
        <v>7</v>
      </c>
      <c r="AE247" s="84">
        <f t="shared" si="74"/>
        <v>0.48864540816326468</v>
      </c>
      <c r="AF247" s="71" t="str">
        <f t="shared" si="75"/>
        <v>Low</v>
      </c>
      <c r="AG247" s="84">
        <f t="shared" si="76"/>
        <v>5.9772908163265304E-2</v>
      </c>
      <c r="AH247" s="84">
        <f t="shared" si="77"/>
        <v>9.5227091836734709E-2</v>
      </c>
      <c r="AI247" s="73">
        <f t="shared" si="78"/>
        <v>2390916.3265306121</v>
      </c>
      <c r="AJ247" s="73">
        <f t="shared" si="79"/>
        <v>3809083.6734693884</v>
      </c>
      <c r="AK247" s="46">
        <f>VLOOKUP(H247,'1_Value &amp; risk levers'!$H$9:$O$1048576,6,FALSE)</f>
        <v>0.02</v>
      </c>
      <c r="AL247" s="46">
        <f>VLOOKUP(H247,'1_Value &amp; risk levers'!$H$9:$O$1048576,7,FALSE)</f>
        <v>0.05</v>
      </c>
      <c r="AM247" s="50">
        <f t="shared" si="80"/>
        <v>3.5000000000000003E-2</v>
      </c>
      <c r="AN247" s="72">
        <f t="shared" si="81"/>
        <v>0.16279069767441862</v>
      </c>
      <c r="AO247" s="84">
        <f t="shared" si="82"/>
        <v>9.73047342192691E-3</v>
      </c>
      <c r="AP247" s="84">
        <f t="shared" si="83"/>
        <v>1.5502084717607978E-2</v>
      </c>
      <c r="AQ247" s="55">
        <f t="shared" si="84"/>
        <v>455813.95348837221</v>
      </c>
      <c r="AR247" s="55">
        <f t="shared" si="85"/>
        <v>553488.37209302338</v>
      </c>
      <c r="AS247" s="83">
        <f t="shared" si="69"/>
        <v>41</v>
      </c>
      <c r="AT247" s="50">
        <f t="shared" si="86"/>
        <v>3.3914285714285719</v>
      </c>
      <c r="AU247" s="55" t="str">
        <f t="shared" si="87"/>
        <v>Low</v>
      </c>
      <c r="AV247" s="34" t="s">
        <v>1531</v>
      </c>
      <c r="AW247" s="111"/>
      <c r="AX247" s="30" t="s">
        <v>1493</v>
      </c>
      <c r="AY247" s="30"/>
      <c r="AZ247" s="85" t="str">
        <f>IF(ISERROR(_xlfn.XLOOKUP(CONCATENATE(A247,"_",AV247),'Reference-Proof pt impact flag'!$I$3:$I$1048576,'Reference-Proof pt impact flag'!$G$3:$G$1048576)),"",_xlfn.XLOOKUP(CONCATENATE(A247,"_",AV247),'Reference-Proof pt impact flag'!$I$3:$I$1048576,'Reference-Proof pt impact flag'!$G$3:$G$1048576))</f>
        <v/>
      </c>
      <c r="BA247" s="74"/>
      <c r="BB247" s="74"/>
      <c r="BC247" s="74"/>
      <c r="BD247" s="74"/>
      <c r="BE247" s="74"/>
      <c r="BF247" s="74" t="e">
        <f>_xlfn.XLOOKUP(CONCATENATE(H247,"_",AV247),'Test 2 - Proof points - GPT5'!$T:$T,'Test 2 - Proof points - GPT5'!$S:$S)</f>
        <v>#N/A</v>
      </c>
      <c r="BG247" s="74" t="e">
        <f>_xlfn.XLOOKUP(CONCATENATE(H247,"_",AV247),'Test 2 -Proof points - Sonnet'!$AB:$AB,'Test 2 -Proof points - Sonnet'!$AA:$AA)</f>
        <v>#N/A</v>
      </c>
      <c r="BH247" s="74"/>
      <c r="BI247" s="74"/>
      <c r="BJ247" s="74" t="s">
        <v>1580</v>
      </c>
      <c r="BK247" s="30"/>
      <c r="BL247" s="30"/>
      <c r="BM247" s="30"/>
      <c r="BN247" s="30"/>
      <c r="BO247" s="30"/>
      <c r="BP247" s="30"/>
      <c r="BQ247" s="30"/>
      <c r="BR247" s="30"/>
      <c r="BS247" s="30"/>
      <c r="BT247" s="30"/>
      <c r="BU247" s="30"/>
      <c r="BV247" s="113"/>
    </row>
    <row r="248" spans="1:74" ht="217.5" hidden="1" x14ac:dyDescent="0.35">
      <c r="A248" s="22">
        <v>6</v>
      </c>
      <c r="B248" s="22" t="s">
        <v>1451</v>
      </c>
      <c r="C248" s="22" t="s">
        <v>1452</v>
      </c>
      <c r="D248" s="22" t="s">
        <v>1224</v>
      </c>
      <c r="E248" s="22" t="s">
        <v>1453</v>
      </c>
      <c r="F248" s="22"/>
      <c r="G248" s="22" t="s">
        <v>1274</v>
      </c>
      <c r="H248" s="21" t="s">
        <v>1284</v>
      </c>
      <c r="I248" s="22"/>
      <c r="J248" s="21" t="s">
        <v>1579</v>
      </c>
      <c r="K248" s="30"/>
      <c r="L248" s="30" t="s">
        <v>1260</v>
      </c>
      <c r="M248" s="35" t="str">
        <f>VLOOKUP(H248,'1_Value &amp; risk levers'!$H$9:$O$1048576,2,FALSE)</f>
        <v>Not utilized</v>
      </c>
      <c r="N248" s="35" t="str">
        <f>VLOOKUP(H248,'1_Value &amp; risk levers'!$H$9:$O$1048576,3,FALSE)</f>
        <v>Basic usage for high-risk categories</v>
      </c>
      <c r="O248" s="35" t="str">
        <f>VLOOKUP(H248,'1_Value &amp; risk levers'!$H$9:$O$1048576,4,FALSE)</f>
        <v>Regularly employed for risk management</v>
      </c>
      <c r="P248" s="35" t="str">
        <f>VLOOKUP(H248,'1_Value &amp; risk levers'!$H$9:$O$1048576,5,FALSE)</f>
        <v>Strategically implemented with advanced forecasting</v>
      </c>
      <c r="Q248" s="77">
        <f>IF(VLOOKUP(H248,'1_Value &amp; risk levers'!$H$9:$T$1048576,13,FALSE)=0,"",VLOOKUP(H248,'1_Value &amp; risk levers'!$H$9:$T$1048576,13,FALSE))</f>
        <v>2</v>
      </c>
      <c r="R248" s="128">
        <f t="shared" si="66"/>
        <v>2</v>
      </c>
      <c r="S248" s="128" t="e">
        <f t="shared" si="67"/>
        <v>#DIV/0!</v>
      </c>
      <c r="T248" s="77"/>
      <c r="U248" s="77"/>
      <c r="V248" s="55"/>
      <c r="W248" s="71">
        <v>0.04</v>
      </c>
      <c r="X248" s="71">
        <v>0.1</v>
      </c>
      <c r="Y248" s="71">
        <f>VLOOKUP(H248,'1_Value &amp; risk levers'!$H$9:$O$1048576,8,FALSE)</f>
        <v>0.8</v>
      </c>
      <c r="Z248" s="51">
        <f t="shared" si="68"/>
        <v>7.0000000000000007E-2</v>
      </c>
      <c r="AA248" s="51">
        <f t="shared" si="70"/>
        <v>8.5000000000000006E-2</v>
      </c>
      <c r="AB248" s="55">
        <f t="shared" si="71"/>
        <v>2800000.0000000005</v>
      </c>
      <c r="AC248" s="55">
        <f t="shared" si="72"/>
        <v>3400000.0000000005</v>
      </c>
      <c r="AD248" s="80">
        <f t="shared" si="73"/>
        <v>7</v>
      </c>
      <c r="AE248" s="84">
        <f t="shared" si="74"/>
        <v>0.48864540816326468</v>
      </c>
      <c r="AF248" s="71" t="str">
        <f t="shared" si="75"/>
        <v>Low</v>
      </c>
      <c r="AG248" s="84">
        <f t="shared" si="76"/>
        <v>5.9772908163265304E-2</v>
      </c>
      <c r="AH248" s="84">
        <f t="shared" si="77"/>
        <v>9.5227091836734709E-2</v>
      </c>
      <c r="AI248" s="73">
        <f t="shared" si="78"/>
        <v>2390916.3265306121</v>
      </c>
      <c r="AJ248" s="73">
        <f t="shared" si="79"/>
        <v>3809083.6734693884</v>
      </c>
      <c r="AK248" s="46">
        <f>VLOOKUP(H248,'1_Value &amp; risk levers'!$H$9:$O$1048576,6,FALSE)</f>
        <v>0.02</v>
      </c>
      <c r="AL248" s="46">
        <f>VLOOKUP(H248,'1_Value &amp; risk levers'!$H$9:$O$1048576,7,FALSE)</f>
        <v>0.05</v>
      </c>
      <c r="AM248" s="50">
        <f t="shared" si="80"/>
        <v>3.5000000000000003E-2</v>
      </c>
      <c r="AN248" s="72">
        <f t="shared" si="81"/>
        <v>0.16279069767441862</v>
      </c>
      <c r="AO248" s="84">
        <f t="shared" si="82"/>
        <v>9.73047342192691E-3</v>
      </c>
      <c r="AP248" s="84">
        <f t="shared" si="83"/>
        <v>1.5502084717607978E-2</v>
      </c>
      <c r="AQ248" s="55">
        <f t="shared" si="84"/>
        <v>455813.95348837221</v>
      </c>
      <c r="AR248" s="55">
        <f t="shared" si="85"/>
        <v>553488.37209302338</v>
      </c>
      <c r="AS248" s="83">
        <f t="shared" si="69"/>
        <v>41</v>
      </c>
      <c r="AT248" s="50">
        <f t="shared" si="86"/>
        <v>3.3914285714285719</v>
      </c>
      <c r="AU248" s="55" t="str">
        <f t="shared" si="87"/>
        <v>Low</v>
      </c>
      <c r="AV248" s="34" t="s">
        <v>1532</v>
      </c>
      <c r="AW248" s="111"/>
      <c r="AX248" s="30" t="s">
        <v>1493</v>
      </c>
      <c r="AY248" s="30"/>
      <c r="AZ248" s="85" t="str">
        <f>IF(ISERROR(_xlfn.XLOOKUP(CONCATENATE(A248,"_",AV248),'Reference-Proof pt impact flag'!$I$3:$I$1048576,'Reference-Proof pt impact flag'!$G$3:$G$1048576)),"",_xlfn.XLOOKUP(CONCATENATE(A248,"_",AV248),'Reference-Proof pt impact flag'!$I$3:$I$1048576,'Reference-Proof pt impact flag'!$G$3:$G$1048576))</f>
        <v/>
      </c>
      <c r="BA248" s="74"/>
      <c r="BB248" s="74"/>
      <c r="BC248" s="74"/>
      <c r="BD248" s="74"/>
      <c r="BE248" s="74"/>
      <c r="BF248" s="74" t="e">
        <f>_xlfn.XLOOKUP(CONCATENATE(H248,"_",AV248),'Test 2 - Proof points - GPT5'!$T:$T,'Test 2 - Proof points - GPT5'!$S:$S)</f>
        <v>#N/A</v>
      </c>
      <c r="BG248" s="74" t="e">
        <f>_xlfn.XLOOKUP(CONCATENATE(H248,"_",AV248),'Test 2 -Proof points - Sonnet'!$AB:$AB,'Test 2 -Proof points - Sonnet'!$AA:$AA)</f>
        <v>#N/A</v>
      </c>
      <c r="BH248" s="74"/>
      <c r="BI248" s="74"/>
      <c r="BJ248" s="74" t="s">
        <v>1580</v>
      </c>
      <c r="BK248" s="30"/>
      <c r="BL248" s="30"/>
      <c r="BM248" s="30"/>
      <c r="BN248" s="30"/>
      <c r="BO248" s="30"/>
      <c r="BP248" s="30"/>
      <c r="BQ248" s="30"/>
      <c r="BR248" s="30"/>
      <c r="BS248" s="30"/>
      <c r="BT248" s="30"/>
      <c r="BU248" s="30"/>
      <c r="BV248" s="113"/>
    </row>
    <row r="249" spans="1:74" ht="232" hidden="1" x14ac:dyDescent="0.35">
      <c r="A249" s="22">
        <v>7</v>
      </c>
      <c r="B249" s="22" t="s">
        <v>1451</v>
      </c>
      <c r="C249" s="22" t="s">
        <v>1452</v>
      </c>
      <c r="D249" s="22" t="s">
        <v>1224</v>
      </c>
      <c r="E249" s="22" t="s">
        <v>1453</v>
      </c>
      <c r="F249" s="22"/>
      <c r="G249" s="22" t="s">
        <v>1274</v>
      </c>
      <c r="H249" s="21" t="s">
        <v>1278</v>
      </c>
      <c r="I249" s="22"/>
      <c r="J249" s="21" t="s">
        <v>1331</v>
      </c>
      <c r="K249" s="30"/>
      <c r="L249" s="30" t="s">
        <v>1277</v>
      </c>
      <c r="M249" s="35" t="str">
        <f>VLOOKUP(H249,'1_Value &amp; risk levers'!$H$9:$O$1048576,2,FALSE)</f>
        <v>Not considered</v>
      </c>
      <c r="N249" s="35" t="str">
        <f>VLOOKUP(H249,'1_Value &amp; risk levers'!$H$9:$O$1048576,3,FALSE)</f>
        <v>Limited exploration of alternative origins</v>
      </c>
      <c r="O249" s="35" t="str">
        <f>VLOOKUP(H249,'1_Value &amp; risk levers'!$H$9:$O$1048576,4,FALSE)</f>
        <v>Regularly sourcing from diverse origins</v>
      </c>
      <c r="P249" s="35" t="str">
        <f>VLOOKUP(H249,'1_Value &amp; risk levers'!$H$9:$O$1048576,5,FALSE)</f>
        <v>Fully optimized global sourcing with risk mitigation plans</v>
      </c>
      <c r="Q249" s="77">
        <f>IF(VLOOKUP(H249,'1_Value &amp; risk levers'!$H$9:$T$1048576,13,FALSE)=0,"",VLOOKUP(H249,'1_Value &amp; risk levers'!$H$9:$T$1048576,13,FALSE))</f>
        <v>1</v>
      </c>
      <c r="R249" s="128">
        <f t="shared" si="66"/>
        <v>2</v>
      </c>
      <c r="S249" s="128" t="e">
        <f t="shared" si="67"/>
        <v>#DIV/0!</v>
      </c>
      <c r="T249" s="77"/>
      <c r="U249" s="77"/>
      <c r="V249" s="55"/>
      <c r="W249" s="71">
        <v>0.04</v>
      </c>
      <c r="X249" s="71">
        <v>0.1</v>
      </c>
      <c r="Y249" s="71">
        <f>VLOOKUP(H249,'1_Value &amp; risk levers'!$H$9:$O$1048576,8,FALSE)</f>
        <v>0.8</v>
      </c>
      <c r="Z249" s="51">
        <f t="shared" si="68"/>
        <v>7.0000000000000007E-2</v>
      </c>
      <c r="AA249" s="51">
        <f t="shared" si="70"/>
        <v>8.5000000000000006E-2</v>
      </c>
      <c r="AB249" s="55">
        <f t="shared" ref="AB249:AB282" si="88">Y249*Z249*50000000</f>
        <v>2800000.0000000005</v>
      </c>
      <c r="AC249" s="55">
        <f t="shared" ref="AC249:AC282" si="89">Y249*AA249*50000000</f>
        <v>3400000.0000000005</v>
      </c>
      <c r="AD249" s="80">
        <f t="shared" si="73"/>
        <v>7</v>
      </c>
      <c r="AE249" s="84">
        <f t="shared" si="74"/>
        <v>0.48864540816326468</v>
      </c>
      <c r="AF249" s="71" t="str">
        <f t="shared" ref="AF249:AF282" si="90">IF(AE249&lt;0.5,"Low",IF(AE249&lt;0.75,"Medium","High"))</f>
        <v>Low</v>
      </c>
      <c r="AG249" s="84">
        <f t="shared" si="76"/>
        <v>5.9772908163265304E-2</v>
      </c>
      <c r="AH249" s="84">
        <f t="shared" si="77"/>
        <v>9.5227091836734709E-2</v>
      </c>
      <c r="AI249" s="73">
        <f t="shared" ref="AI249:AI282" si="91">Y249*AG249*50000000</f>
        <v>2390916.3265306121</v>
      </c>
      <c r="AJ249" s="73">
        <f t="shared" ref="AJ249:AJ282" si="92">Y249*AH249*50000000</f>
        <v>3809083.6734693884</v>
      </c>
      <c r="AK249" s="46">
        <f>VLOOKUP(H249,'1_Value &amp; risk levers'!$H$9:$O$1048576,6,FALSE)</f>
        <v>0.02</v>
      </c>
      <c r="AL249" s="46">
        <f>VLOOKUP(H249,'1_Value &amp; risk levers'!$H$9:$O$1048576,7,FALSE)</f>
        <v>0.03</v>
      </c>
      <c r="AM249" s="50">
        <f t="shared" si="80"/>
        <v>2.75E-2</v>
      </c>
      <c r="AN249" s="72">
        <f t="shared" si="81"/>
        <v>0.12790697674418605</v>
      </c>
      <c r="AO249" s="84">
        <f t="shared" si="82"/>
        <v>7.6453719743711434E-3</v>
      </c>
      <c r="AP249" s="84">
        <f t="shared" si="83"/>
        <v>1.2180209420977696E-2</v>
      </c>
      <c r="AQ249" s="55">
        <f t="shared" si="84"/>
        <v>358139.53488372103</v>
      </c>
      <c r="AR249" s="55">
        <f t="shared" si="85"/>
        <v>434883.72093023261</v>
      </c>
      <c r="AS249" s="83">
        <f t="shared" si="69"/>
        <v>41</v>
      </c>
      <c r="AT249" s="50">
        <f t="shared" si="86"/>
        <v>2.5</v>
      </c>
      <c r="AU249" s="55" t="str">
        <f t="shared" si="87"/>
        <v>Low</v>
      </c>
      <c r="AV249" s="36" t="s">
        <v>1454</v>
      </c>
      <c r="AW249" s="109" t="s">
        <v>1455</v>
      </c>
      <c r="AX249" s="37" t="s">
        <v>1456</v>
      </c>
      <c r="AY249" s="27" t="s">
        <v>1601</v>
      </c>
      <c r="AZ249" s="85" t="str">
        <f>IF(ISERROR(_xlfn.XLOOKUP(CONCATENATE(A249,"_",AV249),'Reference-Proof pt impact flag'!$I$3:$I$1048576,'Reference-Proof pt impact flag'!$G$3:$G$1048576)),"",_xlfn.XLOOKUP(CONCATENATE(A249,"_",AV249),'Reference-Proof pt impact flag'!$I$3:$I$1048576,'Reference-Proof pt impact flag'!$G$3:$G$1048576))</f>
        <v>Low</v>
      </c>
      <c r="BA249" s="27" t="s">
        <v>1458</v>
      </c>
      <c r="BB249" s="30" t="s">
        <v>1582</v>
      </c>
      <c r="BC249" s="27" t="s">
        <v>1583</v>
      </c>
      <c r="BD249" s="85" t="s">
        <v>1584</v>
      </c>
      <c r="BE249" s="74" t="s">
        <v>1602</v>
      </c>
      <c r="BF249" s="74" t="str">
        <f>_xlfn.XLOOKUP(CONCATENATE(H249,"_",AV249),'Test 2 - Proof points - GPT5'!$T:$T,'Test 2 - Proof points - GPT5'!$S:$S)</f>
        <v>Insights: Spend is concentrated across plants — Malaysia 81.4%, India 7.1%, Australia 7.1%, Indonesia 4.5%. Actions: Bundle cross-plant demand windows and align delivery INCOTERMS to exploit backhauls and supplier MOQ breaks.</v>
      </c>
      <c r="BG249" s="74" t="str">
        <f>_xlfn.XLOOKUP(CONCATENATE(H249,"_",AV249),'Test 2 -Proof points - Sonnet'!$AB:$AB,'Test 2 -Proof points - Sonnet'!$AA:$AA)</f>
        <v>â€¢ **Explore Southeast Asian sourcing diversification**: Current India-centric sourcing (&gt;90% spend) presents opportunities to leverage cost advantages from Malaysian palm oil processors and Indonesian suppliers for competitive pricing and supply flexibility.
â€¢ **Implement origin switching strategy**: Seasonal price variations between regions create arbitrage opportunities - develop capabilities to shift sourcing origins based on market dynamics while maintaining quality standards and supply continuity.
â€¢ **Future global sourcing optimization**: Industry trend toward dynamic, cost-optimized global sourcing networks will favor organizations with flexible origin switching capabilities, making current geographic diversification essential for competitive advantage in evolving commodity markets.</v>
      </c>
      <c r="BH249" s="74" t="s">
        <v>1603</v>
      </c>
      <c r="BI249" s="74" t="s">
        <v>1604</v>
      </c>
      <c r="BJ249" s="74" t="s">
        <v>1605</v>
      </c>
      <c r="BK249" s="30"/>
      <c r="BL249" s="30"/>
      <c r="BM249" s="30"/>
      <c r="BN249" s="30"/>
      <c r="BO249" s="30"/>
      <c r="BP249" s="30"/>
      <c r="BQ249" s="30" t="s">
        <v>132</v>
      </c>
      <c r="BR249" s="30"/>
      <c r="BS249" s="30"/>
      <c r="BT249" s="30"/>
      <c r="BU249" s="30"/>
      <c r="BV249" s="113" t="s">
        <v>132</v>
      </c>
    </row>
    <row r="250" spans="1:74" ht="217.5" hidden="1" x14ac:dyDescent="0.35">
      <c r="A250" s="22">
        <v>7</v>
      </c>
      <c r="B250" s="22" t="s">
        <v>1451</v>
      </c>
      <c r="C250" s="22" t="s">
        <v>1452</v>
      </c>
      <c r="D250" s="22" t="s">
        <v>1224</v>
      </c>
      <c r="E250" s="22" t="s">
        <v>1453</v>
      </c>
      <c r="F250" s="22"/>
      <c r="G250" s="22" t="s">
        <v>1274</v>
      </c>
      <c r="H250" s="21" t="s">
        <v>1278</v>
      </c>
      <c r="I250" s="22"/>
      <c r="J250" s="21" t="s">
        <v>1331</v>
      </c>
      <c r="K250" s="30"/>
      <c r="L250" s="30" t="s">
        <v>1277</v>
      </c>
      <c r="M250" s="35" t="str">
        <f>VLOOKUP(H250,'1_Value &amp; risk levers'!$H$9:$O$1048576,2,FALSE)</f>
        <v>Not considered</v>
      </c>
      <c r="N250" s="35" t="str">
        <f>VLOOKUP(H250,'1_Value &amp; risk levers'!$H$9:$O$1048576,3,FALSE)</f>
        <v>Limited exploration of alternative origins</v>
      </c>
      <c r="O250" s="35" t="str">
        <f>VLOOKUP(H250,'1_Value &amp; risk levers'!$H$9:$O$1048576,4,FALSE)</f>
        <v>Regularly sourcing from diverse origins</v>
      </c>
      <c r="P250" s="35" t="str">
        <f>VLOOKUP(H250,'1_Value &amp; risk levers'!$H$9:$O$1048576,5,FALSE)</f>
        <v>Fully optimized global sourcing with risk mitigation plans</v>
      </c>
      <c r="Q250" s="77">
        <f>IF(VLOOKUP(H250,'1_Value &amp; risk levers'!$H$9:$T$1048576,13,FALSE)=0,"",VLOOKUP(H250,'1_Value &amp; risk levers'!$H$9:$T$1048576,13,FALSE))</f>
        <v>1</v>
      </c>
      <c r="R250" s="128">
        <f t="shared" si="66"/>
        <v>2</v>
      </c>
      <c r="S250" s="128" t="e">
        <f t="shared" si="67"/>
        <v>#DIV/0!</v>
      </c>
      <c r="T250" s="77"/>
      <c r="U250" s="77"/>
      <c r="V250" s="55"/>
      <c r="W250" s="71">
        <v>0.04</v>
      </c>
      <c r="X250" s="71">
        <v>0.1</v>
      </c>
      <c r="Y250" s="71">
        <f>VLOOKUP(H250,'1_Value &amp; risk levers'!$H$9:$O$1048576,8,FALSE)</f>
        <v>0.8</v>
      </c>
      <c r="Z250" s="51">
        <f t="shared" si="68"/>
        <v>7.0000000000000007E-2</v>
      </c>
      <c r="AA250" s="51">
        <f t="shared" si="70"/>
        <v>8.5000000000000006E-2</v>
      </c>
      <c r="AB250" s="55">
        <f t="shared" si="88"/>
        <v>2800000.0000000005</v>
      </c>
      <c r="AC250" s="55">
        <f t="shared" si="89"/>
        <v>3400000.0000000005</v>
      </c>
      <c r="AD250" s="80">
        <f t="shared" si="73"/>
        <v>7</v>
      </c>
      <c r="AE250" s="84">
        <f t="shared" si="74"/>
        <v>0.48864540816326468</v>
      </c>
      <c r="AF250" s="71" t="str">
        <f t="shared" si="90"/>
        <v>Low</v>
      </c>
      <c r="AG250" s="84">
        <f t="shared" si="76"/>
        <v>5.9772908163265304E-2</v>
      </c>
      <c r="AH250" s="84">
        <f t="shared" si="77"/>
        <v>9.5227091836734709E-2</v>
      </c>
      <c r="AI250" s="73">
        <f t="shared" si="91"/>
        <v>2390916.3265306121</v>
      </c>
      <c r="AJ250" s="73">
        <f t="shared" si="92"/>
        <v>3809083.6734693884</v>
      </c>
      <c r="AK250" s="46">
        <f>VLOOKUP(H250,'1_Value &amp; risk levers'!$H$9:$O$1048576,6,FALSE)</f>
        <v>0.02</v>
      </c>
      <c r="AL250" s="46">
        <f>VLOOKUP(H250,'1_Value &amp; risk levers'!$H$9:$O$1048576,7,FALSE)</f>
        <v>0.03</v>
      </c>
      <c r="AM250" s="50">
        <f t="shared" si="80"/>
        <v>2.75E-2</v>
      </c>
      <c r="AN250" s="72">
        <f t="shared" si="81"/>
        <v>0.12790697674418605</v>
      </c>
      <c r="AO250" s="84">
        <f t="shared" si="82"/>
        <v>7.6453719743711434E-3</v>
      </c>
      <c r="AP250" s="84">
        <f t="shared" si="83"/>
        <v>1.2180209420977696E-2</v>
      </c>
      <c r="AQ250" s="55">
        <f t="shared" si="84"/>
        <v>358139.53488372103</v>
      </c>
      <c r="AR250" s="55">
        <f t="shared" si="85"/>
        <v>434883.72093023261</v>
      </c>
      <c r="AS250" s="83">
        <f t="shared" si="69"/>
        <v>41</v>
      </c>
      <c r="AT250" s="50">
        <f t="shared" si="86"/>
        <v>2.5</v>
      </c>
      <c r="AU250" s="55" t="str">
        <f t="shared" si="87"/>
        <v>Low</v>
      </c>
      <c r="AV250" s="36" t="s">
        <v>1463</v>
      </c>
      <c r="AW250" s="109" t="s">
        <v>1464</v>
      </c>
      <c r="AX250" s="37" t="s">
        <v>1456</v>
      </c>
      <c r="AY250" s="30"/>
      <c r="AZ250" s="85" t="str">
        <f>IF(ISERROR(_xlfn.XLOOKUP(CONCATENATE(A250,"_",AV250),'Reference-Proof pt impact flag'!$I$3:$I$1048576,'Reference-Proof pt impact flag'!$G$3:$G$1048576)),"",_xlfn.XLOOKUP(CONCATENATE(A250,"_",AV250),'Reference-Proof pt impact flag'!$I$3:$I$1048576,'Reference-Proof pt impact flag'!$G$3:$G$1048576))</f>
        <v/>
      </c>
      <c r="BA250" s="74"/>
      <c r="BB250" s="74"/>
      <c r="BC250" s="74"/>
      <c r="BD250" s="74"/>
      <c r="BE250" s="74"/>
      <c r="BF250" s="74" t="e">
        <f>_xlfn.XLOOKUP(CONCATENATE(H250,"_",AV250),'Test 2 - Proof points - GPT5'!$T:$T,'Test 2 - Proof points - GPT5'!$S:$S)</f>
        <v>#N/A</v>
      </c>
      <c r="BG250" s="74" t="e">
        <f>_xlfn.XLOOKUP(CONCATENATE(H250,"_",AV250),'Test 2 -Proof points - Sonnet'!$AB:$AB,'Test 2 -Proof points - Sonnet'!$AA:$AA)</f>
        <v>#N/A</v>
      </c>
      <c r="BH250" s="74"/>
      <c r="BI250" s="74"/>
      <c r="BJ250" s="74" t="s">
        <v>1605</v>
      </c>
      <c r="BK250" s="30"/>
      <c r="BL250" s="30"/>
      <c r="BM250" s="30"/>
      <c r="BN250" s="30"/>
      <c r="BO250" s="30"/>
      <c r="BP250" s="30"/>
      <c r="BQ250" s="30"/>
      <c r="BR250" s="30"/>
      <c r="BS250" s="30"/>
      <c r="BT250" s="30"/>
      <c r="BU250" s="30"/>
      <c r="BV250" s="113"/>
    </row>
    <row r="251" spans="1:74" ht="217.5" hidden="1" x14ac:dyDescent="0.35">
      <c r="A251" s="22">
        <v>7</v>
      </c>
      <c r="B251" s="22" t="s">
        <v>1451</v>
      </c>
      <c r="C251" s="22" t="s">
        <v>1452</v>
      </c>
      <c r="D251" s="22" t="s">
        <v>1224</v>
      </c>
      <c r="E251" s="22" t="s">
        <v>1453</v>
      </c>
      <c r="F251" s="22"/>
      <c r="G251" s="22" t="s">
        <v>1274</v>
      </c>
      <c r="H251" s="21" t="s">
        <v>1278</v>
      </c>
      <c r="I251" s="22"/>
      <c r="J251" s="21" t="s">
        <v>1331</v>
      </c>
      <c r="K251" s="30"/>
      <c r="L251" s="30" t="s">
        <v>1277</v>
      </c>
      <c r="M251" s="35" t="str">
        <f>VLOOKUP(H251,'1_Value &amp; risk levers'!$H$9:$O$1048576,2,FALSE)</f>
        <v>Not considered</v>
      </c>
      <c r="N251" s="35" t="str">
        <f>VLOOKUP(H251,'1_Value &amp; risk levers'!$H$9:$O$1048576,3,FALSE)</f>
        <v>Limited exploration of alternative origins</v>
      </c>
      <c r="O251" s="35" t="str">
        <f>VLOOKUP(H251,'1_Value &amp; risk levers'!$H$9:$O$1048576,4,FALSE)</f>
        <v>Regularly sourcing from diverse origins</v>
      </c>
      <c r="P251" s="35" t="str">
        <f>VLOOKUP(H251,'1_Value &amp; risk levers'!$H$9:$O$1048576,5,FALSE)</f>
        <v>Fully optimized global sourcing with risk mitigation plans</v>
      </c>
      <c r="Q251" s="77">
        <f>IF(VLOOKUP(H251,'1_Value &amp; risk levers'!$H$9:$T$1048576,13,FALSE)=0,"",VLOOKUP(H251,'1_Value &amp; risk levers'!$H$9:$T$1048576,13,FALSE))</f>
        <v>1</v>
      </c>
      <c r="R251" s="128">
        <f t="shared" si="66"/>
        <v>2</v>
      </c>
      <c r="S251" s="128" t="e">
        <f t="shared" si="67"/>
        <v>#DIV/0!</v>
      </c>
      <c r="T251" s="77"/>
      <c r="U251" s="77"/>
      <c r="V251" s="55"/>
      <c r="W251" s="71">
        <v>0.04</v>
      </c>
      <c r="X251" s="71">
        <v>0.1</v>
      </c>
      <c r="Y251" s="71">
        <f>VLOOKUP(H251,'1_Value &amp; risk levers'!$H$9:$O$1048576,8,FALSE)</f>
        <v>0.8</v>
      </c>
      <c r="Z251" s="51">
        <f t="shared" si="68"/>
        <v>7.0000000000000007E-2</v>
      </c>
      <c r="AA251" s="51">
        <f t="shared" si="70"/>
        <v>8.5000000000000006E-2</v>
      </c>
      <c r="AB251" s="55">
        <f t="shared" si="88"/>
        <v>2800000.0000000005</v>
      </c>
      <c r="AC251" s="55">
        <f t="shared" si="89"/>
        <v>3400000.0000000005</v>
      </c>
      <c r="AD251" s="80">
        <f t="shared" si="73"/>
        <v>7</v>
      </c>
      <c r="AE251" s="84">
        <f t="shared" si="74"/>
        <v>0.48864540816326468</v>
      </c>
      <c r="AF251" s="71" t="str">
        <f t="shared" si="90"/>
        <v>Low</v>
      </c>
      <c r="AG251" s="84">
        <f t="shared" si="76"/>
        <v>5.9772908163265304E-2</v>
      </c>
      <c r="AH251" s="84">
        <f t="shared" si="77"/>
        <v>9.5227091836734709E-2</v>
      </c>
      <c r="AI251" s="73">
        <f t="shared" si="91"/>
        <v>2390916.3265306121</v>
      </c>
      <c r="AJ251" s="73">
        <f t="shared" si="92"/>
        <v>3809083.6734693884</v>
      </c>
      <c r="AK251" s="46">
        <f>VLOOKUP(H251,'1_Value &amp; risk levers'!$H$9:$O$1048576,6,FALSE)</f>
        <v>0.02</v>
      </c>
      <c r="AL251" s="46">
        <f>VLOOKUP(H251,'1_Value &amp; risk levers'!$H$9:$O$1048576,7,FALSE)</f>
        <v>0.03</v>
      </c>
      <c r="AM251" s="50">
        <f t="shared" si="80"/>
        <v>2.75E-2</v>
      </c>
      <c r="AN251" s="72">
        <f t="shared" si="81"/>
        <v>0.12790697674418605</v>
      </c>
      <c r="AO251" s="84">
        <f t="shared" si="82"/>
        <v>7.6453719743711434E-3</v>
      </c>
      <c r="AP251" s="84">
        <f t="shared" si="83"/>
        <v>1.2180209420977696E-2</v>
      </c>
      <c r="AQ251" s="55">
        <f t="shared" si="84"/>
        <v>358139.53488372103</v>
      </c>
      <c r="AR251" s="55">
        <f t="shared" si="85"/>
        <v>434883.72093023261</v>
      </c>
      <c r="AS251" s="83">
        <f t="shared" si="69"/>
        <v>41</v>
      </c>
      <c r="AT251" s="50">
        <f t="shared" si="86"/>
        <v>2.5</v>
      </c>
      <c r="AU251" s="55" t="str">
        <f t="shared" si="87"/>
        <v>Low</v>
      </c>
      <c r="AV251" s="36" t="s">
        <v>1465</v>
      </c>
      <c r="AW251" s="109" t="s">
        <v>1466</v>
      </c>
      <c r="AX251" s="37" t="s">
        <v>1456</v>
      </c>
      <c r="AY251" s="30"/>
      <c r="AZ251" s="85" t="str">
        <f>IF(ISERROR(_xlfn.XLOOKUP(CONCATENATE(A251,"_",AV251),'Reference-Proof pt impact flag'!$I$3:$I$1048576,'Reference-Proof pt impact flag'!$G$3:$G$1048576)),"",_xlfn.XLOOKUP(CONCATENATE(A251,"_",AV251),'Reference-Proof pt impact flag'!$I$3:$I$1048576,'Reference-Proof pt impact flag'!$G$3:$G$1048576))</f>
        <v/>
      </c>
      <c r="BA251" s="74"/>
      <c r="BB251" s="74"/>
      <c r="BC251" s="74"/>
      <c r="BD251" s="74"/>
      <c r="BE251" s="74"/>
      <c r="BF251" s="74" t="e">
        <f>_xlfn.XLOOKUP(CONCATENATE(H251,"_",AV251),'Test 2 - Proof points - GPT5'!$T:$T,'Test 2 - Proof points - GPT5'!$S:$S)</f>
        <v>#N/A</v>
      </c>
      <c r="BG251" s="74" t="e">
        <f>_xlfn.XLOOKUP(CONCATENATE(H251,"_",AV251),'Test 2 -Proof points - Sonnet'!$AB:$AB,'Test 2 -Proof points - Sonnet'!$AA:$AA)</f>
        <v>#N/A</v>
      </c>
      <c r="BH251" s="74"/>
      <c r="BI251" s="74"/>
      <c r="BJ251" s="74" t="s">
        <v>1605</v>
      </c>
      <c r="BK251" s="30"/>
      <c r="BL251" s="30"/>
      <c r="BM251" s="30"/>
      <c r="BN251" s="30"/>
      <c r="BO251" s="30"/>
      <c r="BP251" s="30"/>
      <c r="BQ251" s="30"/>
      <c r="BR251" s="30"/>
      <c r="BS251" s="30"/>
      <c r="BT251" s="30"/>
      <c r="BU251" s="30"/>
      <c r="BV251" s="113"/>
    </row>
    <row r="252" spans="1:74" ht="217.5" hidden="1" x14ac:dyDescent="0.35">
      <c r="A252" s="22">
        <v>7</v>
      </c>
      <c r="B252" s="22" t="s">
        <v>1451</v>
      </c>
      <c r="C252" s="22" t="s">
        <v>1452</v>
      </c>
      <c r="D252" s="22" t="s">
        <v>1224</v>
      </c>
      <c r="E252" s="22" t="s">
        <v>1453</v>
      </c>
      <c r="F252" s="22"/>
      <c r="G252" s="22" t="s">
        <v>1274</v>
      </c>
      <c r="H252" s="21" t="s">
        <v>1278</v>
      </c>
      <c r="I252" s="22"/>
      <c r="J252" s="21" t="s">
        <v>1331</v>
      </c>
      <c r="K252" s="30"/>
      <c r="L252" s="30" t="s">
        <v>1277</v>
      </c>
      <c r="M252" s="35" t="str">
        <f>VLOOKUP(H252,'1_Value &amp; risk levers'!$H$9:$O$1048576,2,FALSE)</f>
        <v>Not considered</v>
      </c>
      <c r="N252" s="35" t="str">
        <f>VLOOKUP(H252,'1_Value &amp; risk levers'!$H$9:$O$1048576,3,FALSE)</f>
        <v>Limited exploration of alternative origins</v>
      </c>
      <c r="O252" s="35" t="str">
        <f>VLOOKUP(H252,'1_Value &amp; risk levers'!$H$9:$O$1048576,4,FALSE)</f>
        <v>Regularly sourcing from diverse origins</v>
      </c>
      <c r="P252" s="35" t="str">
        <f>VLOOKUP(H252,'1_Value &amp; risk levers'!$H$9:$O$1048576,5,FALSE)</f>
        <v>Fully optimized global sourcing with risk mitigation plans</v>
      </c>
      <c r="Q252" s="77">
        <f>IF(VLOOKUP(H252,'1_Value &amp; risk levers'!$H$9:$T$1048576,13,FALSE)=0,"",VLOOKUP(H252,'1_Value &amp; risk levers'!$H$9:$T$1048576,13,FALSE))</f>
        <v>1</v>
      </c>
      <c r="R252" s="128">
        <f t="shared" si="66"/>
        <v>2</v>
      </c>
      <c r="S252" s="128" t="e">
        <f t="shared" si="67"/>
        <v>#DIV/0!</v>
      </c>
      <c r="T252" s="77"/>
      <c r="U252" s="77"/>
      <c r="V252" s="55"/>
      <c r="W252" s="71">
        <v>0.04</v>
      </c>
      <c r="X252" s="71">
        <v>0.1</v>
      </c>
      <c r="Y252" s="71">
        <f>VLOOKUP(H252,'1_Value &amp; risk levers'!$H$9:$O$1048576,8,FALSE)</f>
        <v>0.8</v>
      </c>
      <c r="Z252" s="51">
        <f t="shared" si="68"/>
        <v>7.0000000000000007E-2</v>
      </c>
      <c r="AA252" s="51">
        <f t="shared" si="70"/>
        <v>8.5000000000000006E-2</v>
      </c>
      <c r="AB252" s="55">
        <f t="shared" si="88"/>
        <v>2800000.0000000005</v>
      </c>
      <c r="AC252" s="55">
        <f t="shared" si="89"/>
        <v>3400000.0000000005</v>
      </c>
      <c r="AD252" s="80">
        <f t="shared" si="73"/>
        <v>7</v>
      </c>
      <c r="AE252" s="84">
        <f t="shared" si="74"/>
        <v>0.48864540816326468</v>
      </c>
      <c r="AF252" s="71" t="str">
        <f t="shared" si="90"/>
        <v>Low</v>
      </c>
      <c r="AG252" s="84">
        <f t="shared" si="76"/>
        <v>5.9772908163265304E-2</v>
      </c>
      <c r="AH252" s="84">
        <f t="shared" si="77"/>
        <v>9.5227091836734709E-2</v>
      </c>
      <c r="AI252" s="73">
        <f t="shared" si="91"/>
        <v>2390916.3265306121</v>
      </c>
      <c r="AJ252" s="73">
        <f t="shared" si="92"/>
        <v>3809083.6734693884</v>
      </c>
      <c r="AK252" s="46">
        <f>VLOOKUP(H252,'1_Value &amp; risk levers'!$H$9:$O$1048576,6,FALSE)</f>
        <v>0.02</v>
      </c>
      <c r="AL252" s="46">
        <f>VLOOKUP(H252,'1_Value &amp; risk levers'!$H$9:$O$1048576,7,FALSE)</f>
        <v>0.03</v>
      </c>
      <c r="AM252" s="50">
        <f t="shared" si="80"/>
        <v>2.75E-2</v>
      </c>
      <c r="AN252" s="72">
        <f t="shared" si="81"/>
        <v>0.12790697674418605</v>
      </c>
      <c r="AO252" s="84">
        <f t="shared" si="82"/>
        <v>7.6453719743711434E-3</v>
      </c>
      <c r="AP252" s="84">
        <f t="shared" si="83"/>
        <v>1.2180209420977696E-2</v>
      </c>
      <c r="AQ252" s="55">
        <f t="shared" si="84"/>
        <v>358139.53488372103</v>
      </c>
      <c r="AR252" s="55">
        <f t="shared" si="85"/>
        <v>434883.72093023261</v>
      </c>
      <c r="AS252" s="83">
        <f t="shared" si="69"/>
        <v>41</v>
      </c>
      <c r="AT252" s="50">
        <f t="shared" si="86"/>
        <v>2.5</v>
      </c>
      <c r="AU252" s="55" t="str">
        <f t="shared" si="87"/>
        <v>Low</v>
      </c>
      <c r="AV252" s="36" t="s">
        <v>1467</v>
      </c>
      <c r="AW252" s="109" t="s">
        <v>1468</v>
      </c>
      <c r="AX252" s="37" t="s">
        <v>1456</v>
      </c>
      <c r="AY252" s="30"/>
      <c r="AZ252" s="85" t="str">
        <f>IF(ISERROR(_xlfn.XLOOKUP(CONCATENATE(A252,"_",AV252),'Reference-Proof pt impact flag'!$I$3:$I$1048576,'Reference-Proof pt impact flag'!$G$3:$G$1048576)),"",_xlfn.XLOOKUP(CONCATENATE(A252,"_",AV252),'Reference-Proof pt impact flag'!$I$3:$I$1048576,'Reference-Proof pt impact flag'!$G$3:$G$1048576))</f>
        <v/>
      </c>
      <c r="BA252" s="74"/>
      <c r="BB252" s="74"/>
      <c r="BC252" s="74"/>
      <c r="BD252" s="74"/>
      <c r="BE252" s="74"/>
      <c r="BF252" s="74" t="e">
        <f>_xlfn.XLOOKUP(CONCATENATE(H252,"_",AV252),'Test 2 - Proof points - GPT5'!$T:$T,'Test 2 - Proof points - GPT5'!$S:$S)</f>
        <v>#N/A</v>
      </c>
      <c r="BG252" s="74" t="e">
        <f>_xlfn.XLOOKUP(CONCATENATE(H252,"_",AV252),'Test 2 -Proof points - Sonnet'!$AB:$AB,'Test 2 -Proof points - Sonnet'!$AA:$AA)</f>
        <v>#N/A</v>
      </c>
      <c r="BH252" s="74"/>
      <c r="BI252" s="74"/>
      <c r="BJ252" s="74" t="s">
        <v>1605</v>
      </c>
      <c r="BK252" s="30"/>
      <c r="BL252" s="30"/>
      <c r="BM252" s="30"/>
      <c r="BN252" s="30"/>
      <c r="BO252" s="30"/>
      <c r="BP252" s="30"/>
      <c r="BQ252" s="30"/>
      <c r="BR252" s="30"/>
      <c r="BS252" s="30"/>
      <c r="BT252" s="30"/>
      <c r="BU252" s="30"/>
      <c r="BV252" s="113"/>
    </row>
    <row r="253" spans="1:74" ht="217.5" hidden="1" x14ac:dyDescent="0.35">
      <c r="A253" s="22">
        <v>7</v>
      </c>
      <c r="B253" s="22" t="s">
        <v>1451</v>
      </c>
      <c r="C253" s="22" t="s">
        <v>1452</v>
      </c>
      <c r="D253" s="22" t="s">
        <v>1224</v>
      </c>
      <c r="E253" s="22" t="s">
        <v>1453</v>
      </c>
      <c r="F253" s="22"/>
      <c r="G253" s="22" t="s">
        <v>1274</v>
      </c>
      <c r="H253" s="21" t="s">
        <v>1278</v>
      </c>
      <c r="I253" s="22"/>
      <c r="J253" s="21" t="s">
        <v>1331</v>
      </c>
      <c r="K253" s="30"/>
      <c r="L253" s="30" t="s">
        <v>1277</v>
      </c>
      <c r="M253" s="35" t="str">
        <f>VLOOKUP(H253,'1_Value &amp; risk levers'!$H$9:$O$1048576,2,FALSE)</f>
        <v>Not considered</v>
      </c>
      <c r="N253" s="35" t="str">
        <f>VLOOKUP(H253,'1_Value &amp; risk levers'!$H$9:$O$1048576,3,FALSE)</f>
        <v>Limited exploration of alternative origins</v>
      </c>
      <c r="O253" s="35" t="str">
        <f>VLOOKUP(H253,'1_Value &amp; risk levers'!$H$9:$O$1048576,4,FALSE)</f>
        <v>Regularly sourcing from diverse origins</v>
      </c>
      <c r="P253" s="35" t="str">
        <f>VLOOKUP(H253,'1_Value &amp; risk levers'!$H$9:$O$1048576,5,FALSE)</f>
        <v>Fully optimized global sourcing with risk mitigation plans</v>
      </c>
      <c r="Q253" s="77">
        <f>IF(VLOOKUP(H253,'1_Value &amp; risk levers'!$H$9:$T$1048576,13,FALSE)=0,"",VLOOKUP(H253,'1_Value &amp; risk levers'!$H$9:$T$1048576,13,FALSE))</f>
        <v>1</v>
      </c>
      <c r="R253" s="128">
        <f t="shared" si="66"/>
        <v>2</v>
      </c>
      <c r="S253" s="128" t="e">
        <f t="shared" si="67"/>
        <v>#DIV/0!</v>
      </c>
      <c r="T253" s="77"/>
      <c r="U253" s="77"/>
      <c r="V253" s="55"/>
      <c r="W253" s="71">
        <v>0.04</v>
      </c>
      <c r="X253" s="71">
        <v>0.1</v>
      </c>
      <c r="Y253" s="71">
        <f>VLOOKUP(H253,'1_Value &amp; risk levers'!$H$9:$O$1048576,8,FALSE)</f>
        <v>0.8</v>
      </c>
      <c r="Z253" s="51">
        <f t="shared" si="68"/>
        <v>7.0000000000000007E-2</v>
      </c>
      <c r="AA253" s="51">
        <f t="shared" si="70"/>
        <v>8.5000000000000006E-2</v>
      </c>
      <c r="AB253" s="55">
        <f t="shared" si="88"/>
        <v>2800000.0000000005</v>
      </c>
      <c r="AC253" s="55">
        <f t="shared" si="89"/>
        <v>3400000.0000000005</v>
      </c>
      <c r="AD253" s="80">
        <f t="shared" si="73"/>
        <v>7</v>
      </c>
      <c r="AE253" s="84">
        <f t="shared" si="74"/>
        <v>0.48864540816326468</v>
      </c>
      <c r="AF253" s="71" t="str">
        <f t="shared" si="90"/>
        <v>Low</v>
      </c>
      <c r="AG253" s="84">
        <f t="shared" si="76"/>
        <v>5.9772908163265304E-2</v>
      </c>
      <c r="AH253" s="84">
        <f t="shared" si="77"/>
        <v>9.5227091836734709E-2</v>
      </c>
      <c r="AI253" s="73">
        <f t="shared" si="91"/>
        <v>2390916.3265306121</v>
      </c>
      <c r="AJ253" s="73">
        <f t="shared" si="92"/>
        <v>3809083.6734693884</v>
      </c>
      <c r="AK253" s="46">
        <f>VLOOKUP(H253,'1_Value &amp; risk levers'!$H$9:$O$1048576,6,FALSE)</f>
        <v>0.02</v>
      </c>
      <c r="AL253" s="46">
        <f>VLOOKUP(H253,'1_Value &amp; risk levers'!$H$9:$O$1048576,7,FALSE)</f>
        <v>0.03</v>
      </c>
      <c r="AM253" s="50">
        <f t="shared" si="80"/>
        <v>2.75E-2</v>
      </c>
      <c r="AN253" s="72">
        <f t="shared" si="81"/>
        <v>0.12790697674418605</v>
      </c>
      <c r="AO253" s="84">
        <f t="shared" si="82"/>
        <v>7.6453719743711434E-3</v>
      </c>
      <c r="AP253" s="84">
        <f t="shared" si="83"/>
        <v>1.2180209420977696E-2</v>
      </c>
      <c r="AQ253" s="55">
        <f t="shared" si="84"/>
        <v>358139.53488372103</v>
      </c>
      <c r="AR253" s="55">
        <f t="shared" si="85"/>
        <v>434883.72093023261</v>
      </c>
      <c r="AS253" s="83">
        <f t="shared" si="69"/>
        <v>41</v>
      </c>
      <c r="AT253" s="50">
        <f t="shared" si="86"/>
        <v>2.5</v>
      </c>
      <c r="AU253" s="55" t="str">
        <f t="shared" si="87"/>
        <v>Low</v>
      </c>
      <c r="AV253" s="36" t="s">
        <v>1471</v>
      </c>
      <c r="AW253" s="109" t="s">
        <v>1472</v>
      </c>
      <c r="AX253" s="37" t="s">
        <v>1456</v>
      </c>
      <c r="AY253" s="30"/>
      <c r="AZ253" s="85" t="str">
        <f>IF(ISERROR(_xlfn.XLOOKUP(CONCATENATE(A253,"_",AV253),'Reference-Proof pt impact flag'!$I$3:$I$1048576,'Reference-Proof pt impact flag'!$G$3:$G$1048576)),"",_xlfn.XLOOKUP(CONCATENATE(A253,"_",AV253),'Reference-Proof pt impact flag'!$I$3:$I$1048576,'Reference-Proof pt impact flag'!$G$3:$G$1048576))</f>
        <v/>
      </c>
      <c r="BA253" s="74"/>
      <c r="BB253" s="74"/>
      <c r="BC253" s="74"/>
      <c r="BD253" s="74"/>
      <c r="BE253" s="74"/>
      <c r="BF253" s="74" t="e">
        <f>_xlfn.XLOOKUP(CONCATENATE(H253,"_",AV253),'Test 2 - Proof points - GPT5'!$T:$T,'Test 2 - Proof points - GPT5'!$S:$S)</f>
        <v>#N/A</v>
      </c>
      <c r="BG253" s="74" t="e">
        <f>_xlfn.XLOOKUP(CONCATENATE(H253,"_",AV253),'Test 2 -Proof points - Sonnet'!$AB:$AB,'Test 2 -Proof points - Sonnet'!$AA:$AA)</f>
        <v>#N/A</v>
      </c>
      <c r="BH253" s="74"/>
      <c r="BI253" s="74"/>
      <c r="BJ253" s="74" t="s">
        <v>1605</v>
      </c>
      <c r="BK253" s="30"/>
      <c r="BL253" s="30"/>
      <c r="BM253" s="30"/>
      <c r="BN253" s="30"/>
      <c r="BO253" s="30"/>
      <c r="BP253" s="30"/>
      <c r="BQ253" s="30"/>
      <c r="BR253" s="30"/>
      <c r="BS253" s="30"/>
      <c r="BT253" s="30"/>
      <c r="BU253" s="30"/>
      <c r="BV253" s="113"/>
    </row>
    <row r="254" spans="1:74" ht="217.5" hidden="1" x14ac:dyDescent="0.35">
      <c r="A254" s="22">
        <v>7</v>
      </c>
      <c r="B254" s="22" t="s">
        <v>1451</v>
      </c>
      <c r="C254" s="22" t="s">
        <v>1452</v>
      </c>
      <c r="D254" s="22" t="s">
        <v>1224</v>
      </c>
      <c r="E254" s="22" t="s">
        <v>1453</v>
      </c>
      <c r="F254" s="22"/>
      <c r="G254" s="22" t="s">
        <v>1274</v>
      </c>
      <c r="H254" s="21" t="s">
        <v>1278</v>
      </c>
      <c r="I254" s="22"/>
      <c r="J254" s="21" t="s">
        <v>1331</v>
      </c>
      <c r="K254" s="30"/>
      <c r="L254" s="30" t="s">
        <v>1277</v>
      </c>
      <c r="M254" s="35" t="str">
        <f>VLOOKUP(H254,'1_Value &amp; risk levers'!$H$9:$O$1048576,2,FALSE)</f>
        <v>Not considered</v>
      </c>
      <c r="N254" s="35" t="str">
        <f>VLOOKUP(H254,'1_Value &amp; risk levers'!$H$9:$O$1048576,3,FALSE)</f>
        <v>Limited exploration of alternative origins</v>
      </c>
      <c r="O254" s="35" t="str">
        <f>VLOOKUP(H254,'1_Value &amp; risk levers'!$H$9:$O$1048576,4,FALSE)</f>
        <v>Regularly sourcing from diverse origins</v>
      </c>
      <c r="P254" s="35" t="str">
        <f>VLOOKUP(H254,'1_Value &amp; risk levers'!$H$9:$O$1048576,5,FALSE)</f>
        <v>Fully optimized global sourcing with risk mitigation plans</v>
      </c>
      <c r="Q254" s="77">
        <f>IF(VLOOKUP(H254,'1_Value &amp; risk levers'!$H$9:$T$1048576,13,FALSE)=0,"",VLOOKUP(H254,'1_Value &amp; risk levers'!$H$9:$T$1048576,13,FALSE))</f>
        <v>1</v>
      </c>
      <c r="R254" s="128">
        <f t="shared" si="66"/>
        <v>2</v>
      </c>
      <c r="S254" s="128" t="e">
        <f t="shared" si="67"/>
        <v>#DIV/0!</v>
      </c>
      <c r="T254" s="77"/>
      <c r="U254" s="77"/>
      <c r="V254" s="55"/>
      <c r="W254" s="71">
        <v>0.04</v>
      </c>
      <c r="X254" s="71">
        <v>0.1</v>
      </c>
      <c r="Y254" s="71">
        <f>VLOOKUP(H254,'1_Value &amp; risk levers'!$H$9:$O$1048576,8,FALSE)</f>
        <v>0.8</v>
      </c>
      <c r="Z254" s="51">
        <f t="shared" si="68"/>
        <v>7.0000000000000007E-2</v>
      </c>
      <c r="AA254" s="51">
        <f t="shared" si="70"/>
        <v>8.5000000000000006E-2</v>
      </c>
      <c r="AB254" s="55">
        <f t="shared" si="88"/>
        <v>2800000.0000000005</v>
      </c>
      <c r="AC254" s="55">
        <f t="shared" si="89"/>
        <v>3400000.0000000005</v>
      </c>
      <c r="AD254" s="80">
        <f t="shared" si="73"/>
        <v>7</v>
      </c>
      <c r="AE254" s="84">
        <f t="shared" si="74"/>
        <v>0.48864540816326468</v>
      </c>
      <c r="AF254" s="71" t="str">
        <f t="shared" si="90"/>
        <v>Low</v>
      </c>
      <c r="AG254" s="84">
        <f t="shared" si="76"/>
        <v>5.9772908163265304E-2</v>
      </c>
      <c r="AH254" s="84">
        <f t="shared" si="77"/>
        <v>9.5227091836734709E-2</v>
      </c>
      <c r="AI254" s="73">
        <f t="shared" si="91"/>
        <v>2390916.3265306121</v>
      </c>
      <c r="AJ254" s="73">
        <f t="shared" si="92"/>
        <v>3809083.6734693884</v>
      </c>
      <c r="AK254" s="46">
        <f>VLOOKUP(H254,'1_Value &amp; risk levers'!$H$9:$O$1048576,6,FALSE)</f>
        <v>0.02</v>
      </c>
      <c r="AL254" s="46">
        <f>VLOOKUP(H254,'1_Value &amp; risk levers'!$H$9:$O$1048576,7,FALSE)</f>
        <v>0.03</v>
      </c>
      <c r="AM254" s="50">
        <f t="shared" si="80"/>
        <v>2.75E-2</v>
      </c>
      <c r="AN254" s="72">
        <f t="shared" si="81"/>
        <v>0.12790697674418605</v>
      </c>
      <c r="AO254" s="84">
        <f t="shared" si="82"/>
        <v>7.6453719743711434E-3</v>
      </c>
      <c r="AP254" s="84">
        <f t="shared" si="83"/>
        <v>1.2180209420977696E-2</v>
      </c>
      <c r="AQ254" s="55">
        <f t="shared" si="84"/>
        <v>358139.53488372103</v>
      </c>
      <c r="AR254" s="55">
        <f t="shared" si="85"/>
        <v>434883.72093023261</v>
      </c>
      <c r="AS254" s="83">
        <f t="shared" si="69"/>
        <v>41</v>
      </c>
      <c r="AT254" s="50">
        <f t="shared" si="86"/>
        <v>2.5</v>
      </c>
      <c r="AU254" s="55" t="str">
        <f t="shared" si="87"/>
        <v>Low</v>
      </c>
      <c r="AV254" s="36" t="s">
        <v>1475</v>
      </c>
      <c r="AW254" s="109" t="s">
        <v>1476</v>
      </c>
      <c r="AX254" s="37" t="s">
        <v>1456</v>
      </c>
      <c r="AY254" s="27" t="s">
        <v>1606</v>
      </c>
      <c r="AZ254" s="85" t="str">
        <f>IF(ISERROR(_xlfn.XLOOKUP(CONCATENATE(A254,"_",AV254),'Reference-Proof pt impact flag'!$I$3:$I$1048576,'Reference-Proof pt impact flag'!$G$3:$G$1048576)),"",_xlfn.XLOOKUP(CONCATENATE(A254,"_",AV254),'Reference-Proof pt impact flag'!$I$3:$I$1048576,'Reference-Proof pt impact flag'!$G$3:$G$1048576))</f>
        <v>Low</v>
      </c>
      <c r="BA254" s="27" t="s">
        <v>1458</v>
      </c>
      <c r="BB254" s="30" t="s">
        <v>1446</v>
      </c>
      <c r="BC254" s="27" t="s">
        <v>1607</v>
      </c>
      <c r="BD254" s="85" t="s">
        <v>327</v>
      </c>
      <c r="BE254" s="74"/>
      <c r="BF254" s="74" t="str">
        <f>_xlfn.XLOOKUP(CONCATENATE(H254,"_",AV254),'Test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BG254" s="74" t="e">
        <f>_xlfn.XLOOKUP(CONCATENATE(H254,"_",AV254),'Test 2 -Proof points - Sonnet'!$AB:$AB,'Test 2 -Proof points - Sonnet'!$AA:$AA)</f>
        <v>#N/A</v>
      </c>
      <c r="BH254" s="74" t="s">
        <v>1603</v>
      </c>
      <c r="BI254" s="74"/>
      <c r="BJ254" s="74" t="s">
        <v>1605</v>
      </c>
      <c r="BK254" s="30" t="s">
        <v>132</v>
      </c>
      <c r="BL254" s="30"/>
      <c r="BM254" s="30"/>
      <c r="BN254" s="30"/>
      <c r="BO254" s="30" t="s">
        <v>132</v>
      </c>
      <c r="BP254" s="30"/>
      <c r="BQ254" s="30"/>
      <c r="BR254" s="30"/>
      <c r="BS254" s="30"/>
      <c r="BT254" s="30"/>
      <c r="BU254" s="30"/>
      <c r="BV254" s="113" t="s">
        <v>132</v>
      </c>
    </row>
    <row r="255" spans="1:74" ht="217.5" hidden="1" x14ac:dyDescent="0.35">
      <c r="A255" s="22">
        <v>7</v>
      </c>
      <c r="B255" s="22" t="s">
        <v>1451</v>
      </c>
      <c r="C255" s="22" t="s">
        <v>1452</v>
      </c>
      <c r="D255" s="22" t="s">
        <v>1224</v>
      </c>
      <c r="E255" s="22" t="s">
        <v>1453</v>
      </c>
      <c r="F255" s="22"/>
      <c r="G255" s="22" t="s">
        <v>1274</v>
      </c>
      <c r="H255" s="21" t="s">
        <v>1278</v>
      </c>
      <c r="I255" s="22"/>
      <c r="J255" s="21" t="s">
        <v>1331</v>
      </c>
      <c r="K255" s="30"/>
      <c r="L255" s="30" t="s">
        <v>1277</v>
      </c>
      <c r="M255" s="35" t="str">
        <f>VLOOKUP(H255,'1_Value &amp; risk levers'!$H$9:$O$1048576,2,FALSE)</f>
        <v>Not considered</v>
      </c>
      <c r="N255" s="35" t="str">
        <f>VLOOKUP(H255,'1_Value &amp; risk levers'!$H$9:$O$1048576,3,FALSE)</f>
        <v>Limited exploration of alternative origins</v>
      </c>
      <c r="O255" s="35" t="str">
        <f>VLOOKUP(H255,'1_Value &amp; risk levers'!$H$9:$O$1048576,4,FALSE)</f>
        <v>Regularly sourcing from diverse origins</v>
      </c>
      <c r="P255" s="35" t="str">
        <f>VLOOKUP(H255,'1_Value &amp; risk levers'!$H$9:$O$1048576,5,FALSE)</f>
        <v>Fully optimized global sourcing with risk mitigation plans</v>
      </c>
      <c r="Q255" s="77">
        <f>IF(VLOOKUP(H255,'1_Value &amp; risk levers'!$H$9:$T$1048576,13,FALSE)=0,"",VLOOKUP(H255,'1_Value &amp; risk levers'!$H$9:$T$1048576,13,FALSE))</f>
        <v>1</v>
      </c>
      <c r="R255" s="128">
        <f t="shared" si="66"/>
        <v>2</v>
      </c>
      <c r="S255" s="128" t="e">
        <f t="shared" si="67"/>
        <v>#DIV/0!</v>
      </c>
      <c r="T255" s="77"/>
      <c r="U255" s="77"/>
      <c r="V255" s="55"/>
      <c r="W255" s="71">
        <v>0.04</v>
      </c>
      <c r="X255" s="71">
        <v>0.1</v>
      </c>
      <c r="Y255" s="71">
        <f>VLOOKUP(H255,'1_Value &amp; risk levers'!$H$9:$O$1048576,8,FALSE)</f>
        <v>0.8</v>
      </c>
      <c r="Z255" s="51">
        <f t="shared" si="68"/>
        <v>7.0000000000000007E-2</v>
      </c>
      <c r="AA255" s="51">
        <f t="shared" si="70"/>
        <v>8.5000000000000006E-2</v>
      </c>
      <c r="AB255" s="55">
        <f t="shared" si="88"/>
        <v>2800000.0000000005</v>
      </c>
      <c r="AC255" s="55">
        <f t="shared" si="89"/>
        <v>3400000.0000000005</v>
      </c>
      <c r="AD255" s="80">
        <f t="shared" si="73"/>
        <v>7</v>
      </c>
      <c r="AE255" s="84">
        <f t="shared" si="74"/>
        <v>0.48864540816326468</v>
      </c>
      <c r="AF255" s="71" t="str">
        <f t="shared" si="90"/>
        <v>Low</v>
      </c>
      <c r="AG255" s="84">
        <f t="shared" si="76"/>
        <v>5.9772908163265304E-2</v>
      </c>
      <c r="AH255" s="84">
        <f t="shared" si="77"/>
        <v>9.5227091836734709E-2</v>
      </c>
      <c r="AI255" s="73">
        <f t="shared" si="91"/>
        <v>2390916.3265306121</v>
      </c>
      <c r="AJ255" s="73">
        <f t="shared" si="92"/>
        <v>3809083.6734693884</v>
      </c>
      <c r="AK255" s="46">
        <f>VLOOKUP(H255,'1_Value &amp; risk levers'!$H$9:$O$1048576,6,FALSE)</f>
        <v>0.02</v>
      </c>
      <c r="AL255" s="46">
        <f>VLOOKUP(H255,'1_Value &amp; risk levers'!$H$9:$O$1048576,7,FALSE)</f>
        <v>0.03</v>
      </c>
      <c r="AM255" s="50">
        <f t="shared" si="80"/>
        <v>2.75E-2</v>
      </c>
      <c r="AN255" s="72">
        <f t="shared" si="81"/>
        <v>0.12790697674418605</v>
      </c>
      <c r="AO255" s="84">
        <f t="shared" si="82"/>
        <v>7.6453719743711434E-3</v>
      </c>
      <c r="AP255" s="84">
        <f t="shared" si="83"/>
        <v>1.2180209420977696E-2</v>
      </c>
      <c r="AQ255" s="55">
        <f t="shared" si="84"/>
        <v>358139.53488372103</v>
      </c>
      <c r="AR255" s="55">
        <f t="shared" si="85"/>
        <v>434883.72093023261</v>
      </c>
      <c r="AS255" s="83">
        <f t="shared" si="69"/>
        <v>41</v>
      </c>
      <c r="AT255" s="50">
        <f t="shared" si="86"/>
        <v>2.5</v>
      </c>
      <c r="AU255" s="55" t="str">
        <f t="shared" si="87"/>
        <v>Low</v>
      </c>
      <c r="AV255" s="36" t="s">
        <v>1477</v>
      </c>
      <c r="AW255" s="110" t="s">
        <v>1478</v>
      </c>
      <c r="AX255" s="37" t="s">
        <v>1456</v>
      </c>
      <c r="AY255" s="30"/>
      <c r="AZ255" s="85" t="str">
        <f>IF(ISERROR(_xlfn.XLOOKUP(CONCATENATE(A255,"_",AV255),'Reference-Proof pt impact flag'!$I$3:$I$1048576,'Reference-Proof pt impact flag'!$G$3:$G$1048576)),"",_xlfn.XLOOKUP(CONCATENATE(A255,"_",AV255),'Reference-Proof pt impact flag'!$I$3:$I$1048576,'Reference-Proof pt impact flag'!$G$3:$G$1048576))</f>
        <v/>
      </c>
      <c r="BA255" s="74"/>
      <c r="BB255" s="74"/>
      <c r="BC255" s="74"/>
      <c r="BD255" s="74"/>
      <c r="BE255" s="74"/>
      <c r="BF255" s="74" t="e">
        <f>_xlfn.XLOOKUP(CONCATENATE(H255,"_",AV255),'Test 2 - Proof points - GPT5'!$T:$T,'Test 2 - Proof points - GPT5'!$S:$S)</f>
        <v>#N/A</v>
      </c>
      <c r="BG255" s="74" t="e">
        <f>_xlfn.XLOOKUP(CONCATENATE(H255,"_",AV255),'Test 2 -Proof points - Sonnet'!$AB:$AB,'Test 2 -Proof points - Sonnet'!$AA:$AA)</f>
        <v>#N/A</v>
      </c>
      <c r="BH255" s="74"/>
      <c r="BI255" s="74"/>
      <c r="BJ255" s="74" t="s">
        <v>1605</v>
      </c>
      <c r="BK255" s="30"/>
      <c r="BL255" s="30"/>
      <c r="BM255" s="30"/>
      <c r="BN255" s="30"/>
      <c r="BO255" s="30"/>
      <c r="BP255" s="30"/>
      <c r="BQ255" s="30"/>
      <c r="BR255" s="30"/>
      <c r="BS255" s="30"/>
      <c r="BT255" s="30"/>
      <c r="BU255" s="30"/>
      <c r="BV255" s="113"/>
    </row>
    <row r="256" spans="1:74" ht="217.5" hidden="1" x14ac:dyDescent="0.35">
      <c r="A256" s="22">
        <v>7</v>
      </c>
      <c r="B256" s="22" t="s">
        <v>1451</v>
      </c>
      <c r="C256" s="22" t="s">
        <v>1452</v>
      </c>
      <c r="D256" s="22" t="s">
        <v>1224</v>
      </c>
      <c r="E256" s="22" t="s">
        <v>1453</v>
      </c>
      <c r="F256" s="22"/>
      <c r="G256" s="22" t="s">
        <v>1274</v>
      </c>
      <c r="H256" s="21" t="s">
        <v>1278</v>
      </c>
      <c r="I256" s="22"/>
      <c r="J256" s="21" t="s">
        <v>1331</v>
      </c>
      <c r="K256" s="30"/>
      <c r="L256" s="30" t="s">
        <v>1277</v>
      </c>
      <c r="M256" s="35" t="str">
        <f>VLOOKUP(H256,'1_Value &amp; risk levers'!$H$9:$O$1048576,2,FALSE)</f>
        <v>Not considered</v>
      </c>
      <c r="N256" s="35" t="str">
        <f>VLOOKUP(H256,'1_Value &amp; risk levers'!$H$9:$O$1048576,3,FALSE)</f>
        <v>Limited exploration of alternative origins</v>
      </c>
      <c r="O256" s="35" t="str">
        <f>VLOOKUP(H256,'1_Value &amp; risk levers'!$H$9:$O$1048576,4,FALSE)</f>
        <v>Regularly sourcing from diverse origins</v>
      </c>
      <c r="P256" s="35" t="str">
        <f>VLOOKUP(H256,'1_Value &amp; risk levers'!$H$9:$O$1048576,5,FALSE)</f>
        <v>Fully optimized global sourcing with risk mitigation plans</v>
      </c>
      <c r="Q256" s="77">
        <f>IF(VLOOKUP(H256,'1_Value &amp; risk levers'!$H$9:$T$1048576,13,FALSE)=0,"",VLOOKUP(H256,'1_Value &amp; risk levers'!$H$9:$T$1048576,13,FALSE))</f>
        <v>1</v>
      </c>
      <c r="R256" s="128">
        <f t="shared" si="66"/>
        <v>2</v>
      </c>
      <c r="S256" s="128" t="e">
        <f t="shared" si="67"/>
        <v>#DIV/0!</v>
      </c>
      <c r="T256" s="77"/>
      <c r="U256" s="77"/>
      <c r="V256" s="55"/>
      <c r="W256" s="71">
        <v>0.04</v>
      </c>
      <c r="X256" s="71">
        <v>0.1</v>
      </c>
      <c r="Y256" s="71">
        <f>VLOOKUP(H256,'1_Value &amp; risk levers'!$H$9:$O$1048576,8,FALSE)</f>
        <v>0.8</v>
      </c>
      <c r="Z256" s="51">
        <f t="shared" si="68"/>
        <v>7.0000000000000007E-2</v>
      </c>
      <c r="AA256" s="51">
        <f t="shared" si="70"/>
        <v>8.5000000000000006E-2</v>
      </c>
      <c r="AB256" s="55">
        <f t="shared" si="88"/>
        <v>2800000.0000000005</v>
      </c>
      <c r="AC256" s="55">
        <f t="shared" si="89"/>
        <v>3400000.0000000005</v>
      </c>
      <c r="AD256" s="80">
        <f t="shared" si="73"/>
        <v>7</v>
      </c>
      <c r="AE256" s="84">
        <f t="shared" si="74"/>
        <v>0.48864540816326468</v>
      </c>
      <c r="AF256" s="71" t="str">
        <f t="shared" si="90"/>
        <v>Low</v>
      </c>
      <c r="AG256" s="84">
        <f t="shared" si="76"/>
        <v>5.9772908163265304E-2</v>
      </c>
      <c r="AH256" s="84">
        <f t="shared" si="77"/>
        <v>9.5227091836734709E-2</v>
      </c>
      <c r="AI256" s="73">
        <f t="shared" si="91"/>
        <v>2390916.3265306121</v>
      </c>
      <c r="AJ256" s="73">
        <f t="shared" si="92"/>
        <v>3809083.6734693884</v>
      </c>
      <c r="AK256" s="46">
        <f>VLOOKUP(H256,'1_Value &amp; risk levers'!$H$9:$O$1048576,6,FALSE)</f>
        <v>0.02</v>
      </c>
      <c r="AL256" s="46">
        <f>VLOOKUP(H256,'1_Value &amp; risk levers'!$H$9:$O$1048576,7,FALSE)</f>
        <v>0.03</v>
      </c>
      <c r="AM256" s="50">
        <f t="shared" si="80"/>
        <v>2.75E-2</v>
      </c>
      <c r="AN256" s="72">
        <f t="shared" si="81"/>
        <v>0.12790697674418605</v>
      </c>
      <c r="AO256" s="84">
        <f t="shared" si="82"/>
        <v>7.6453719743711434E-3</v>
      </c>
      <c r="AP256" s="84">
        <f t="shared" si="83"/>
        <v>1.2180209420977696E-2</v>
      </c>
      <c r="AQ256" s="55">
        <f t="shared" si="84"/>
        <v>358139.53488372103</v>
      </c>
      <c r="AR256" s="55">
        <f t="shared" si="85"/>
        <v>434883.72093023261</v>
      </c>
      <c r="AS256" s="83">
        <f t="shared" si="69"/>
        <v>41</v>
      </c>
      <c r="AT256" s="50">
        <f t="shared" si="86"/>
        <v>2.5</v>
      </c>
      <c r="AU256" s="55" t="str">
        <f t="shared" si="87"/>
        <v>Low</v>
      </c>
      <c r="AV256" s="36" t="s">
        <v>1481</v>
      </c>
      <c r="AW256" s="110" t="s">
        <v>1482</v>
      </c>
      <c r="AX256" s="37" t="s">
        <v>1456</v>
      </c>
      <c r="AY256" s="30"/>
      <c r="AZ256" s="85" t="str">
        <f>IF(ISERROR(_xlfn.XLOOKUP(CONCATENATE(A256,"_",AV256),'Reference-Proof pt impact flag'!$I$3:$I$1048576,'Reference-Proof pt impact flag'!$G$3:$G$1048576)),"",_xlfn.XLOOKUP(CONCATENATE(A256,"_",AV256),'Reference-Proof pt impact flag'!$I$3:$I$1048576,'Reference-Proof pt impact flag'!$G$3:$G$1048576))</f>
        <v/>
      </c>
      <c r="BA256" s="74"/>
      <c r="BB256" s="74"/>
      <c r="BC256" s="74"/>
      <c r="BD256" s="74"/>
      <c r="BE256" s="74"/>
      <c r="BF256" s="74" t="e">
        <f>_xlfn.XLOOKUP(CONCATENATE(H256,"_",AV256),'Test 2 - Proof points - GPT5'!$T:$T,'Test 2 - Proof points - GPT5'!$S:$S)</f>
        <v>#N/A</v>
      </c>
      <c r="BG256" s="74" t="e">
        <f>_xlfn.XLOOKUP(CONCATENATE(H256,"_",AV256),'Test 2 -Proof points - Sonnet'!$AB:$AB,'Test 2 -Proof points - Sonnet'!$AA:$AA)</f>
        <v>#N/A</v>
      </c>
      <c r="BH256" s="74"/>
      <c r="BI256" s="74"/>
      <c r="BJ256" s="74" t="s">
        <v>1605</v>
      </c>
      <c r="BK256" s="30"/>
      <c r="BL256" s="30"/>
      <c r="BM256" s="30"/>
      <c r="BN256" s="30"/>
      <c r="BO256" s="30"/>
      <c r="BP256" s="30"/>
      <c r="BQ256" s="30"/>
      <c r="BR256" s="30"/>
      <c r="BS256" s="30"/>
      <c r="BT256" s="30"/>
      <c r="BU256" s="30"/>
      <c r="BV256" s="113"/>
    </row>
    <row r="257" spans="1:74" ht="217.5" hidden="1" x14ac:dyDescent="0.35">
      <c r="A257" s="22">
        <v>7</v>
      </c>
      <c r="B257" s="22" t="s">
        <v>1451</v>
      </c>
      <c r="C257" s="22" t="s">
        <v>1452</v>
      </c>
      <c r="D257" s="22" t="s">
        <v>1224</v>
      </c>
      <c r="E257" s="22" t="s">
        <v>1453</v>
      </c>
      <c r="F257" s="22"/>
      <c r="G257" s="22" t="s">
        <v>1274</v>
      </c>
      <c r="H257" s="21" t="s">
        <v>1278</v>
      </c>
      <c r="I257" s="22"/>
      <c r="J257" s="21" t="s">
        <v>1331</v>
      </c>
      <c r="K257" s="30"/>
      <c r="L257" s="30" t="s">
        <v>1277</v>
      </c>
      <c r="M257" s="35" t="str">
        <f>VLOOKUP(H257,'1_Value &amp; risk levers'!$H$9:$O$1048576,2,FALSE)</f>
        <v>Not considered</v>
      </c>
      <c r="N257" s="35" t="str">
        <f>VLOOKUP(H257,'1_Value &amp; risk levers'!$H$9:$O$1048576,3,FALSE)</f>
        <v>Limited exploration of alternative origins</v>
      </c>
      <c r="O257" s="35" t="str">
        <f>VLOOKUP(H257,'1_Value &amp; risk levers'!$H$9:$O$1048576,4,FALSE)</f>
        <v>Regularly sourcing from diverse origins</v>
      </c>
      <c r="P257" s="35" t="str">
        <f>VLOOKUP(H257,'1_Value &amp; risk levers'!$H$9:$O$1048576,5,FALSE)</f>
        <v>Fully optimized global sourcing with risk mitigation plans</v>
      </c>
      <c r="Q257" s="77">
        <f>IF(VLOOKUP(H257,'1_Value &amp; risk levers'!$H$9:$T$1048576,13,FALSE)=0,"",VLOOKUP(H257,'1_Value &amp; risk levers'!$H$9:$T$1048576,13,FALSE))</f>
        <v>1</v>
      </c>
      <c r="R257" s="128">
        <f t="shared" si="66"/>
        <v>2</v>
      </c>
      <c r="S257" s="128" t="e">
        <f t="shared" si="67"/>
        <v>#DIV/0!</v>
      </c>
      <c r="T257" s="77"/>
      <c r="U257" s="77"/>
      <c r="V257" s="55"/>
      <c r="W257" s="71">
        <v>0.04</v>
      </c>
      <c r="X257" s="71">
        <v>0.1</v>
      </c>
      <c r="Y257" s="71">
        <f>VLOOKUP(H257,'1_Value &amp; risk levers'!$H$9:$O$1048576,8,FALSE)</f>
        <v>0.8</v>
      </c>
      <c r="Z257" s="51">
        <f t="shared" si="68"/>
        <v>7.0000000000000007E-2</v>
      </c>
      <c r="AA257" s="51">
        <f t="shared" si="70"/>
        <v>8.5000000000000006E-2</v>
      </c>
      <c r="AB257" s="55">
        <f t="shared" si="88"/>
        <v>2800000.0000000005</v>
      </c>
      <c r="AC257" s="55">
        <f t="shared" si="89"/>
        <v>3400000.0000000005</v>
      </c>
      <c r="AD257" s="80">
        <f t="shared" si="73"/>
        <v>7</v>
      </c>
      <c r="AE257" s="84">
        <f t="shared" si="74"/>
        <v>0.48864540816326468</v>
      </c>
      <c r="AF257" s="71" t="str">
        <f t="shared" si="90"/>
        <v>Low</v>
      </c>
      <c r="AG257" s="84">
        <f t="shared" si="76"/>
        <v>5.9772908163265304E-2</v>
      </c>
      <c r="AH257" s="84">
        <f t="shared" si="77"/>
        <v>9.5227091836734709E-2</v>
      </c>
      <c r="AI257" s="73">
        <f t="shared" si="91"/>
        <v>2390916.3265306121</v>
      </c>
      <c r="AJ257" s="73">
        <f t="shared" si="92"/>
        <v>3809083.6734693884</v>
      </c>
      <c r="AK257" s="46">
        <f>VLOOKUP(H257,'1_Value &amp; risk levers'!$H$9:$O$1048576,6,FALSE)</f>
        <v>0.02</v>
      </c>
      <c r="AL257" s="46">
        <f>VLOOKUP(H257,'1_Value &amp; risk levers'!$H$9:$O$1048576,7,FALSE)</f>
        <v>0.03</v>
      </c>
      <c r="AM257" s="50">
        <f t="shared" si="80"/>
        <v>2.75E-2</v>
      </c>
      <c r="AN257" s="72">
        <f t="shared" si="81"/>
        <v>0.12790697674418605</v>
      </c>
      <c r="AO257" s="84">
        <f t="shared" si="82"/>
        <v>7.6453719743711434E-3</v>
      </c>
      <c r="AP257" s="84">
        <f t="shared" si="83"/>
        <v>1.2180209420977696E-2</v>
      </c>
      <c r="AQ257" s="55">
        <f t="shared" si="84"/>
        <v>358139.53488372103</v>
      </c>
      <c r="AR257" s="55">
        <f t="shared" si="85"/>
        <v>434883.72093023261</v>
      </c>
      <c r="AS257" s="83">
        <f t="shared" si="69"/>
        <v>41</v>
      </c>
      <c r="AT257" s="50">
        <f t="shared" si="86"/>
        <v>2.5</v>
      </c>
      <c r="AU257" s="55" t="str">
        <f t="shared" si="87"/>
        <v>Low</v>
      </c>
      <c r="AV257" s="36" t="s">
        <v>1483</v>
      </c>
      <c r="AW257" s="110" t="s">
        <v>1484</v>
      </c>
      <c r="AX257" s="37" t="s">
        <v>1456</v>
      </c>
      <c r="AY257" s="30"/>
      <c r="AZ257" s="85" t="str">
        <f>IF(ISERROR(_xlfn.XLOOKUP(CONCATENATE(A257,"_",AV257),'Reference-Proof pt impact flag'!$I$3:$I$1048576,'Reference-Proof pt impact flag'!$G$3:$G$1048576)),"",_xlfn.XLOOKUP(CONCATENATE(A257,"_",AV257),'Reference-Proof pt impact flag'!$I$3:$I$1048576,'Reference-Proof pt impact flag'!$G$3:$G$1048576))</f>
        <v/>
      </c>
      <c r="BA257" s="74"/>
      <c r="BB257" s="74"/>
      <c r="BC257" s="74"/>
      <c r="BD257" s="74"/>
      <c r="BE257" s="74"/>
      <c r="BF257" s="74" t="e">
        <f>_xlfn.XLOOKUP(CONCATENATE(H257,"_",AV257),'Test 2 - Proof points - GPT5'!$T:$T,'Test 2 - Proof points - GPT5'!$S:$S)</f>
        <v>#N/A</v>
      </c>
      <c r="BG257" s="74" t="e">
        <f>_xlfn.XLOOKUP(CONCATENATE(H257,"_",AV257),'Test 2 -Proof points - Sonnet'!$AB:$AB,'Test 2 -Proof points - Sonnet'!$AA:$AA)</f>
        <v>#N/A</v>
      </c>
      <c r="BH257" s="74"/>
      <c r="BI257" s="74"/>
      <c r="BJ257" s="74" t="s">
        <v>1605</v>
      </c>
      <c r="BK257" s="30"/>
      <c r="BL257" s="30"/>
      <c r="BM257" s="30"/>
      <c r="BN257" s="30"/>
      <c r="BO257" s="30"/>
      <c r="BP257" s="30"/>
      <c r="BQ257" s="30"/>
      <c r="BR257" s="30"/>
      <c r="BS257" s="30"/>
      <c r="BT257" s="30"/>
      <c r="BU257" s="30"/>
      <c r="BV257" s="113"/>
    </row>
    <row r="258" spans="1:74" ht="217.5" hidden="1" x14ac:dyDescent="0.35">
      <c r="A258" s="22">
        <v>7</v>
      </c>
      <c r="B258" s="22" t="s">
        <v>1451</v>
      </c>
      <c r="C258" s="22" t="s">
        <v>1452</v>
      </c>
      <c r="D258" s="22" t="s">
        <v>1224</v>
      </c>
      <c r="E258" s="22" t="s">
        <v>1453</v>
      </c>
      <c r="F258" s="22"/>
      <c r="G258" s="22" t="s">
        <v>1274</v>
      </c>
      <c r="H258" s="21" t="s">
        <v>1278</v>
      </c>
      <c r="I258" s="22"/>
      <c r="J258" s="21" t="s">
        <v>1331</v>
      </c>
      <c r="K258" s="30"/>
      <c r="L258" s="30" t="s">
        <v>1277</v>
      </c>
      <c r="M258" s="35" t="str">
        <f>VLOOKUP(H258,'1_Value &amp; risk levers'!$H$9:$O$1048576,2,FALSE)</f>
        <v>Not considered</v>
      </c>
      <c r="N258" s="35" t="str">
        <f>VLOOKUP(H258,'1_Value &amp; risk levers'!$H$9:$O$1048576,3,FALSE)</f>
        <v>Limited exploration of alternative origins</v>
      </c>
      <c r="O258" s="35" t="str">
        <f>VLOOKUP(H258,'1_Value &amp; risk levers'!$H$9:$O$1048576,4,FALSE)</f>
        <v>Regularly sourcing from diverse origins</v>
      </c>
      <c r="P258" s="35" t="str">
        <f>VLOOKUP(H258,'1_Value &amp; risk levers'!$H$9:$O$1048576,5,FALSE)</f>
        <v>Fully optimized global sourcing with risk mitigation plans</v>
      </c>
      <c r="Q258" s="77">
        <f>IF(VLOOKUP(H258,'1_Value &amp; risk levers'!$H$9:$T$1048576,13,FALSE)=0,"",VLOOKUP(H258,'1_Value &amp; risk levers'!$H$9:$T$1048576,13,FALSE))</f>
        <v>1</v>
      </c>
      <c r="R258" s="128">
        <f t="shared" si="66"/>
        <v>2</v>
      </c>
      <c r="S258" s="128" t="e">
        <f t="shared" si="67"/>
        <v>#DIV/0!</v>
      </c>
      <c r="T258" s="77"/>
      <c r="U258" s="77"/>
      <c r="V258" s="55"/>
      <c r="W258" s="71">
        <v>0.04</v>
      </c>
      <c r="X258" s="71">
        <v>0.1</v>
      </c>
      <c r="Y258" s="71">
        <f>VLOOKUP(H258,'1_Value &amp; risk levers'!$H$9:$O$1048576,8,FALSE)</f>
        <v>0.8</v>
      </c>
      <c r="Z258" s="51">
        <f t="shared" si="68"/>
        <v>7.0000000000000007E-2</v>
      </c>
      <c r="AA258" s="51">
        <f t="shared" si="70"/>
        <v>8.5000000000000006E-2</v>
      </c>
      <c r="AB258" s="55">
        <f t="shared" si="88"/>
        <v>2800000.0000000005</v>
      </c>
      <c r="AC258" s="55">
        <f t="shared" si="89"/>
        <v>3400000.0000000005</v>
      </c>
      <c r="AD258" s="80">
        <f t="shared" si="73"/>
        <v>7</v>
      </c>
      <c r="AE258" s="84">
        <f t="shared" si="74"/>
        <v>0.48864540816326468</v>
      </c>
      <c r="AF258" s="71" t="str">
        <f t="shared" si="90"/>
        <v>Low</v>
      </c>
      <c r="AG258" s="84">
        <f t="shared" si="76"/>
        <v>5.9772908163265304E-2</v>
      </c>
      <c r="AH258" s="84">
        <f t="shared" si="77"/>
        <v>9.5227091836734709E-2</v>
      </c>
      <c r="AI258" s="73">
        <f t="shared" si="91"/>
        <v>2390916.3265306121</v>
      </c>
      <c r="AJ258" s="73">
        <f t="shared" si="92"/>
        <v>3809083.6734693884</v>
      </c>
      <c r="AK258" s="46">
        <f>VLOOKUP(H258,'1_Value &amp; risk levers'!$H$9:$O$1048576,6,FALSE)</f>
        <v>0.02</v>
      </c>
      <c r="AL258" s="46">
        <f>VLOOKUP(H258,'1_Value &amp; risk levers'!$H$9:$O$1048576,7,FALSE)</f>
        <v>0.03</v>
      </c>
      <c r="AM258" s="50">
        <f t="shared" si="80"/>
        <v>2.75E-2</v>
      </c>
      <c r="AN258" s="72">
        <f t="shared" si="81"/>
        <v>0.12790697674418605</v>
      </c>
      <c r="AO258" s="84">
        <f t="shared" si="82"/>
        <v>7.6453719743711434E-3</v>
      </c>
      <c r="AP258" s="84">
        <f t="shared" si="83"/>
        <v>1.2180209420977696E-2</v>
      </c>
      <c r="AQ258" s="55">
        <f t="shared" si="84"/>
        <v>358139.53488372103</v>
      </c>
      <c r="AR258" s="55">
        <f t="shared" si="85"/>
        <v>434883.72093023261</v>
      </c>
      <c r="AS258" s="83">
        <f t="shared" si="69"/>
        <v>41</v>
      </c>
      <c r="AT258" s="50">
        <f t="shared" si="86"/>
        <v>2.5</v>
      </c>
      <c r="AU258" s="55" t="str">
        <f t="shared" si="87"/>
        <v>Low</v>
      </c>
      <c r="AV258" s="36" t="s">
        <v>1486</v>
      </c>
      <c r="AW258" s="110" t="s">
        <v>1487</v>
      </c>
      <c r="AX258" s="37" t="s">
        <v>1456</v>
      </c>
      <c r="AY258" s="30"/>
      <c r="AZ258" s="85" t="str">
        <f>IF(ISERROR(_xlfn.XLOOKUP(CONCATENATE(A258,"_",AV258),'Reference-Proof pt impact flag'!$I$3:$I$1048576,'Reference-Proof pt impact flag'!$G$3:$G$1048576)),"",_xlfn.XLOOKUP(CONCATENATE(A258,"_",AV258),'Reference-Proof pt impact flag'!$I$3:$I$1048576,'Reference-Proof pt impact flag'!$G$3:$G$1048576))</f>
        <v/>
      </c>
      <c r="BA258" s="74"/>
      <c r="BB258" s="74"/>
      <c r="BC258" s="74"/>
      <c r="BD258" s="74"/>
      <c r="BE258" s="74"/>
      <c r="BF258" s="74" t="e">
        <f>_xlfn.XLOOKUP(CONCATENATE(H258,"_",AV258),'Test 2 - Proof points - GPT5'!$T:$T,'Test 2 - Proof points - GPT5'!$S:$S)</f>
        <v>#N/A</v>
      </c>
      <c r="BG258" s="74" t="e">
        <f>_xlfn.XLOOKUP(CONCATENATE(H258,"_",AV258),'Test 2 -Proof points - Sonnet'!$AB:$AB,'Test 2 -Proof points - Sonnet'!$AA:$AA)</f>
        <v>#N/A</v>
      </c>
      <c r="BH258" s="74"/>
      <c r="BI258" s="74"/>
      <c r="BJ258" s="74" t="s">
        <v>1605</v>
      </c>
      <c r="BK258" s="30"/>
      <c r="BL258" s="30"/>
      <c r="BM258" s="30"/>
      <c r="BN258" s="30"/>
      <c r="BO258" s="30"/>
      <c r="BP258" s="30"/>
      <c r="BQ258" s="30"/>
      <c r="BR258" s="30"/>
      <c r="BS258" s="30"/>
      <c r="BT258" s="30"/>
      <c r="BU258" s="30"/>
      <c r="BV258" s="113"/>
    </row>
    <row r="259" spans="1:74" ht="217.5" hidden="1" x14ac:dyDescent="0.35">
      <c r="A259" s="22">
        <v>7</v>
      </c>
      <c r="B259" s="22" t="s">
        <v>1451</v>
      </c>
      <c r="C259" s="22" t="s">
        <v>1452</v>
      </c>
      <c r="D259" s="22" t="s">
        <v>1224</v>
      </c>
      <c r="E259" s="22" t="s">
        <v>1453</v>
      </c>
      <c r="F259" s="22"/>
      <c r="G259" s="22" t="s">
        <v>1274</v>
      </c>
      <c r="H259" s="21" t="s">
        <v>1278</v>
      </c>
      <c r="I259" s="22"/>
      <c r="J259" s="21" t="s">
        <v>1331</v>
      </c>
      <c r="K259" s="30"/>
      <c r="L259" s="30" t="s">
        <v>1277</v>
      </c>
      <c r="M259" s="35" t="str">
        <f>VLOOKUP(H259,'1_Value &amp; risk levers'!$H$9:$O$1048576,2,FALSE)</f>
        <v>Not considered</v>
      </c>
      <c r="N259" s="35" t="str">
        <f>VLOOKUP(H259,'1_Value &amp; risk levers'!$H$9:$O$1048576,3,FALSE)</f>
        <v>Limited exploration of alternative origins</v>
      </c>
      <c r="O259" s="35" t="str">
        <f>VLOOKUP(H259,'1_Value &amp; risk levers'!$H$9:$O$1048576,4,FALSE)</f>
        <v>Regularly sourcing from diverse origins</v>
      </c>
      <c r="P259" s="35" t="str">
        <f>VLOOKUP(H259,'1_Value &amp; risk levers'!$H$9:$O$1048576,5,FALSE)</f>
        <v>Fully optimized global sourcing with risk mitigation plans</v>
      </c>
      <c r="Q259" s="77">
        <f>IF(VLOOKUP(H259,'1_Value &amp; risk levers'!$H$9:$T$1048576,13,FALSE)=0,"",VLOOKUP(H259,'1_Value &amp; risk levers'!$H$9:$T$1048576,13,FALSE))</f>
        <v>1</v>
      </c>
      <c r="R259" s="128">
        <f t="shared" ref="R259:R289" si="93">AVERAGEIFS($Q$3:$Q$1048576,$G$3:$G$1048576,"Value")</f>
        <v>2</v>
      </c>
      <c r="S259" s="128" t="e">
        <f t="shared" ref="S259:S289" si="94">AVERAGEIFS($Q$3:$Q$1048576,$G$3:$G$1048576,"Risk")</f>
        <v>#DIV/0!</v>
      </c>
      <c r="T259" s="77"/>
      <c r="U259" s="77"/>
      <c r="V259" s="55"/>
      <c r="W259" s="71">
        <v>0.04</v>
      </c>
      <c r="X259" s="71">
        <v>0.1</v>
      </c>
      <c r="Y259" s="71">
        <f>VLOOKUP(H259,'1_Value &amp; risk levers'!$H$9:$O$1048576,8,FALSE)</f>
        <v>0.8</v>
      </c>
      <c r="Z259" s="51">
        <f t="shared" ref="Z259:Z289" si="95">(4-AVERAGEIFS($Q$3:$Q$1048576,$AV$3:$AV$1048576,"Inflation"))*(X259-W259)/4+W259</f>
        <v>7.0000000000000007E-2</v>
      </c>
      <c r="AA259" s="51">
        <f t="shared" si="70"/>
        <v>8.5000000000000006E-2</v>
      </c>
      <c r="AB259" s="55">
        <f t="shared" si="88"/>
        <v>2800000.0000000005</v>
      </c>
      <c r="AC259" s="55">
        <f t="shared" si="89"/>
        <v>3400000.0000000005</v>
      </c>
      <c r="AD259" s="80">
        <f t="shared" si="73"/>
        <v>7</v>
      </c>
      <c r="AE259" s="84">
        <f t="shared" si="74"/>
        <v>0.48864540816326468</v>
      </c>
      <c r="AF259" s="71" t="str">
        <f t="shared" si="90"/>
        <v>Low</v>
      </c>
      <c r="AG259" s="84">
        <f t="shared" si="76"/>
        <v>5.9772908163265304E-2</v>
      </c>
      <c r="AH259" s="84">
        <f t="shared" si="77"/>
        <v>9.5227091836734709E-2</v>
      </c>
      <c r="AI259" s="73">
        <f t="shared" si="91"/>
        <v>2390916.3265306121</v>
      </c>
      <c r="AJ259" s="73">
        <f t="shared" si="92"/>
        <v>3809083.6734693884</v>
      </c>
      <c r="AK259" s="46">
        <f>VLOOKUP(H259,'1_Value &amp; risk levers'!$H$9:$O$1048576,6,FALSE)</f>
        <v>0.02</v>
      </c>
      <c r="AL259" s="46">
        <f>VLOOKUP(H259,'1_Value &amp; risk levers'!$H$9:$O$1048576,7,FALSE)</f>
        <v>0.03</v>
      </c>
      <c r="AM259" s="50">
        <f t="shared" si="80"/>
        <v>2.75E-2</v>
      </c>
      <c r="AN259" s="72">
        <f t="shared" si="81"/>
        <v>0.12790697674418605</v>
      </c>
      <c r="AO259" s="84">
        <f t="shared" si="82"/>
        <v>7.6453719743711434E-3</v>
      </c>
      <c r="AP259" s="84">
        <f t="shared" si="83"/>
        <v>1.2180209420977696E-2</v>
      </c>
      <c r="AQ259" s="55">
        <f t="shared" si="84"/>
        <v>358139.53488372103</v>
      </c>
      <c r="AR259" s="55">
        <f t="shared" si="85"/>
        <v>434883.72093023261</v>
      </c>
      <c r="AS259" s="83">
        <f t="shared" ref="AS259:AS289" si="96">COUNTIFS($A$3:$A$1048576,A259,$BG$3:$BG$1048576,"&lt;&gt;")</f>
        <v>41</v>
      </c>
      <c r="AT259" s="50">
        <f t="shared" si="86"/>
        <v>2.5</v>
      </c>
      <c r="AU259" s="55" t="str">
        <f t="shared" si="87"/>
        <v>Low</v>
      </c>
      <c r="AV259" s="36" t="s">
        <v>1488</v>
      </c>
      <c r="AW259" s="110" t="s">
        <v>1489</v>
      </c>
      <c r="AX259" s="37" t="s">
        <v>1456</v>
      </c>
      <c r="AY259" s="30"/>
      <c r="AZ259" s="85" t="str">
        <f>IF(ISERROR(_xlfn.XLOOKUP(CONCATENATE(A259,"_",AV259),'Reference-Proof pt impact flag'!$I$3:$I$1048576,'Reference-Proof pt impact flag'!$G$3:$G$1048576)),"",_xlfn.XLOOKUP(CONCATENATE(A259,"_",AV259),'Reference-Proof pt impact flag'!$I$3:$I$1048576,'Reference-Proof pt impact flag'!$G$3:$G$1048576))</f>
        <v/>
      </c>
      <c r="BA259" s="74"/>
      <c r="BB259" s="74"/>
      <c r="BC259" s="74"/>
      <c r="BD259" s="74"/>
      <c r="BE259" s="74"/>
      <c r="BF259" s="74" t="e">
        <f>_xlfn.XLOOKUP(CONCATENATE(H259,"_",AV259),'Test 2 - Proof points - GPT5'!$T:$T,'Test 2 - Proof points - GPT5'!$S:$S)</f>
        <v>#N/A</v>
      </c>
      <c r="BG259" s="74" t="e">
        <f>_xlfn.XLOOKUP(CONCATENATE(H259,"_",AV259),'Test 2 -Proof points - Sonnet'!$AB:$AB,'Test 2 -Proof points - Sonnet'!$AA:$AA)</f>
        <v>#N/A</v>
      </c>
      <c r="BH259" s="74"/>
      <c r="BI259" s="74"/>
      <c r="BJ259" s="74" t="s">
        <v>1605</v>
      </c>
      <c r="BK259" s="30"/>
      <c r="BL259" s="30"/>
      <c r="BM259" s="30"/>
      <c r="BN259" s="30"/>
      <c r="BO259" s="30"/>
      <c r="BP259" s="30"/>
      <c r="BQ259" s="30"/>
      <c r="BR259" s="30"/>
      <c r="BS259" s="30"/>
      <c r="BT259" s="30"/>
      <c r="BU259" s="30"/>
      <c r="BV259" s="113"/>
    </row>
    <row r="260" spans="1:74" ht="217.5" hidden="1" x14ac:dyDescent="0.35">
      <c r="A260" s="22">
        <v>7</v>
      </c>
      <c r="B260" s="22" t="s">
        <v>1451</v>
      </c>
      <c r="C260" s="22" t="s">
        <v>1452</v>
      </c>
      <c r="D260" s="22" t="s">
        <v>1224</v>
      </c>
      <c r="E260" s="22" t="s">
        <v>1453</v>
      </c>
      <c r="F260" s="22"/>
      <c r="G260" s="22" t="s">
        <v>1274</v>
      </c>
      <c r="H260" s="21" t="s">
        <v>1278</v>
      </c>
      <c r="I260" s="22"/>
      <c r="J260" s="21" t="s">
        <v>1331</v>
      </c>
      <c r="K260" s="30"/>
      <c r="L260" s="30" t="s">
        <v>1277</v>
      </c>
      <c r="M260" s="35" t="str">
        <f>VLOOKUP(H260,'1_Value &amp; risk levers'!$H$9:$O$1048576,2,FALSE)</f>
        <v>Not considered</v>
      </c>
      <c r="N260" s="35" t="str">
        <f>VLOOKUP(H260,'1_Value &amp; risk levers'!$H$9:$O$1048576,3,FALSE)</f>
        <v>Limited exploration of alternative origins</v>
      </c>
      <c r="O260" s="35" t="str">
        <f>VLOOKUP(H260,'1_Value &amp; risk levers'!$H$9:$O$1048576,4,FALSE)</f>
        <v>Regularly sourcing from diverse origins</v>
      </c>
      <c r="P260" s="35" t="str">
        <f>VLOOKUP(H260,'1_Value &amp; risk levers'!$H$9:$O$1048576,5,FALSE)</f>
        <v>Fully optimized global sourcing with risk mitigation plans</v>
      </c>
      <c r="Q260" s="77">
        <f>IF(VLOOKUP(H260,'1_Value &amp; risk levers'!$H$9:$T$1048576,13,FALSE)=0,"",VLOOKUP(H260,'1_Value &amp; risk levers'!$H$9:$T$1048576,13,FALSE))</f>
        <v>1</v>
      </c>
      <c r="R260" s="128">
        <f t="shared" si="93"/>
        <v>2</v>
      </c>
      <c r="S260" s="128" t="e">
        <f t="shared" si="94"/>
        <v>#DIV/0!</v>
      </c>
      <c r="T260" s="77"/>
      <c r="U260" s="77"/>
      <c r="V260" s="55"/>
      <c r="W260" s="71">
        <v>0.04</v>
      </c>
      <c r="X260" s="71">
        <v>0.1</v>
      </c>
      <c r="Y260" s="71">
        <f>VLOOKUP(H260,'1_Value &amp; risk levers'!$H$9:$O$1048576,8,FALSE)</f>
        <v>0.8</v>
      </c>
      <c r="Z260" s="51">
        <f t="shared" si="95"/>
        <v>7.0000000000000007E-2</v>
      </c>
      <c r="AA260" s="51">
        <f t="shared" ref="AA260:AA289" si="97">Z260+(X260-W260)/4</f>
        <v>8.5000000000000006E-2</v>
      </c>
      <c r="AB260" s="55">
        <f t="shared" si="88"/>
        <v>2800000.0000000005</v>
      </c>
      <c r="AC260" s="55">
        <f t="shared" si="89"/>
        <v>3400000.0000000005</v>
      </c>
      <c r="AD260" s="80">
        <f t="shared" ref="AD260:AD289" si="98">(COUNTA($Q$3:$Q$1048576)-COUNTIFS($Q$3:$Q$1048576,"",$A$3:$A$1048576,"&lt;&gt;"))/41</f>
        <v>7</v>
      </c>
      <c r="AE260" s="84">
        <f t="shared" ref="AE260:AE289" si="99">AVERAGE($AT$3:$AT$1048576)/10</f>
        <v>0.48864540816326468</v>
      </c>
      <c r="AF260" s="71" t="str">
        <f t="shared" si="90"/>
        <v>Low</v>
      </c>
      <c r="AG260" s="84">
        <f t="shared" ref="AG260:AG289" si="100">Z260-(1-AE260)*2/100</f>
        <v>5.9772908163265304E-2</v>
      </c>
      <c r="AH260" s="84">
        <f t="shared" ref="AH260:AH289" si="101">AA260+(1-AE260)*2/100</f>
        <v>9.5227091836734709E-2</v>
      </c>
      <c r="AI260" s="73">
        <f t="shared" si="91"/>
        <v>2390916.3265306121</v>
      </c>
      <c r="AJ260" s="73">
        <f t="shared" si="92"/>
        <v>3809083.6734693884</v>
      </c>
      <c r="AK260" s="46">
        <f>VLOOKUP(H260,'1_Value &amp; risk levers'!$H$9:$O$1048576,6,FALSE)</f>
        <v>0.02</v>
      </c>
      <c r="AL260" s="46">
        <f>VLOOKUP(H260,'1_Value &amp; risk levers'!$H$9:$O$1048576,7,FALSE)</f>
        <v>0.03</v>
      </c>
      <c r="AM260" s="50">
        <f t="shared" ref="AM260:AM289" si="102">IF(ISERROR((AK260+((AL260-AK260)*(4-Q260))/4)),"",(AK260+((AL260-AK260)*(4-Q260))/4))</f>
        <v>2.75E-2</v>
      </c>
      <c r="AN260" s="72">
        <f t="shared" ref="AN260:AN289" si="103">IF(AM260="","",AM260/SUMIFS($AM$3:$AM$1048576,$AV$3:$AV$1048576,"Regional Spend Addressability"))</f>
        <v>0.12790697674418605</v>
      </c>
      <c r="AO260" s="84">
        <f t="shared" ref="AO260:AO289" si="104">IF(AN260="","",AN260*AG260)</f>
        <v>7.6453719743711434E-3</v>
      </c>
      <c r="AP260" s="84">
        <f t="shared" ref="AP260:AP289" si="105">IF(AN260="","",AN260*AH260)</f>
        <v>1.2180209420977696E-2</v>
      </c>
      <c r="AQ260" s="55">
        <f t="shared" ref="AQ260:AQ289" si="106">IF(AN260="","",AN260*AB260)</f>
        <v>358139.53488372103</v>
      </c>
      <c r="AR260" s="55">
        <f t="shared" ref="AR260:AR289" si="107">IF(AN260="","",AN260*AC260)</f>
        <v>434883.72093023261</v>
      </c>
      <c r="AS260" s="83">
        <f t="shared" si="96"/>
        <v>41</v>
      </c>
      <c r="AT260" s="50">
        <f t="shared" ref="AT260:AT289" si="108">10*(COUNTIFS($A$3:$A$1048576,A260,$AZ$3:$AZ$1048576,"Medium",$BG$3:$BG$1048576,"&lt;&gt;")*0.625+COUNTIFS($A$3:$A$1048576,A260,$AZ$3:$AZ$1048576,"Low",$BG$3:$BG$1048576,"&lt;&gt;")*0.25+COUNTIFS($A$3:$A$1048576,A260,$AZ$3:$AZ$1048576,"High",$BG$3:$BG$1048576,"&lt;&gt;")*0.874)/COUNTIFS($A$3:$A$1048576,A260,$AY$3:$AY$1048576,"&lt;&gt;")</f>
        <v>2.5</v>
      </c>
      <c r="AU260" s="55" t="str">
        <f t="shared" ref="AU260:AU289" si="109">IF(AT260&lt;5,"Low",IF(AT260&lt;7.5,"Medium","High"))</f>
        <v>Low</v>
      </c>
      <c r="AV260" s="36" t="s">
        <v>1490</v>
      </c>
      <c r="AW260" s="110" t="s">
        <v>1491</v>
      </c>
      <c r="AX260" s="37" t="s">
        <v>1456</v>
      </c>
      <c r="AY260" s="30"/>
      <c r="AZ260" s="85" t="str">
        <f>IF(ISERROR(_xlfn.XLOOKUP(CONCATENATE(A260,"_",AV260),'Reference-Proof pt impact flag'!$I$3:$I$1048576,'Reference-Proof pt impact flag'!$G$3:$G$1048576)),"",_xlfn.XLOOKUP(CONCATENATE(A260,"_",AV260),'Reference-Proof pt impact flag'!$I$3:$I$1048576,'Reference-Proof pt impact flag'!$G$3:$G$1048576))</f>
        <v/>
      </c>
      <c r="BA260" s="74"/>
      <c r="BB260" s="74"/>
      <c r="BC260" s="74"/>
      <c r="BD260" s="74"/>
      <c r="BE260" s="74"/>
      <c r="BF260" s="74" t="e">
        <f>_xlfn.XLOOKUP(CONCATENATE(H260,"_",AV260),'Test 2 - Proof points - GPT5'!$T:$T,'Test 2 - Proof points - GPT5'!$S:$S)</f>
        <v>#N/A</v>
      </c>
      <c r="BG260" s="74" t="e">
        <f>_xlfn.XLOOKUP(CONCATENATE(H260,"_",AV260),'Test 2 -Proof points - Sonnet'!$AB:$AB,'Test 2 -Proof points - Sonnet'!$AA:$AA)</f>
        <v>#N/A</v>
      </c>
      <c r="BH260" s="74"/>
      <c r="BI260" s="74"/>
      <c r="BJ260" s="74" t="s">
        <v>1605</v>
      </c>
      <c r="BK260" s="30"/>
      <c r="BL260" s="30"/>
      <c r="BM260" s="30"/>
      <c r="BN260" s="30"/>
      <c r="BO260" s="30"/>
      <c r="BP260" s="30"/>
      <c r="BQ260" s="30"/>
      <c r="BR260" s="30"/>
      <c r="BS260" s="30"/>
      <c r="BT260" s="30"/>
      <c r="BU260" s="30"/>
      <c r="BV260" s="113"/>
    </row>
    <row r="261" spans="1:74" ht="217.5" hidden="1" x14ac:dyDescent="0.35">
      <c r="A261" s="22">
        <v>7</v>
      </c>
      <c r="B261" s="22" t="s">
        <v>1451</v>
      </c>
      <c r="C261" s="22" t="s">
        <v>1452</v>
      </c>
      <c r="D261" s="22" t="s">
        <v>1224</v>
      </c>
      <c r="E261" s="22" t="s">
        <v>1453</v>
      </c>
      <c r="F261" s="22"/>
      <c r="G261" s="22" t="s">
        <v>1274</v>
      </c>
      <c r="H261" s="21" t="s">
        <v>1278</v>
      </c>
      <c r="I261" s="22"/>
      <c r="J261" s="21" t="s">
        <v>1331</v>
      </c>
      <c r="K261" s="30"/>
      <c r="L261" s="30" t="s">
        <v>1277</v>
      </c>
      <c r="M261" s="35" t="str">
        <f>VLOOKUP(H261,'1_Value &amp; risk levers'!$H$9:$O$1048576,2,FALSE)</f>
        <v>Not considered</v>
      </c>
      <c r="N261" s="35" t="str">
        <f>VLOOKUP(H261,'1_Value &amp; risk levers'!$H$9:$O$1048576,3,FALSE)</f>
        <v>Limited exploration of alternative origins</v>
      </c>
      <c r="O261" s="35" t="str">
        <f>VLOOKUP(H261,'1_Value &amp; risk levers'!$H$9:$O$1048576,4,FALSE)</f>
        <v>Regularly sourcing from diverse origins</v>
      </c>
      <c r="P261" s="35" t="str">
        <f>VLOOKUP(H261,'1_Value &amp; risk levers'!$H$9:$O$1048576,5,FALSE)</f>
        <v>Fully optimized global sourcing with risk mitigation plans</v>
      </c>
      <c r="Q261" s="77">
        <f>IF(VLOOKUP(H261,'1_Value &amp; risk levers'!$H$9:$T$1048576,13,FALSE)=0,"",VLOOKUP(H261,'1_Value &amp; risk levers'!$H$9:$T$1048576,13,FALSE))</f>
        <v>1</v>
      </c>
      <c r="R261" s="128">
        <f t="shared" si="93"/>
        <v>2</v>
      </c>
      <c r="S261" s="128" t="e">
        <f t="shared" si="94"/>
        <v>#DIV/0!</v>
      </c>
      <c r="T261" s="77"/>
      <c r="U261" s="77"/>
      <c r="V261" s="55"/>
      <c r="W261" s="71">
        <v>0.04</v>
      </c>
      <c r="X261" s="71">
        <v>0.1</v>
      </c>
      <c r="Y261" s="71">
        <f>VLOOKUP(H261,'1_Value &amp; risk levers'!$H$9:$O$1048576,8,FALSE)</f>
        <v>0.8</v>
      </c>
      <c r="Z261" s="51">
        <f t="shared" si="95"/>
        <v>7.0000000000000007E-2</v>
      </c>
      <c r="AA261" s="51">
        <f t="shared" si="97"/>
        <v>8.5000000000000006E-2</v>
      </c>
      <c r="AB261" s="55">
        <f t="shared" si="88"/>
        <v>2800000.0000000005</v>
      </c>
      <c r="AC261" s="55">
        <f t="shared" si="89"/>
        <v>3400000.0000000005</v>
      </c>
      <c r="AD261" s="80">
        <f t="shared" si="98"/>
        <v>7</v>
      </c>
      <c r="AE261" s="84">
        <f t="shared" si="99"/>
        <v>0.48864540816326468</v>
      </c>
      <c r="AF261" s="71" t="str">
        <f t="shared" si="90"/>
        <v>Low</v>
      </c>
      <c r="AG261" s="84">
        <f t="shared" si="100"/>
        <v>5.9772908163265304E-2</v>
      </c>
      <c r="AH261" s="84">
        <f t="shared" si="101"/>
        <v>9.5227091836734709E-2</v>
      </c>
      <c r="AI261" s="73">
        <f t="shared" si="91"/>
        <v>2390916.3265306121</v>
      </c>
      <c r="AJ261" s="73">
        <f t="shared" si="92"/>
        <v>3809083.6734693884</v>
      </c>
      <c r="AK261" s="46">
        <f>VLOOKUP(H261,'1_Value &amp; risk levers'!$H$9:$O$1048576,6,FALSE)</f>
        <v>0.02</v>
      </c>
      <c r="AL261" s="46">
        <f>VLOOKUP(H261,'1_Value &amp; risk levers'!$H$9:$O$1048576,7,FALSE)</f>
        <v>0.03</v>
      </c>
      <c r="AM261" s="50">
        <f t="shared" si="102"/>
        <v>2.75E-2</v>
      </c>
      <c r="AN261" s="72">
        <f t="shared" si="103"/>
        <v>0.12790697674418605</v>
      </c>
      <c r="AO261" s="84">
        <f t="shared" si="104"/>
        <v>7.6453719743711434E-3</v>
      </c>
      <c r="AP261" s="84">
        <f t="shared" si="105"/>
        <v>1.2180209420977696E-2</v>
      </c>
      <c r="AQ261" s="55">
        <f t="shared" si="106"/>
        <v>358139.53488372103</v>
      </c>
      <c r="AR261" s="55">
        <f t="shared" si="107"/>
        <v>434883.72093023261</v>
      </c>
      <c r="AS261" s="83">
        <f t="shared" si="96"/>
        <v>41</v>
      </c>
      <c r="AT261" s="50">
        <f t="shared" si="108"/>
        <v>2.5</v>
      </c>
      <c r="AU261" s="55" t="str">
        <f t="shared" si="109"/>
        <v>Low</v>
      </c>
      <c r="AV261" s="34" t="s">
        <v>1492</v>
      </c>
      <c r="AW261" s="112" t="s">
        <v>1538</v>
      </c>
      <c r="AX261" s="30" t="s">
        <v>1493</v>
      </c>
      <c r="AY261" s="30"/>
      <c r="AZ261" s="85" t="str">
        <f>IF(ISERROR(_xlfn.XLOOKUP(CONCATENATE(A261,"_",AV261),'Reference-Proof pt impact flag'!$I$3:$I$1048576,'Reference-Proof pt impact flag'!$G$3:$G$1048576)),"",_xlfn.XLOOKUP(CONCATENATE(A261,"_",AV261),'Reference-Proof pt impact flag'!$I$3:$I$1048576,'Reference-Proof pt impact flag'!$G$3:$G$1048576))</f>
        <v/>
      </c>
      <c r="BA261" s="74"/>
      <c r="BB261" s="74"/>
      <c r="BC261" s="74"/>
      <c r="BD261" s="74"/>
      <c r="BE261" s="74"/>
      <c r="BF261" s="74" t="e">
        <f>_xlfn.XLOOKUP(CONCATENATE(H261,"_",AV261),'Test 2 - Proof points - GPT5'!$T:$T,'Test 2 - Proof points - GPT5'!$S:$S)</f>
        <v>#N/A</v>
      </c>
      <c r="BG261" s="74" t="e">
        <f>_xlfn.XLOOKUP(CONCATENATE(H261,"_",AV261),'Test 2 -Proof points - Sonnet'!$AB:$AB,'Test 2 -Proof points - Sonnet'!$AA:$AA)</f>
        <v>#N/A</v>
      </c>
      <c r="BH261" s="74"/>
      <c r="BI261" s="74"/>
      <c r="BJ261" s="74" t="s">
        <v>1605</v>
      </c>
      <c r="BK261" s="30"/>
      <c r="BL261" s="30"/>
      <c r="BM261" s="30"/>
      <c r="BN261" s="30"/>
      <c r="BO261" s="30"/>
      <c r="BP261" s="30"/>
      <c r="BQ261" s="30"/>
      <c r="BR261" s="30"/>
      <c r="BS261" s="30"/>
      <c r="BT261" s="30"/>
      <c r="BU261" s="30"/>
      <c r="BV261" s="113"/>
    </row>
    <row r="262" spans="1:74" ht="217.5" hidden="1" x14ac:dyDescent="0.35">
      <c r="A262" s="22">
        <v>7</v>
      </c>
      <c r="B262" s="22" t="s">
        <v>1451</v>
      </c>
      <c r="C262" s="22" t="s">
        <v>1452</v>
      </c>
      <c r="D262" s="22" t="s">
        <v>1224</v>
      </c>
      <c r="E262" s="22" t="s">
        <v>1453</v>
      </c>
      <c r="F262" s="22"/>
      <c r="G262" s="22" t="s">
        <v>1274</v>
      </c>
      <c r="H262" s="21" t="s">
        <v>1278</v>
      </c>
      <c r="I262" s="22"/>
      <c r="J262" s="21" t="s">
        <v>1331</v>
      </c>
      <c r="K262" s="30"/>
      <c r="L262" s="30" t="s">
        <v>1277</v>
      </c>
      <c r="M262" s="35" t="str">
        <f>VLOOKUP(H262,'1_Value &amp; risk levers'!$H$9:$O$1048576,2,FALSE)</f>
        <v>Not considered</v>
      </c>
      <c r="N262" s="35" t="str">
        <f>VLOOKUP(H262,'1_Value &amp; risk levers'!$H$9:$O$1048576,3,FALSE)</f>
        <v>Limited exploration of alternative origins</v>
      </c>
      <c r="O262" s="35" t="str">
        <f>VLOOKUP(H262,'1_Value &amp; risk levers'!$H$9:$O$1048576,4,FALSE)</f>
        <v>Regularly sourcing from diverse origins</v>
      </c>
      <c r="P262" s="35" t="str">
        <f>VLOOKUP(H262,'1_Value &amp; risk levers'!$H$9:$O$1048576,5,FALSE)</f>
        <v>Fully optimized global sourcing with risk mitigation plans</v>
      </c>
      <c r="Q262" s="77">
        <f>IF(VLOOKUP(H262,'1_Value &amp; risk levers'!$H$9:$T$1048576,13,FALSE)=0,"",VLOOKUP(H262,'1_Value &amp; risk levers'!$H$9:$T$1048576,13,FALSE))</f>
        <v>1</v>
      </c>
      <c r="R262" s="128">
        <f t="shared" si="93"/>
        <v>2</v>
      </c>
      <c r="S262" s="128" t="e">
        <f t="shared" si="94"/>
        <v>#DIV/0!</v>
      </c>
      <c r="T262" s="77"/>
      <c r="U262" s="77"/>
      <c r="V262" s="55"/>
      <c r="W262" s="71">
        <v>0.04</v>
      </c>
      <c r="X262" s="71">
        <v>0.1</v>
      </c>
      <c r="Y262" s="71">
        <f>VLOOKUP(H262,'1_Value &amp; risk levers'!$H$9:$O$1048576,8,FALSE)</f>
        <v>0.8</v>
      </c>
      <c r="Z262" s="51">
        <f t="shared" si="95"/>
        <v>7.0000000000000007E-2</v>
      </c>
      <c r="AA262" s="51">
        <f t="shared" si="97"/>
        <v>8.5000000000000006E-2</v>
      </c>
      <c r="AB262" s="55">
        <f t="shared" si="88"/>
        <v>2800000.0000000005</v>
      </c>
      <c r="AC262" s="55">
        <f t="shared" si="89"/>
        <v>3400000.0000000005</v>
      </c>
      <c r="AD262" s="80">
        <f t="shared" si="98"/>
        <v>7</v>
      </c>
      <c r="AE262" s="84">
        <f t="shared" si="99"/>
        <v>0.48864540816326468</v>
      </c>
      <c r="AF262" s="71" t="str">
        <f t="shared" si="90"/>
        <v>Low</v>
      </c>
      <c r="AG262" s="84">
        <f t="shared" si="100"/>
        <v>5.9772908163265304E-2</v>
      </c>
      <c r="AH262" s="84">
        <f t="shared" si="101"/>
        <v>9.5227091836734709E-2</v>
      </c>
      <c r="AI262" s="73">
        <f t="shared" si="91"/>
        <v>2390916.3265306121</v>
      </c>
      <c r="AJ262" s="73">
        <f t="shared" si="92"/>
        <v>3809083.6734693884</v>
      </c>
      <c r="AK262" s="46">
        <f>VLOOKUP(H262,'1_Value &amp; risk levers'!$H$9:$O$1048576,6,FALSE)</f>
        <v>0.02</v>
      </c>
      <c r="AL262" s="46">
        <f>VLOOKUP(H262,'1_Value &amp; risk levers'!$H$9:$O$1048576,7,FALSE)</f>
        <v>0.03</v>
      </c>
      <c r="AM262" s="50">
        <f t="shared" si="102"/>
        <v>2.75E-2</v>
      </c>
      <c r="AN262" s="72">
        <f t="shared" si="103"/>
        <v>0.12790697674418605</v>
      </c>
      <c r="AO262" s="84">
        <f t="shared" si="104"/>
        <v>7.6453719743711434E-3</v>
      </c>
      <c r="AP262" s="84">
        <f t="shared" si="105"/>
        <v>1.2180209420977696E-2</v>
      </c>
      <c r="AQ262" s="55">
        <f t="shared" si="106"/>
        <v>358139.53488372103</v>
      </c>
      <c r="AR262" s="55">
        <f t="shared" si="107"/>
        <v>434883.72093023261</v>
      </c>
      <c r="AS262" s="83">
        <f t="shared" si="96"/>
        <v>41</v>
      </c>
      <c r="AT262" s="50">
        <f t="shared" si="108"/>
        <v>2.5</v>
      </c>
      <c r="AU262" s="55" t="str">
        <f t="shared" si="109"/>
        <v>Low</v>
      </c>
      <c r="AV262" s="34" t="s">
        <v>1494</v>
      </c>
      <c r="AW262" s="112" t="s">
        <v>1539</v>
      </c>
      <c r="AX262" s="30" t="s">
        <v>1493</v>
      </c>
      <c r="AY262" s="30"/>
      <c r="AZ262" s="85" t="str">
        <f>IF(ISERROR(_xlfn.XLOOKUP(CONCATENATE(A262,"_",AV262),'Reference-Proof pt impact flag'!$I$3:$I$1048576,'Reference-Proof pt impact flag'!$G$3:$G$1048576)),"",_xlfn.XLOOKUP(CONCATENATE(A262,"_",AV262),'Reference-Proof pt impact flag'!$I$3:$I$1048576,'Reference-Proof pt impact flag'!$G$3:$G$1048576))</f>
        <v/>
      </c>
      <c r="BA262" s="74"/>
      <c r="BB262" s="74"/>
      <c r="BC262" s="74"/>
      <c r="BD262" s="74"/>
      <c r="BE262" s="74"/>
      <c r="BF262" s="74" t="e">
        <f>_xlfn.XLOOKUP(CONCATENATE(H262,"_",AV262),'Test 2 - Proof points - GPT5'!$T:$T,'Test 2 - Proof points - GPT5'!$S:$S)</f>
        <v>#N/A</v>
      </c>
      <c r="BG262" s="74" t="e">
        <f>_xlfn.XLOOKUP(CONCATENATE(H262,"_",AV262),'Test 2 -Proof points - Sonnet'!$AB:$AB,'Test 2 -Proof points - Sonnet'!$AA:$AA)</f>
        <v>#N/A</v>
      </c>
      <c r="BH262" s="74"/>
      <c r="BI262" s="74"/>
      <c r="BJ262" s="74" t="s">
        <v>1605</v>
      </c>
      <c r="BK262" s="30"/>
      <c r="BL262" s="30"/>
      <c r="BM262" s="30"/>
      <c r="BN262" s="30"/>
      <c r="BO262" s="30"/>
      <c r="BP262" s="30"/>
      <c r="BQ262" s="30"/>
      <c r="BR262" s="30"/>
      <c r="BS262" s="30"/>
      <c r="BT262" s="30"/>
      <c r="BU262" s="30"/>
      <c r="BV262" s="113"/>
    </row>
    <row r="263" spans="1:74" ht="217.5" hidden="1" x14ac:dyDescent="0.35">
      <c r="A263" s="22">
        <v>7</v>
      </c>
      <c r="B263" s="22" t="s">
        <v>1451</v>
      </c>
      <c r="C263" s="22" t="s">
        <v>1452</v>
      </c>
      <c r="D263" s="22" t="s">
        <v>1224</v>
      </c>
      <c r="E263" s="22" t="s">
        <v>1453</v>
      </c>
      <c r="F263" s="22"/>
      <c r="G263" s="22" t="s">
        <v>1274</v>
      </c>
      <c r="H263" s="21" t="s">
        <v>1278</v>
      </c>
      <c r="I263" s="22"/>
      <c r="J263" s="21" t="s">
        <v>1331</v>
      </c>
      <c r="K263" s="30"/>
      <c r="L263" s="30" t="s">
        <v>1277</v>
      </c>
      <c r="M263" s="35" t="str">
        <f>VLOOKUP(H263,'1_Value &amp; risk levers'!$H$9:$O$1048576,2,FALSE)</f>
        <v>Not considered</v>
      </c>
      <c r="N263" s="35" t="str">
        <f>VLOOKUP(H263,'1_Value &amp; risk levers'!$H$9:$O$1048576,3,FALSE)</f>
        <v>Limited exploration of alternative origins</v>
      </c>
      <c r="O263" s="35" t="str">
        <f>VLOOKUP(H263,'1_Value &amp; risk levers'!$H$9:$O$1048576,4,FALSE)</f>
        <v>Regularly sourcing from diverse origins</v>
      </c>
      <c r="P263" s="35" t="str">
        <f>VLOOKUP(H263,'1_Value &amp; risk levers'!$H$9:$O$1048576,5,FALSE)</f>
        <v>Fully optimized global sourcing with risk mitigation plans</v>
      </c>
      <c r="Q263" s="77">
        <f>IF(VLOOKUP(H263,'1_Value &amp; risk levers'!$H$9:$T$1048576,13,FALSE)=0,"",VLOOKUP(H263,'1_Value &amp; risk levers'!$H$9:$T$1048576,13,FALSE))</f>
        <v>1</v>
      </c>
      <c r="R263" s="128">
        <f t="shared" si="93"/>
        <v>2</v>
      </c>
      <c r="S263" s="128" t="e">
        <f t="shared" si="94"/>
        <v>#DIV/0!</v>
      </c>
      <c r="T263" s="77"/>
      <c r="U263" s="77"/>
      <c r="V263" s="55"/>
      <c r="W263" s="71">
        <v>0.04</v>
      </c>
      <c r="X263" s="71">
        <v>0.1</v>
      </c>
      <c r="Y263" s="71">
        <f>VLOOKUP(H263,'1_Value &amp; risk levers'!$H$9:$O$1048576,8,FALSE)</f>
        <v>0.8</v>
      </c>
      <c r="Z263" s="51">
        <f t="shared" si="95"/>
        <v>7.0000000000000007E-2</v>
      </c>
      <c r="AA263" s="51">
        <f t="shared" si="97"/>
        <v>8.5000000000000006E-2</v>
      </c>
      <c r="AB263" s="55">
        <f t="shared" si="88"/>
        <v>2800000.0000000005</v>
      </c>
      <c r="AC263" s="55">
        <f t="shared" si="89"/>
        <v>3400000.0000000005</v>
      </c>
      <c r="AD263" s="80">
        <f t="shared" si="98"/>
        <v>7</v>
      </c>
      <c r="AE263" s="84">
        <f t="shared" si="99"/>
        <v>0.48864540816326468</v>
      </c>
      <c r="AF263" s="71" t="str">
        <f t="shared" si="90"/>
        <v>Low</v>
      </c>
      <c r="AG263" s="84">
        <f t="shared" si="100"/>
        <v>5.9772908163265304E-2</v>
      </c>
      <c r="AH263" s="84">
        <f t="shared" si="101"/>
        <v>9.5227091836734709E-2</v>
      </c>
      <c r="AI263" s="73">
        <f t="shared" si="91"/>
        <v>2390916.3265306121</v>
      </c>
      <c r="AJ263" s="73">
        <f t="shared" si="92"/>
        <v>3809083.6734693884</v>
      </c>
      <c r="AK263" s="46">
        <f>VLOOKUP(H263,'1_Value &amp; risk levers'!$H$9:$O$1048576,6,FALSE)</f>
        <v>0.02</v>
      </c>
      <c r="AL263" s="46">
        <f>VLOOKUP(H263,'1_Value &amp; risk levers'!$H$9:$O$1048576,7,FALSE)</f>
        <v>0.03</v>
      </c>
      <c r="AM263" s="50">
        <f t="shared" si="102"/>
        <v>2.75E-2</v>
      </c>
      <c r="AN263" s="72">
        <f t="shared" si="103"/>
        <v>0.12790697674418605</v>
      </c>
      <c r="AO263" s="84">
        <f t="shared" si="104"/>
        <v>7.6453719743711434E-3</v>
      </c>
      <c r="AP263" s="84">
        <f t="shared" si="105"/>
        <v>1.2180209420977696E-2</v>
      </c>
      <c r="AQ263" s="55">
        <f t="shared" si="106"/>
        <v>358139.53488372103</v>
      </c>
      <c r="AR263" s="55">
        <f t="shared" si="107"/>
        <v>434883.72093023261</v>
      </c>
      <c r="AS263" s="83">
        <f t="shared" si="96"/>
        <v>41</v>
      </c>
      <c r="AT263" s="50">
        <f t="shared" si="108"/>
        <v>2.5</v>
      </c>
      <c r="AU263" s="55" t="str">
        <f t="shared" si="109"/>
        <v>Low</v>
      </c>
      <c r="AV263" s="34" t="s">
        <v>1495</v>
      </c>
      <c r="AW263" s="111"/>
      <c r="AX263" s="30" t="s">
        <v>1493</v>
      </c>
      <c r="AY263" s="30"/>
      <c r="AZ263" s="85" t="str">
        <f>IF(ISERROR(_xlfn.XLOOKUP(CONCATENATE(A263,"_",AV263),'Reference-Proof pt impact flag'!$I$3:$I$1048576,'Reference-Proof pt impact flag'!$G$3:$G$1048576)),"",_xlfn.XLOOKUP(CONCATENATE(A263,"_",AV263),'Reference-Proof pt impact flag'!$I$3:$I$1048576,'Reference-Proof pt impact flag'!$G$3:$G$1048576))</f>
        <v/>
      </c>
      <c r="BA263" s="74"/>
      <c r="BB263" s="74"/>
      <c r="BC263" s="74"/>
      <c r="BD263" s="74"/>
      <c r="BE263" s="74"/>
      <c r="BF263" s="74" t="e">
        <f>_xlfn.XLOOKUP(CONCATENATE(H263,"_",AV263),'Test 2 - Proof points - GPT5'!$T:$T,'Test 2 - Proof points - GPT5'!$S:$S)</f>
        <v>#N/A</v>
      </c>
      <c r="BG263" s="74" t="e">
        <f>_xlfn.XLOOKUP(CONCATENATE(H263,"_",AV263),'Test 2 -Proof points - Sonnet'!$AB:$AB,'Test 2 -Proof points - Sonnet'!$AA:$AA)</f>
        <v>#N/A</v>
      </c>
      <c r="BH263" s="74"/>
      <c r="BI263" s="74"/>
      <c r="BJ263" s="74" t="s">
        <v>1605</v>
      </c>
      <c r="BK263" s="30"/>
      <c r="BL263" s="30"/>
      <c r="BM263" s="30"/>
      <c r="BN263" s="30"/>
      <c r="BO263" s="30"/>
      <c r="BP263" s="30"/>
      <c r="BQ263" s="30"/>
      <c r="BR263" s="30"/>
      <c r="BS263" s="30"/>
      <c r="BT263" s="30"/>
      <c r="BU263" s="30"/>
      <c r="BV263" s="113"/>
    </row>
    <row r="264" spans="1:74" ht="217.5" hidden="1" x14ac:dyDescent="0.35">
      <c r="A264" s="22">
        <v>7</v>
      </c>
      <c r="B264" s="22" t="s">
        <v>1451</v>
      </c>
      <c r="C264" s="22" t="s">
        <v>1452</v>
      </c>
      <c r="D264" s="22" t="s">
        <v>1224</v>
      </c>
      <c r="E264" s="22" t="s">
        <v>1453</v>
      </c>
      <c r="F264" s="22"/>
      <c r="G264" s="22" t="s">
        <v>1274</v>
      </c>
      <c r="H264" s="21" t="s">
        <v>1278</v>
      </c>
      <c r="I264" s="22"/>
      <c r="J264" s="21" t="s">
        <v>1331</v>
      </c>
      <c r="K264" s="30"/>
      <c r="L264" s="30" t="s">
        <v>1277</v>
      </c>
      <c r="M264" s="35" t="str">
        <f>VLOOKUP(H264,'1_Value &amp; risk levers'!$H$9:$O$1048576,2,FALSE)</f>
        <v>Not considered</v>
      </c>
      <c r="N264" s="35" t="str">
        <f>VLOOKUP(H264,'1_Value &amp; risk levers'!$H$9:$O$1048576,3,FALSE)</f>
        <v>Limited exploration of alternative origins</v>
      </c>
      <c r="O264" s="35" t="str">
        <f>VLOOKUP(H264,'1_Value &amp; risk levers'!$H$9:$O$1048576,4,FALSE)</f>
        <v>Regularly sourcing from diverse origins</v>
      </c>
      <c r="P264" s="35" t="str">
        <f>VLOOKUP(H264,'1_Value &amp; risk levers'!$H$9:$O$1048576,5,FALSE)</f>
        <v>Fully optimized global sourcing with risk mitigation plans</v>
      </c>
      <c r="Q264" s="77">
        <f>IF(VLOOKUP(H264,'1_Value &amp; risk levers'!$H$9:$T$1048576,13,FALSE)=0,"",VLOOKUP(H264,'1_Value &amp; risk levers'!$H$9:$T$1048576,13,FALSE))</f>
        <v>1</v>
      </c>
      <c r="R264" s="128">
        <f t="shared" si="93"/>
        <v>2</v>
      </c>
      <c r="S264" s="128" t="e">
        <f t="shared" si="94"/>
        <v>#DIV/0!</v>
      </c>
      <c r="T264" s="77"/>
      <c r="U264" s="77"/>
      <c r="V264" s="55"/>
      <c r="W264" s="71">
        <v>0.04</v>
      </c>
      <c r="X264" s="71">
        <v>0.1</v>
      </c>
      <c r="Y264" s="71">
        <f>VLOOKUP(H264,'1_Value &amp; risk levers'!$H$9:$O$1048576,8,FALSE)</f>
        <v>0.8</v>
      </c>
      <c r="Z264" s="51">
        <f t="shared" si="95"/>
        <v>7.0000000000000007E-2</v>
      </c>
      <c r="AA264" s="51">
        <f t="shared" si="97"/>
        <v>8.5000000000000006E-2</v>
      </c>
      <c r="AB264" s="55">
        <f t="shared" si="88"/>
        <v>2800000.0000000005</v>
      </c>
      <c r="AC264" s="55">
        <f t="shared" si="89"/>
        <v>3400000.0000000005</v>
      </c>
      <c r="AD264" s="80">
        <f t="shared" si="98"/>
        <v>7</v>
      </c>
      <c r="AE264" s="84">
        <f t="shared" si="99"/>
        <v>0.48864540816326468</v>
      </c>
      <c r="AF264" s="71" t="str">
        <f t="shared" si="90"/>
        <v>Low</v>
      </c>
      <c r="AG264" s="84">
        <f t="shared" si="100"/>
        <v>5.9772908163265304E-2</v>
      </c>
      <c r="AH264" s="84">
        <f t="shared" si="101"/>
        <v>9.5227091836734709E-2</v>
      </c>
      <c r="AI264" s="73">
        <f t="shared" si="91"/>
        <v>2390916.3265306121</v>
      </c>
      <c r="AJ264" s="73">
        <f t="shared" si="92"/>
        <v>3809083.6734693884</v>
      </c>
      <c r="AK264" s="46">
        <f>VLOOKUP(H264,'1_Value &amp; risk levers'!$H$9:$O$1048576,6,FALSE)</f>
        <v>0.02</v>
      </c>
      <c r="AL264" s="46">
        <f>VLOOKUP(H264,'1_Value &amp; risk levers'!$H$9:$O$1048576,7,FALSE)</f>
        <v>0.03</v>
      </c>
      <c r="AM264" s="50">
        <f t="shared" si="102"/>
        <v>2.75E-2</v>
      </c>
      <c r="AN264" s="72">
        <f t="shared" si="103"/>
        <v>0.12790697674418605</v>
      </c>
      <c r="AO264" s="84">
        <f t="shared" si="104"/>
        <v>7.6453719743711434E-3</v>
      </c>
      <c r="AP264" s="84">
        <f t="shared" si="105"/>
        <v>1.2180209420977696E-2</v>
      </c>
      <c r="AQ264" s="55">
        <f t="shared" si="106"/>
        <v>358139.53488372103</v>
      </c>
      <c r="AR264" s="55">
        <f t="shared" si="107"/>
        <v>434883.72093023261</v>
      </c>
      <c r="AS264" s="83">
        <f t="shared" si="96"/>
        <v>41</v>
      </c>
      <c r="AT264" s="50">
        <f t="shared" si="108"/>
        <v>2.5</v>
      </c>
      <c r="AU264" s="55" t="str">
        <f t="shared" si="109"/>
        <v>Low</v>
      </c>
      <c r="AV264" s="34" t="s">
        <v>1496</v>
      </c>
      <c r="AW264" s="111"/>
      <c r="AX264" s="30" t="s">
        <v>1493</v>
      </c>
      <c r="AY264" s="30"/>
      <c r="AZ264" s="85" t="str">
        <f>IF(ISERROR(_xlfn.XLOOKUP(CONCATENATE(A264,"_",AV264),'Reference-Proof pt impact flag'!$I$3:$I$1048576,'Reference-Proof pt impact flag'!$G$3:$G$1048576)),"",_xlfn.XLOOKUP(CONCATENATE(A264,"_",AV264),'Reference-Proof pt impact flag'!$I$3:$I$1048576,'Reference-Proof pt impact flag'!$G$3:$G$1048576))</f>
        <v/>
      </c>
      <c r="BA264" s="74"/>
      <c r="BB264" s="74"/>
      <c r="BC264" s="74"/>
      <c r="BD264" s="74"/>
      <c r="BE264" s="74"/>
      <c r="BF264" s="74" t="e">
        <f>_xlfn.XLOOKUP(CONCATENATE(H264,"_",AV264),'Test 2 - Proof points - GPT5'!$T:$T,'Test 2 - Proof points - GPT5'!$S:$S)</f>
        <v>#N/A</v>
      </c>
      <c r="BG264" s="74" t="e">
        <f>_xlfn.XLOOKUP(CONCATENATE(H264,"_",AV264),'Test 2 -Proof points - Sonnet'!$AB:$AB,'Test 2 -Proof points - Sonnet'!$AA:$AA)</f>
        <v>#N/A</v>
      </c>
      <c r="BH264" s="74"/>
      <c r="BI264" s="74"/>
      <c r="BJ264" s="74" t="s">
        <v>1605</v>
      </c>
      <c r="BK264" s="30"/>
      <c r="BL264" s="30"/>
      <c r="BM264" s="30"/>
      <c r="BN264" s="30"/>
      <c r="BO264" s="30"/>
      <c r="BP264" s="30"/>
      <c r="BQ264" s="30"/>
      <c r="BR264" s="30"/>
      <c r="BS264" s="30"/>
      <c r="BT264" s="30"/>
      <c r="BU264" s="30"/>
      <c r="BV264" s="113"/>
    </row>
    <row r="265" spans="1:74" ht="217.5" hidden="1" x14ac:dyDescent="0.35">
      <c r="A265" s="22">
        <v>7</v>
      </c>
      <c r="B265" s="22" t="s">
        <v>1451</v>
      </c>
      <c r="C265" s="22" t="s">
        <v>1452</v>
      </c>
      <c r="D265" s="22" t="s">
        <v>1224</v>
      </c>
      <c r="E265" s="22" t="s">
        <v>1453</v>
      </c>
      <c r="F265" s="22"/>
      <c r="G265" s="22" t="s">
        <v>1274</v>
      </c>
      <c r="H265" s="21" t="s">
        <v>1278</v>
      </c>
      <c r="I265" s="22"/>
      <c r="J265" s="21" t="s">
        <v>1331</v>
      </c>
      <c r="K265" s="30"/>
      <c r="L265" s="30" t="s">
        <v>1277</v>
      </c>
      <c r="M265" s="35" t="str">
        <f>VLOOKUP(H265,'1_Value &amp; risk levers'!$H$9:$O$1048576,2,FALSE)</f>
        <v>Not considered</v>
      </c>
      <c r="N265" s="35" t="str">
        <f>VLOOKUP(H265,'1_Value &amp; risk levers'!$H$9:$O$1048576,3,FALSE)</f>
        <v>Limited exploration of alternative origins</v>
      </c>
      <c r="O265" s="35" t="str">
        <f>VLOOKUP(H265,'1_Value &amp; risk levers'!$H$9:$O$1048576,4,FALSE)</f>
        <v>Regularly sourcing from diverse origins</v>
      </c>
      <c r="P265" s="35" t="str">
        <f>VLOOKUP(H265,'1_Value &amp; risk levers'!$H$9:$O$1048576,5,FALSE)</f>
        <v>Fully optimized global sourcing with risk mitigation plans</v>
      </c>
      <c r="Q265" s="77">
        <f>IF(VLOOKUP(H265,'1_Value &amp; risk levers'!$H$9:$T$1048576,13,FALSE)=0,"",VLOOKUP(H265,'1_Value &amp; risk levers'!$H$9:$T$1048576,13,FALSE))</f>
        <v>1</v>
      </c>
      <c r="R265" s="128">
        <f t="shared" si="93"/>
        <v>2</v>
      </c>
      <c r="S265" s="128" t="e">
        <f t="shared" si="94"/>
        <v>#DIV/0!</v>
      </c>
      <c r="T265" s="77"/>
      <c r="U265" s="77"/>
      <c r="V265" s="55"/>
      <c r="W265" s="71">
        <v>0.04</v>
      </c>
      <c r="X265" s="71">
        <v>0.1</v>
      </c>
      <c r="Y265" s="71">
        <f>VLOOKUP(H265,'1_Value &amp; risk levers'!$H$9:$O$1048576,8,FALSE)</f>
        <v>0.8</v>
      </c>
      <c r="Z265" s="51">
        <f t="shared" si="95"/>
        <v>7.0000000000000007E-2</v>
      </c>
      <c r="AA265" s="51">
        <f t="shared" si="97"/>
        <v>8.5000000000000006E-2</v>
      </c>
      <c r="AB265" s="55">
        <f t="shared" si="88"/>
        <v>2800000.0000000005</v>
      </c>
      <c r="AC265" s="55">
        <f t="shared" si="89"/>
        <v>3400000.0000000005</v>
      </c>
      <c r="AD265" s="80">
        <f t="shared" si="98"/>
        <v>7</v>
      </c>
      <c r="AE265" s="84">
        <f t="shared" si="99"/>
        <v>0.48864540816326468</v>
      </c>
      <c r="AF265" s="71" t="str">
        <f t="shared" si="90"/>
        <v>Low</v>
      </c>
      <c r="AG265" s="84">
        <f t="shared" si="100"/>
        <v>5.9772908163265304E-2</v>
      </c>
      <c r="AH265" s="84">
        <f t="shared" si="101"/>
        <v>9.5227091836734709E-2</v>
      </c>
      <c r="AI265" s="73">
        <f t="shared" si="91"/>
        <v>2390916.3265306121</v>
      </c>
      <c r="AJ265" s="73">
        <f t="shared" si="92"/>
        <v>3809083.6734693884</v>
      </c>
      <c r="AK265" s="46">
        <f>VLOOKUP(H265,'1_Value &amp; risk levers'!$H$9:$O$1048576,6,FALSE)</f>
        <v>0.02</v>
      </c>
      <c r="AL265" s="46">
        <f>VLOOKUP(H265,'1_Value &amp; risk levers'!$H$9:$O$1048576,7,FALSE)</f>
        <v>0.03</v>
      </c>
      <c r="AM265" s="50">
        <f t="shared" si="102"/>
        <v>2.75E-2</v>
      </c>
      <c r="AN265" s="72">
        <f t="shared" si="103"/>
        <v>0.12790697674418605</v>
      </c>
      <c r="AO265" s="84">
        <f t="shared" si="104"/>
        <v>7.6453719743711434E-3</v>
      </c>
      <c r="AP265" s="84">
        <f t="shared" si="105"/>
        <v>1.2180209420977696E-2</v>
      </c>
      <c r="AQ265" s="55">
        <f t="shared" si="106"/>
        <v>358139.53488372103</v>
      </c>
      <c r="AR265" s="55">
        <f t="shared" si="107"/>
        <v>434883.72093023261</v>
      </c>
      <c r="AS265" s="83">
        <f t="shared" si="96"/>
        <v>41</v>
      </c>
      <c r="AT265" s="50">
        <f t="shared" si="108"/>
        <v>2.5</v>
      </c>
      <c r="AU265" s="55" t="str">
        <f t="shared" si="109"/>
        <v>Low</v>
      </c>
      <c r="AV265" s="34" t="s">
        <v>1499</v>
      </c>
      <c r="AW265" s="111"/>
      <c r="AX265" s="30" t="s">
        <v>1493</v>
      </c>
      <c r="AY265" s="30"/>
      <c r="AZ265" s="85" t="str">
        <f>IF(ISERROR(_xlfn.XLOOKUP(CONCATENATE(A265,"_",AV265),'Reference-Proof pt impact flag'!$I$3:$I$1048576,'Reference-Proof pt impact flag'!$G$3:$G$1048576)),"",_xlfn.XLOOKUP(CONCATENATE(A265,"_",AV265),'Reference-Proof pt impact flag'!$I$3:$I$1048576,'Reference-Proof pt impact flag'!$G$3:$G$1048576))</f>
        <v/>
      </c>
      <c r="BA265" s="74"/>
      <c r="BB265" s="74"/>
      <c r="BC265" s="74"/>
      <c r="BD265" s="74"/>
      <c r="BE265" s="74"/>
      <c r="BF265" s="74" t="e">
        <f>_xlfn.XLOOKUP(CONCATENATE(H265,"_",AV265),'Test 2 - Proof points - GPT5'!$T:$T,'Test 2 - Proof points - GPT5'!$S:$S)</f>
        <v>#N/A</v>
      </c>
      <c r="BG265" s="74" t="e">
        <f>_xlfn.XLOOKUP(CONCATENATE(H265,"_",AV265),'Test 2 -Proof points - Sonnet'!$AB:$AB,'Test 2 -Proof points - Sonnet'!$AA:$AA)</f>
        <v>#N/A</v>
      </c>
      <c r="BH265" s="74"/>
      <c r="BI265" s="74"/>
      <c r="BJ265" s="74" t="s">
        <v>1605</v>
      </c>
      <c r="BK265" s="30"/>
      <c r="BL265" s="30"/>
      <c r="BM265" s="30"/>
      <c r="BN265" s="30"/>
      <c r="BO265" s="30"/>
      <c r="BP265" s="30"/>
      <c r="BQ265" s="30"/>
      <c r="BR265" s="30"/>
      <c r="BS265" s="30"/>
      <c r="BT265" s="30"/>
      <c r="BU265" s="30"/>
      <c r="BV265" s="113"/>
    </row>
    <row r="266" spans="1:74" ht="217.5" hidden="1" x14ac:dyDescent="0.35">
      <c r="A266" s="22">
        <v>7</v>
      </c>
      <c r="B266" s="22" t="s">
        <v>1451</v>
      </c>
      <c r="C266" s="22" t="s">
        <v>1452</v>
      </c>
      <c r="D266" s="22" t="s">
        <v>1224</v>
      </c>
      <c r="E266" s="22" t="s">
        <v>1453</v>
      </c>
      <c r="F266" s="22"/>
      <c r="G266" s="22" t="s">
        <v>1274</v>
      </c>
      <c r="H266" s="21" t="s">
        <v>1278</v>
      </c>
      <c r="I266" s="22"/>
      <c r="J266" s="21" t="s">
        <v>1331</v>
      </c>
      <c r="K266" s="30"/>
      <c r="L266" s="30" t="s">
        <v>1277</v>
      </c>
      <c r="M266" s="35" t="str">
        <f>VLOOKUP(H266,'1_Value &amp; risk levers'!$H$9:$O$1048576,2,FALSE)</f>
        <v>Not considered</v>
      </c>
      <c r="N266" s="35" t="str">
        <f>VLOOKUP(H266,'1_Value &amp; risk levers'!$H$9:$O$1048576,3,FALSE)</f>
        <v>Limited exploration of alternative origins</v>
      </c>
      <c r="O266" s="35" t="str">
        <f>VLOOKUP(H266,'1_Value &amp; risk levers'!$H$9:$O$1048576,4,FALSE)</f>
        <v>Regularly sourcing from diverse origins</v>
      </c>
      <c r="P266" s="35" t="str">
        <f>VLOOKUP(H266,'1_Value &amp; risk levers'!$H$9:$O$1048576,5,FALSE)</f>
        <v>Fully optimized global sourcing with risk mitigation plans</v>
      </c>
      <c r="Q266" s="77">
        <f>IF(VLOOKUP(H266,'1_Value &amp; risk levers'!$H$9:$T$1048576,13,FALSE)=0,"",VLOOKUP(H266,'1_Value &amp; risk levers'!$H$9:$T$1048576,13,FALSE))</f>
        <v>1</v>
      </c>
      <c r="R266" s="128">
        <f t="shared" si="93"/>
        <v>2</v>
      </c>
      <c r="S266" s="128" t="e">
        <f t="shared" si="94"/>
        <v>#DIV/0!</v>
      </c>
      <c r="T266" s="77"/>
      <c r="U266" s="77"/>
      <c r="V266" s="55"/>
      <c r="W266" s="71">
        <v>0.04</v>
      </c>
      <c r="X266" s="71">
        <v>0.1</v>
      </c>
      <c r="Y266" s="71">
        <f>VLOOKUP(H266,'1_Value &amp; risk levers'!$H$9:$O$1048576,8,FALSE)</f>
        <v>0.8</v>
      </c>
      <c r="Z266" s="51">
        <f t="shared" si="95"/>
        <v>7.0000000000000007E-2</v>
      </c>
      <c r="AA266" s="51">
        <f t="shared" si="97"/>
        <v>8.5000000000000006E-2</v>
      </c>
      <c r="AB266" s="55">
        <f t="shared" si="88"/>
        <v>2800000.0000000005</v>
      </c>
      <c r="AC266" s="55">
        <f t="shared" si="89"/>
        <v>3400000.0000000005</v>
      </c>
      <c r="AD266" s="80">
        <f t="shared" si="98"/>
        <v>7</v>
      </c>
      <c r="AE266" s="84">
        <f t="shared" si="99"/>
        <v>0.48864540816326468</v>
      </c>
      <c r="AF266" s="71" t="str">
        <f t="shared" si="90"/>
        <v>Low</v>
      </c>
      <c r="AG266" s="84">
        <f t="shared" si="100"/>
        <v>5.9772908163265304E-2</v>
      </c>
      <c r="AH266" s="84">
        <f t="shared" si="101"/>
        <v>9.5227091836734709E-2</v>
      </c>
      <c r="AI266" s="73">
        <f t="shared" si="91"/>
        <v>2390916.3265306121</v>
      </c>
      <c r="AJ266" s="73">
        <f t="shared" si="92"/>
        <v>3809083.6734693884</v>
      </c>
      <c r="AK266" s="46">
        <f>VLOOKUP(H266,'1_Value &amp; risk levers'!$H$9:$O$1048576,6,FALSE)</f>
        <v>0.02</v>
      </c>
      <c r="AL266" s="46">
        <f>VLOOKUP(H266,'1_Value &amp; risk levers'!$H$9:$O$1048576,7,FALSE)</f>
        <v>0.03</v>
      </c>
      <c r="AM266" s="50">
        <f t="shared" si="102"/>
        <v>2.75E-2</v>
      </c>
      <c r="AN266" s="72">
        <f t="shared" si="103"/>
        <v>0.12790697674418605</v>
      </c>
      <c r="AO266" s="84">
        <f t="shared" si="104"/>
        <v>7.6453719743711434E-3</v>
      </c>
      <c r="AP266" s="84">
        <f t="shared" si="105"/>
        <v>1.2180209420977696E-2</v>
      </c>
      <c r="AQ266" s="55">
        <f t="shared" si="106"/>
        <v>358139.53488372103</v>
      </c>
      <c r="AR266" s="55">
        <f t="shared" si="107"/>
        <v>434883.72093023261</v>
      </c>
      <c r="AS266" s="83">
        <f t="shared" si="96"/>
        <v>41</v>
      </c>
      <c r="AT266" s="50">
        <f t="shared" si="108"/>
        <v>2.5</v>
      </c>
      <c r="AU266" s="55" t="str">
        <f t="shared" si="109"/>
        <v>Low</v>
      </c>
      <c r="AV266" s="34" t="s">
        <v>1500</v>
      </c>
      <c r="AW266" s="111"/>
      <c r="AX266" s="30" t="s">
        <v>1493</v>
      </c>
      <c r="AY266" s="30"/>
      <c r="AZ266" s="85" t="str">
        <f>IF(ISERROR(_xlfn.XLOOKUP(CONCATENATE(A266,"_",AV266),'Reference-Proof pt impact flag'!$I$3:$I$1048576,'Reference-Proof pt impact flag'!$G$3:$G$1048576)),"",_xlfn.XLOOKUP(CONCATENATE(A266,"_",AV266),'Reference-Proof pt impact flag'!$I$3:$I$1048576,'Reference-Proof pt impact flag'!$G$3:$G$1048576))</f>
        <v/>
      </c>
      <c r="BA266" s="74"/>
      <c r="BB266" s="74"/>
      <c r="BC266" s="74"/>
      <c r="BD266" s="74"/>
      <c r="BE266" s="74"/>
      <c r="BF266" s="74" t="e">
        <f>_xlfn.XLOOKUP(CONCATENATE(H266,"_",AV266),'Test 2 - Proof points - GPT5'!$T:$T,'Test 2 - Proof points - GPT5'!$S:$S)</f>
        <v>#N/A</v>
      </c>
      <c r="BG266" s="74" t="e">
        <f>_xlfn.XLOOKUP(CONCATENATE(H266,"_",AV266),'Test 2 -Proof points - Sonnet'!$AB:$AB,'Test 2 -Proof points - Sonnet'!$AA:$AA)</f>
        <v>#N/A</v>
      </c>
      <c r="BH266" s="74"/>
      <c r="BI266" s="74"/>
      <c r="BJ266" s="74" t="s">
        <v>1605</v>
      </c>
      <c r="BK266" s="30"/>
      <c r="BL266" s="30"/>
      <c r="BM266" s="30"/>
      <c r="BN266" s="30"/>
      <c r="BO266" s="30"/>
      <c r="BP266" s="30"/>
      <c r="BQ266" s="30"/>
      <c r="BR266" s="30"/>
      <c r="BS266" s="30"/>
      <c r="BT266" s="30"/>
      <c r="BU266" s="30"/>
      <c r="BV266" s="113"/>
    </row>
    <row r="267" spans="1:74" ht="217.5" hidden="1" x14ac:dyDescent="0.35">
      <c r="A267" s="22">
        <v>7</v>
      </c>
      <c r="B267" s="22" t="s">
        <v>1451</v>
      </c>
      <c r="C267" s="22" t="s">
        <v>1452</v>
      </c>
      <c r="D267" s="22" t="s">
        <v>1224</v>
      </c>
      <c r="E267" s="22" t="s">
        <v>1453</v>
      </c>
      <c r="F267" s="22"/>
      <c r="G267" s="22" t="s">
        <v>1274</v>
      </c>
      <c r="H267" s="21" t="s">
        <v>1278</v>
      </c>
      <c r="I267" s="22"/>
      <c r="J267" s="21" t="s">
        <v>1331</v>
      </c>
      <c r="K267" s="30"/>
      <c r="L267" s="30" t="s">
        <v>1277</v>
      </c>
      <c r="M267" s="35" t="str">
        <f>VLOOKUP(H267,'1_Value &amp; risk levers'!$H$9:$O$1048576,2,FALSE)</f>
        <v>Not considered</v>
      </c>
      <c r="N267" s="35" t="str">
        <f>VLOOKUP(H267,'1_Value &amp; risk levers'!$H$9:$O$1048576,3,FALSE)</f>
        <v>Limited exploration of alternative origins</v>
      </c>
      <c r="O267" s="35" t="str">
        <f>VLOOKUP(H267,'1_Value &amp; risk levers'!$H$9:$O$1048576,4,FALSE)</f>
        <v>Regularly sourcing from diverse origins</v>
      </c>
      <c r="P267" s="35" t="str">
        <f>VLOOKUP(H267,'1_Value &amp; risk levers'!$H$9:$O$1048576,5,FALSE)</f>
        <v>Fully optimized global sourcing with risk mitigation plans</v>
      </c>
      <c r="Q267" s="77">
        <f>IF(VLOOKUP(H267,'1_Value &amp; risk levers'!$H$9:$T$1048576,13,FALSE)=0,"",VLOOKUP(H267,'1_Value &amp; risk levers'!$H$9:$T$1048576,13,FALSE))</f>
        <v>1</v>
      </c>
      <c r="R267" s="128">
        <f t="shared" si="93"/>
        <v>2</v>
      </c>
      <c r="S267" s="128" t="e">
        <f t="shared" si="94"/>
        <v>#DIV/0!</v>
      </c>
      <c r="T267" s="77"/>
      <c r="U267" s="77"/>
      <c r="V267" s="55"/>
      <c r="W267" s="71">
        <v>0.04</v>
      </c>
      <c r="X267" s="71">
        <v>0.1</v>
      </c>
      <c r="Y267" s="71">
        <f>VLOOKUP(H267,'1_Value &amp; risk levers'!$H$9:$O$1048576,8,FALSE)</f>
        <v>0.8</v>
      </c>
      <c r="Z267" s="51">
        <f t="shared" si="95"/>
        <v>7.0000000000000007E-2</v>
      </c>
      <c r="AA267" s="51">
        <f t="shared" si="97"/>
        <v>8.5000000000000006E-2</v>
      </c>
      <c r="AB267" s="55">
        <f t="shared" si="88"/>
        <v>2800000.0000000005</v>
      </c>
      <c r="AC267" s="55">
        <f t="shared" si="89"/>
        <v>3400000.0000000005</v>
      </c>
      <c r="AD267" s="80">
        <f t="shared" si="98"/>
        <v>7</v>
      </c>
      <c r="AE267" s="84">
        <f t="shared" si="99"/>
        <v>0.48864540816326468</v>
      </c>
      <c r="AF267" s="71" t="str">
        <f t="shared" si="90"/>
        <v>Low</v>
      </c>
      <c r="AG267" s="84">
        <f t="shared" si="100"/>
        <v>5.9772908163265304E-2</v>
      </c>
      <c r="AH267" s="84">
        <f t="shared" si="101"/>
        <v>9.5227091836734709E-2</v>
      </c>
      <c r="AI267" s="73">
        <f t="shared" si="91"/>
        <v>2390916.3265306121</v>
      </c>
      <c r="AJ267" s="73">
        <f t="shared" si="92"/>
        <v>3809083.6734693884</v>
      </c>
      <c r="AK267" s="46">
        <f>VLOOKUP(H267,'1_Value &amp; risk levers'!$H$9:$O$1048576,6,FALSE)</f>
        <v>0.02</v>
      </c>
      <c r="AL267" s="46">
        <f>VLOOKUP(H267,'1_Value &amp; risk levers'!$H$9:$O$1048576,7,FALSE)</f>
        <v>0.03</v>
      </c>
      <c r="AM267" s="50">
        <f t="shared" si="102"/>
        <v>2.75E-2</v>
      </c>
      <c r="AN267" s="72">
        <f t="shared" si="103"/>
        <v>0.12790697674418605</v>
      </c>
      <c r="AO267" s="84">
        <f t="shared" si="104"/>
        <v>7.6453719743711434E-3</v>
      </c>
      <c r="AP267" s="84">
        <f t="shared" si="105"/>
        <v>1.2180209420977696E-2</v>
      </c>
      <c r="AQ267" s="55">
        <f t="shared" si="106"/>
        <v>358139.53488372103</v>
      </c>
      <c r="AR267" s="55">
        <f t="shared" si="107"/>
        <v>434883.72093023261</v>
      </c>
      <c r="AS267" s="83">
        <f t="shared" si="96"/>
        <v>41</v>
      </c>
      <c r="AT267" s="50">
        <f t="shared" si="108"/>
        <v>2.5</v>
      </c>
      <c r="AU267" s="55" t="str">
        <f t="shared" si="109"/>
        <v>Low</v>
      </c>
      <c r="AV267" s="34" t="s">
        <v>1501</v>
      </c>
      <c r="AW267" s="111"/>
      <c r="AX267" s="30" t="s">
        <v>1493</v>
      </c>
      <c r="AY267" s="30"/>
      <c r="AZ267" s="85" t="str">
        <f>IF(ISERROR(_xlfn.XLOOKUP(CONCATENATE(A267,"_",AV267),'Reference-Proof pt impact flag'!$I$3:$I$1048576,'Reference-Proof pt impact flag'!$G$3:$G$1048576)),"",_xlfn.XLOOKUP(CONCATENATE(A267,"_",AV267),'Reference-Proof pt impact flag'!$I$3:$I$1048576,'Reference-Proof pt impact flag'!$G$3:$G$1048576))</f>
        <v/>
      </c>
      <c r="BA267" s="74"/>
      <c r="BB267" s="74"/>
      <c r="BC267" s="74"/>
      <c r="BD267" s="74"/>
      <c r="BE267" s="74"/>
      <c r="BF267" s="74" t="e">
        <f>_xlfn.XLOOKUP(CONCATENATE(H267,"_",AV267),'Test 2 - Proof points - GPT5'!$T:$T,'Test 2 - Proof points - GPT5'!$S:$S)</f>
        <v>#N/A</v>
      </c>
      <c r="BG267" s="74" t="e">
        <f>_xlfn.XLOOKUP(CONCATENATE(H267,"_",AV267),'Test 2 -Proof points - Sonnet'!$AB:$AB,'Test 2 -Proof points - Sonnet'!$AA:$AA)</f>
        <v>#N/A</v>
      </c>
      <c r="BH267" s="74"/>
      <c r="BI267" s="74"/>
      <c r="BJ267" s="74" t="s">
        <v>1605</v>
      </c>
      <c r="BK267" s="30"/>
      <c r="BL267" s="30"/>
      <c r="BM267" s="30"/>
      <c r="BN267" s="30"/>
      <c r="BO267" s="30"/>
      <c r="BP267" s="30"/>
      <c r="BQ267" s="30"/>
      <c r="BR267" s="30"/>
      <c r="BS267" s="30"/>
      <c r="BT267" s="30"/>
      <c r="BU267" s="30"/>
      <c r="BV267" s="113"/>
    </row>
    <row r="268" spans="1:74" ht="217.5" hidden="1" x14ac:dyDescent="0.35">
      <c r="A268" s="22">
        <v>7</v>
      </c>
      <c r="B268" s="22" t="s">
        <v>1451</v>
      </c>
      <c r="C268" s="22" t="s">
        <v>1452</v>
      </c>
      <c r="D268" s="22" t="s">
        <v>1224</v>
      </c>
      <c r="E268" s="22" t="s">
        <v>1453</v>
      </c>
      <c r="F268" s="22"/>
      <c r="G268" s="22" t="s">
        <v>1274</v>
      </c>
      <c r="H268" s="21" t="s">
        <v>1278</v>
      </c>
      <c r="I268" s="22"/>
      <c r="J268" s="21" t="s">
        <v>1331</v>
      </c>
      <c r="K268" s="30"/>
      <c r="L268" s="30" t="s">
        <v>1277</v>
      </c>
      <c r="M268" s="35" t="str">
        <f>VLOOKUP(H268,'1_Value &amp; risk levers'!$H$9:$O$1048576,2,FALSE)</f>
        <v>Not considered</v>
      </c>
      <c r="N268" s="35" t="str">
        <f>VLOOKUP(H268,'1_Value &amp; risk levers'!$H$9:$O$1048576,3,FALSE)</f>
        <v>Limited exploration of alternative origins</v>
      </c>
      <c r="O268" s="35" t="str">
        <f>VLOOKUP(H268,'1_Value &amp; risk levers'!$H$9:$O$1048576,4,FALSE)</f>
        <v>Regularly sourcing from diverse origins</v>
      </c>
      <c r="P268" s="35" t="str">
        <f>VLOOKUP(H268,'1_Value &amp; risk levers'!$H$9:$O$1048576,5,FALSE)</f>
        <v>Fully optimized global sourcing with risk mitigation plans</v>
      </c>
      <c r="Q268" s="77">
        <f>IF(VLOOKUP(H268,'1_Value &amp; risk levers'!$H$9:$T$1048576,13,FALSE)=0,"",VLOOKUP(H268,'1_Value &amp; risk levers'!$H$9:$T$1048576,13,FALSE))</f>
        <v>1</v>
      </c>
      <c r="R268" s="128">
        <f t="shared" si="93"/>
        <v>2</v>
      </c>
      <c r="S268" s="128" t="e">
        <f t="shared" si="94"/>
        <v>#DIV/0!</v>
      </c>
      <c r="T268" s="77"/>
      <c r="U268" s="77"/>
      <c r="V268" s="55"/>
      <c r="W268" s="71">
        <v>0.04</v>
      </c>
      <c r="X268" s="71">
        <v>0.1</v>
      </c>
      <c r="Y268" s="71">
        <f>VLOOKUP(H268,'1_Value &amp; risk levers'!$H$9:$O$1048576,8,FALSE)</f>
        <v>0.8</v>
      </c>
      <c r="Z268" s="51">
        <f t="shared" si="95"/>
        <v>7.0000000000000007E-2</v>
      </c>
      <c r="AA268" s="51">
        <f t="shared" si="97"/>
        <v>8.5000000000000006E-2</v>
      </c>
      <c r="AB268" s="55">
        <f t="shared" si="88"/>
        <v>2800000.0000000005</v>
      </c>
      <c r="AC268" s="55">
        <f t="shared" si="89"/>
        <v>3400000.0000000005</v>
      </c>
      <c r="AD268" s="80">
        <f t="shared" si="98"/>
        <v>7</v>
      </c>
      <c r="AE268" s="84">
        <f t="shared" si="99"/>
        <v>0.48864540816326468</v>
      </c>
      <c r="AF268" s="71" t="str">
        <f t="shared" si="90"/>
        <v>Low</v>
      </c>
      <c r="AG268" s="84">
        <f t="shared" si="100"/>
        <v>5.9772908163265304E-2</v>
      </c>
      <c r="AH268" s="84">
        <f t="shared" si="101"/>
        <v>9.5227091836734709E-2</v>
      </c>
      <c r="AI268" s="73">
        <f t="shared" si="91"/>
        <v>2390916.3265306121</v>
      </c>
      <c r="AJ268" s="73">
        <f t="shared" si="92"/>
        <v>3809083.6734693884</v>
      </c>
      <c r="AK268" s="46">
        <f>VLOOKUP(H268,'1_Value &amp; risk levers'!$H$9:$O$1048576,6,FALSE)</f>
        <v>0.02</v>
      </c>
      <c r="AL268" s="46">
        <f>VLOOKUP(H268,'1_Value &amp; risk levers'!$H$9:$O$1048576,7,FALSE)</f>
        <v>0.03</v>
      </c>
      <c r="AM268" s="50">
        <f t="shared" si="102"/>
        <v>2.75E-2</v>
      </c>
      <c r="AN268" s="72">
        <f t="shared" si="103"/>
        <v>0.12790697674418605</v>
      </c>
      <c r="AO268" s="84">
        <f t="shared" si="104"/>
        <v>7.6453719743711434E-3</v>
      </c>
      <c r="AP268" s="84">
        <f t="shared" si="105"/>
        <v>1.2180209420977696E-2</v>
      </c>
      <c r="AQ268" s="55">
        <f t="shared" si="106"/>
        <v>358139.53488372103</v>
      </c>
      <c r="AR268" s="55">
        <f t="shared" si="107"/>
        <v>434883.72093023261</v>
      </c>
      <c r="AS268" s="83">
        <f t="shared" si="96"/>
        <v>41</v>
      </c>
      <c r="AT268" s="50">
        <f t="shared" si="108"/>
        <v>2.5</v>
      </c>
      <c r="AU268" s="55" t="str">
        <f t="shared" si="109"/>
        <v>Low</v>
      </c>
      <c r="AV268" s="34" t="s">
        <v>1502</v>
      </c>
      <c r="AW268" s="111"/>
      <c r="AX268" s="30" t="s">
        <v>1493</v>
      </c>
      <c r="AY268" s="30"/>
      <c r="AZ268" s="85" t="str">
        <f>IF(ISERROR(_xlfn.XLOOKUP(CONCATENATE(A268,"_",AV268),'Reference-Proof pt impact flag'!$I$3:$I$1048576,'Reference-Proof pt impact flag'!$G$3:$G$1048576)),"",_xlfn.XLOOKUP(CONCATENATE(A268,"_",AV268),'Reference-Proof pt impact flag'!$I$3:$I$1048576,'Reference-Proof pt impact flag'!$G$3:$G$1048576))</f>
        <v/>
      </c>
      <c r="BA268" s="74"/>
      <c r="BB268" s="74"/>
      <c r="BC268" s="74"/>
      <c r="BD268" s="74"/>
      <c r="BE268" s="74"/>
      <c r="BF268" s="74" t="e">
        <f>_xlfn.XLOOKUP(CONCATENATE(H268,"_",AV268),'Test 2 - Proof points - GPT5'!$T:$T,'Test 2 - Proof points - GPT5'!$S:$S)</f>
        <v>#N/A</v>
      </c>
      <c r="BG268" s="74" t="e">
        <f>_xlfn.XLOOKUP(CONCATENATE(H268,"_",AV268),'Test 2 -Proof points - Sonnet'!$AB:$AB,'Test 2 -Proof points - Sonnet'!$AA:$AA)</f>
        <v>#N/A</v>
      </c>
      <c r="BH268" s="74"/>
      <c r="BI268" s="74"/>
      <c r="BJ268" s="74" t="s">
        <v>1605</v>
      </c>
      <c r="BK268" s="30"/>
      <c r="BL268" s="30"/>
      <c r="BM268" s="30"/>
      <c r="BN268" s="30"/>
      <c r="BO268" s="30"/>
      <c r="BP268" s="30"/>
      <c r="BQ268" s="30"/>
      <c r="BR268" s="30"/>
      <c r="BS268" s="30"/>
      <c r="BT268" s="30"/>
      <c r="BU268" s="30"/>
      <c r="BV268" s="113"/>
    </row>
    <row r="269" spans="1:74" ht="217.5" hidden="1" x14ac:dyDescent="0.35">
      <c r="A269" s="22">
        <v>7</v>
      </c>
      <c r="B269" s="22" t="s">
        <v>1451</v>
      </c>
      <c r="C269" s="22" t="s">
        <v>1452</v>
      </c>
      <c r="D269" s="22" t="s">
        <v>1224</v>
      </c>
      <c r="E269" s="22" t="s">
        <v>1453</v>
      </c>
      <c r="F269" s="22"/>
      <c r="G269" s="22" t="s">
        <v>1274</v>
      </c>
      <c r="H269" s="21" t="s">
        <v>1278</v>
      </c>
      <c r="I269" s="22"/>
      <c r="J269" s="21" t="s">
        <v>1331</v>
      </c>
      <c r="K269" s="30"/>
      <c r="L269" s="30" t="s">
        <v>1277</v>
      </c>
      <c r="M269" s="35" t="str">
        <f>VLOOKUP(H269,'1_Value &amp; risk levers'!$H$9:$O$1048576,2,FALSE)</f>
        <v>Not considered</v>
      </c>
      <c r="N269" s="35" t="str">
        <f>VLOOKUP(H269,'1_Value &amp; risk levers'!$H$9:$O$1048576,3,FALSE)</f>
        <v>Limited exploration of alternative origins</v>
      </c>
      <c r="O269" s="35" t="str">
        <f>VLOOKUP(H269,'1_Value &amp; risk levers'!$H$9:$O$1048576,4,FALSE)</f>
        <v>Regularly sourcing from diverse origins</v>
      </c>
      <c r="P269" s="35" t="str">
        <f>VLOOKUP(H269,'1_Value &amp; risk levers'!$H$9:$O$1048576,5,FALSE)</f>
        <v>Fully optimized global sourcing with risk mitigation plans</v>
      </c>
      <c r="Q269" s="77">
        <f>IF(VLOOKUP(H269,'1_Value &amp; risk levers'!$H$9:$T$1048576,13,FALSE)=0,"",VLOOKUP(H269,'1_Value &amp; risk levers'!$H$9:$T$1048576,13,FALSE))</f>
        <v>1</v>
      </c>
      <c r="R269" s="128">
        <f t="shared" si="93"/>
        <v>2</v>
      </c>
      <c r="S269" s="128" t="e">
        <f t="shared" si="94"/>
        <v>#DIV/0!</v>
      </c>
      <c r="T269" s="77"/>
      <c r="U269" s="77"/>
      <c r="V269" s="55"/>
      <c r="W269" s="71">
        <v>0.04</v>
      </c>
      <c r="X269" s="71">
        <v>0.1</v>
      </c>
      <c r="Y269" s="71">
        <f>VLOOKUP(H269,'1_Value &amp; risk levers'!$H$9:$O$1048576,8,FALSE)</f>
        <v>0.8</v>
      </c>
      <c r="Z269" s="51">
        <f t="shared" si="95"/>
        <v>7.0000000000000007E-2</v>
      </c>
      <c r="AA269" s="51">
        <f t="shared" si="97"/>
        <v>8.5000000000000006E-2</v>
      </c>
      <c r="AB269" s="55">
        <f t="shared" si="88"/>
        <v>2800000.0000000005</v>
      </c>
      <c r="AC269" s="55">
        <f t="shared" si="89"/>
        <v>3400000.0000000005</v>
      </c>
      <c r="AD269" s="80">
        <f t="shared" si="98"/>
        <v>7</v>
      </c>
      <c r="AE269" s="84">
        <f t="shared" si="99"/>
        <v>0.48864540816326468</v>
      </c>
      <c r="AF269" s="71" t="str">
        <f t="shared" si="90"/>
        <v>Low</v>
      </c>
      <c r="AG269" s="84">
        <f t="shared" si="100"/>
        <v>5.9772908163265304E-2</v>
      </c>
      <c r="AH269" s="84">
        <f t="shared" si="101"/>
        <v>9.5227091836734709E-2</v>
      </c>
      <c r="AI269" s="73">
        <f t="shared" si="91"/>
        <v>2390916.3265306121</v>
      </c>
      <c r="AJ269" s="73">
        <f t="shared" si="92"/>
        <v>3809083.6734693884</v>
      </c>
      <c r="AK269" s="46">
        <f>VLOOKUP(H269,'1_Value &amp; risk levers'!$H$9:$O$1048576,6,FALSE)</f>
        <v>0.02</v>
      </c>
      <c r="AL269" s="46">
        <f>VLOOKUP(H269,'1_Value &amp; risk levers'!$H$9:$O$1048576,7,FALSE)</f>
        <v>0.03</v>
      </c>
      <c r="AM269" s="50">
        <f t="shared" si="102"/>
        <v>2.75E-2</v>
      </c>
      <c r="AN269" s="72">
        <f t="shared" si="103"/>
        <v>0.12790697674418605</v>
      </c>
      <c r="AO269" s="84">
        <f t="shared" si="104"/>
        <v>7.6453719743711434E-3</v>
      </c>
      <c r="AP269" s="84">
        <f t="shared" si="105"/>
        <v>1.2180209420977696E-2</v>
      </c>
      <c r="AQ269" s="55">
        <f t="shared" si="106"/>
        <v>358139.53488372103</v>
      </c>
      <c r="AR269" s="55">
        <f t="shared" si="107"/>
        <v>434883.72093023261</v>
      </c>
      <c r="AS269" s="83">
        <f t="shared" si="96"/>
        <v>41</v>
      </c>
      <c r="AT269" s="50">
        <f t="shared" si="108"/>
        <v>2.5</v>
      </c>
      <c r="AU269" s="55" t="str">
        <f t="shared" si="109"/>
        <v>Low</v>
      </c>
      <c r="AV269" s="34" t="s">
        <v>1503</v>
      </c>
      <c r="AW269" s="111"/>
      <c r="AX269" s="30" t="s">
        <v>1493</v>
      </c>
      <c r="AY269" s="30"/>
      <c r="AZ269" s="85" t="str">
        <f>IF(ISERROR(_xlfn.XLOOKUP(CONCATENATE(A269,"_",AV269),'Reference-Proof pt impact flag'!$I$3:$I$1048576,'Reference-Proof pt impact flag'!$G$3:$G$1048576)),"",_xlfn.XLOOKUP(CONCATENATE(A269,"_",AV269),'Reference-Proof pt impact flag'!$I$3:$I$1048576,'Reference-Proof pt impact flag'!$G$3:$G$1048576))</f>
        <v/>
      </c>
      <c r="BA269" s="74"/>
      <c r="BB269" s="74"/>
      <c r="BC269" s="74"/>
      <c r="BD269" s="74"/>
      <c r="BE269" s="74"/>
      <c r="BF269" s="74" t="e">
        <f>_xlfn.XLOOKUP(CONCATENATE(H269,"_",AV269),'Test 2 - Proof points - GPT5'!$T:$T,'Test 2 - Proof points - GPT5'!$S:$S)</f>
        <v>#N/A</v>
      </c>
      <c r="BG269" s="74" t="e">
        <f>_xlfn.XLOOKUP(CONCATENATE(H269,"_",AV269),'Test 2 -Proof points - Sonnet'!$AB:$AB,'Test 2 -Proof points - Sonnet'!$AA:$AA)</f>
        <v>#N/A</v>
      </c>
      <c r="BH269" s="74"/>
      <c r="BI269" s="74"/>
      <c r="BJ269" s="74" t="s">
        <v>1605</v>
      </c>
      <c r="BK269" s="30"/>
      <c r="BL269" s="30"/>
      <c r="BM269" s="30"/>
      <c r="BN269" s="30"/>
      <c r="BO269" s="30"/>
      <c r="BP269" s="30"/>
      <c r="BQ269" s="30"/>
      <c r="BR269" s="30"/>
      <c r="BS269" s="30"/>
      <c r="BT269" s="30"/>
      <c r="BU269" s="30"/>
      <c r="BV269" s="113"/>
    </row>
    <row r="270" spans="1:74" ht="217.5" hidden="1" x14ac:dyDescent="0.35">
      <c r="A270" s="22">
        <v>7</v>
      </c>
      <c r="B270" s="22" t="s">
        <v>1451</v>
      </c>
      <c r="C270" s="22" t="s">
        <v>1452</v>
      </c>
      <c r="D270" s="22" t="s">
        <v>1224</v>
      </c>
      <c r="E270" s="22" t="s">
        <v>1453</v>
      </c>
      <c r="F270" s="22"/>
      <c r="G270" s="22" t="s">
        <v>1274</v>
      </c>
      <c r="H270" s="21" t="s">
        <v>1278</v>
      </c>
      <c r="I270" s="22"/>
      <c r="J270" s="21" t="s">
        <v>1331</v>
      </c>
      <c r="K270" s="30"/>
      <c r="L270" s="30" t="s">
        <v>1277</v>
      </c>
      <c r="M270" s="35" t="str">
        <f>VLOOKUP(H270,'1_Value &amp; risk levers'!$H$9:$O$1048576,2,FALSE)</f>
        <v>Not considered</v>
      </c>
      <c r="N270" s="35" t="str">
        <f>VLOOKUP(H270,'1_Value &amp; risk levers'!$H$9:$O$1048576,3,FALSE)</f>
        <v>Limited exploration of alternative origins</v>
      </c>
      <c r="O270" s="35" t="str">
        <f>VLOOKUP(H270,'1_Value &amp; risk levers'!$H$9:$O$1048576,4,FALSE)</f>
        <v>Regularly sourcing from diverse origins</v>
      </c>
      <c r="P270" s="35" t="str">
        <f>VLOOKUP(H270,'1_Value &amp; risk levers'!$H$9:$O$1048576,5,FALSE)</f>
        <v>Fully optimized global sourcing with risk mitigation plans</v>
      </c>
      <c r="Q270" s="77">
        <f>IF(VLOOKUP(H270,'1_Value &amp; risk levers'!$H$9:$T$1048576,13,FALSE)=0,"",VLOOKUP(H270,'1_Value &amp; risk levers'!$H$9:$T$1048576,13,FALSE))</f>
        <v>1</v>
      </c>
      <c r="R270" s="128">
        <f t="shared" si="93"/>
        <v>2</v>
      </c>
      <c r="S270" s="128" t="e">
        <f t="shared" si="94"/>
        <v>#DIV/0!</v>
      </c>
      <c r="T270" s="77"/>
      <c r="U270" s="77"/>
      <c r="V270" s="55"/>
      <c r="W270" s="71">
        <v>0.04</v>
      </c>
      <c r="X270" s="71">
        <v>0.1</v>
      </c>
      <c r="Y270" s="71">
        <f>VLOOKUP(H270,'1_Value &amp; risk levers'!$H$9:$O$1048576,8,FALSE)</f>
        <v>0.8</v>
      </c>
      <c r="Z270" s="51">
        <f t="shared" si="95"/>
        <v>7.0000000000000007E-2</v>
      </c>
      <c r="AA270" s="51">
        <f t="shared" si="97"/>
        <v>8.5000000000000006E-2</v>
      </c>
      <c r="AB270" s="55">
        <f t="shared" si="88"/>
        <v>2800000.0000000005</v>
      </c>
      <c r="AC270" s="55">
        <f t="shared" si="89"/>
        <v>3400000.0000000005</v>
      </c>
      <c r="AD270" s="80">
        <f t="shared" si="98"/>
        <v>7</v>
      </c>
      <c r="AE270" s="84">
        <f t="shared" si="99"/>
        <v>0.48864540816326468</v>
      </c>
      <c r="AF270" s="71" t="str">
        <f t="shared" si="90"/>
        <v>Low</v>
      </c>
      <c r="AG270" s="84">
        <f t="shared" si="100"/>
        <v>5.9772908163265304E-2</v>
      </c>
      <c r="AH270" s="84">
        <f t="shared" si="101"/>
        <v>9.5227091836734709E-2</v>
      </c>
      <c r="AI270" s="73">
        <f t="shared" si="91"/>
        <v>2390916.3265306121</v>
      </c>
      <c r="AJ270" s="73">
        <f t="shared" si="92"/>
        <v>3809083.6734693884</v>
      </c>
      <c r="AK270" s="46">
        <f>VLOOKUP(H270,'1_Value &amp; risk levers'!$H$9:$O$1048576,6,FALSE)</f>
        <v>0.02</v>
      </c>
      <c r="AL270" s="46">
        <f>VLOOKUP(H270,'1_Value &amp; risk levers'!$H$9:$O$1048576,7,FALSE)</f>
        <v>0.03</v>
      </c>
      <c r="AM270" s="50">
        <f t="shared" si="102"/>
        <v>2.75E-2</v>
      </c>
      <c r="AN270" s="72">
        <f t="shared" si="103"/>
        <v>0.12790697674418605</v>
      </c>
      <c r="AO270" s="84">
        <f t="shared" si="104"/>
        <v>7.6453719743711434E-3</v>
      </c>
      <c r="AP270" s="84">
        <f t="shared" si="105"/>
        <v>1.2180209420977696E-2</v>
      </c>
      <c r="AQ270" s="55">
        <f t="shared" si="106"/>
        <v>358139.53488372103</v>
      </c>
      <c r="AR270" s="55">
        <f t="shared" si="107"/>
        <v>434883.72093023261</v>
      </c>
      <c r="AS270" s="83">
        <f t="shared" si="96"/>
        <v>41</v>
      </c>
      <c r="AT270" s="50">
        <f t="shared" si="108"/>
        <v>2.5</v>
      </c>
      <c r="AU270" s="55" t="str">
        <f t="shared" si="109"/>
        <v>Low</v>
      </c>
      <c r="AV270" s="34" t="s">
        <v>1504</v>
      </c>
      <c r="AW270" s="111"/>
      <c r="AX270" s="30" t="s">
        <v>1493</v>
      </c>
      <c r="AY270" s="27" t="s">
        <v>1608</v>
      </c>
      <c r="AZ270" s="85" t="str">
        <f>IF(ISERROR(_xlfn.XLOOKUP(CONCATENATE(A270,"_",AV270),'Reference-Proof pt impact flag'!$I$3:$I$1048576,'Reference-Proof pt impact flag'!$G$3:$G$1048576)),"",_xlfn.XLOOKUP(CONCATENATE(A270,"_",AV270),'Reference-Proof pt impact flag'!$I$3:$I$1048576,'Reference-Proof pt impact flag'!$G$3:$G$1048576))</f>
        <v>Low</v>
      </c>
      <c r="BA270" s="27" t="s">
        <v>1458</v>
      </c>
      <c r="BB270" s="74"/>
      <c r="BC270" s="74"/>
      <c r="BD270" s="74"/>
      <c r="BE270" s="74"/>
      <c r="BF270" s="74" t="str">
        <f>_xlfn.XLOOKUP(CONCATENATE(H270,"_",AV270),'Test 2 - Proof points - GPT5'!$T:$T,'Test 2 - Proof points - GPT5'!$S:$S)</f>
        <v>Market view: Top rice bran oil exporters include India, Bangladesh, and Thailand; sunflower oil exports are dominated by Ukraine/Russia, with Turkey also significant. For client’s Asia-focused plants, preferred exporter origins: India/Thailand (RBO) and Ukraine/Russia/Turkey (sunflower). Actions: pre-qualify 3–5 non-incumbent suppliers per origin; pilot spot buys to benchmark incumbents. [Sources: Volza; Reuters]</v>
      </c>
      <c r="BG270" s="74" t="e">
        <f>_xlfn.XLOOKUP(CONCATENATE(H270,"_",AV270),'Test 2 -Proof points - Sonnet'!$AB:$AB,'Test 2 -Proof points - Sonnet'!$AA:$AA)</f>
        <v>#N/A</v>
      </c>
      <c r="BH270" s="74" t="s">
        <v>1603</v>
      </c>
      <c r="BI270" s="74"/>
      <c r="BJ270" s="74" t="s">
        <v>1605</v>
      </c>
      <c r="BK270" s="30" t="s">
        <v>132</v>
      </c>
      <c r="BL270" s="30"/>
      <c r="BM270" s="30"/>
      <c r="BN270" s="30"/>
      <c r="BO270" s="30"/>
      <c r="BP270" s="30"/>
      <c r="BQ270" s="30"/>
      <c r="BR270" s="30"/>
      <c r="BS270" s="30"/>
      <c r="BT270" s="30"/>
      <c r="BU270" s="30"/>
      <c r="BV270" s="113" t="s">
        <v>132</v>
      </c>
    </row>
    <row r="271" spans="1:74" ht="217.5" hidden="1" x14ac:dyDescent="0.35">
      <c r="A271" s="22">
        <v>7</v>
      </c>
      <c r="B271" s="22" t="s">
        <v>1451</v>
      </c>
      <c r="C271" s="22" t="s">
        <v>1452</v>
      </c>
      <c r="D271" s="22" t="s">
        <v>1224</v>
      </c>
      <c r="E271" s="22" t="s">
        <v>1453</v>
      </c>
      <c r="F271" s="22"/>
      <c r="G271" s="22" t="s">
        <v>1274</v>
      </c>
      <c r="H271" s="21" t="s">
        <v>1278</v>
      </c>
      <c r="I271" s="22"/>
      <c r="J271" s="21" t="s">
        <v>1331</v>
      </c>
      <c r="K271" s="30"/>
      <c r="L271" s="30" t="s">
        <v>1277</v>
      </c>
      <c r="M271" s="35" t="str">
        <f>VLOOKUP(H271,'1_Value &amp; risk levers'!$H$9:$O$1048576,2,FALSE)</f>
        <v>Not considered</v>
      </c>
      <c r="N271" s="35" t="str">
        <f>VLOOKUP(H271,'1_Value &amp; risk levers'!$H$9:$O$1048576,3,FALSE)</f>
        <v>Limited exploration of alternative origins</v>
      </c>
      <c r="O271" s="35" t="str">
        <f>VLOOKUP(H271,'1_Value &amp; risk levers'!$H$9:$O$1048576,4,FALSE)</f>
        <v>Regularly sourcing from diverse origins</v>
      </c>
      <c r="P271" s="35" t="str">
        <f>VLOOKUP(H271,'1_Value &amp; risk levers'!$H$9:$O$1048576,5,FALSE)</f>
        <v>Fully optimized global sourcing with risk mitigation plans</v>
      </c>
      <c r="Q271" s="77">
        <f>IF(VLOOKUP(H271,'1_Value &amp; risk levers'!$H$9:$T$1048576,13,FALSE)=0,"",VLOOKUP(H271,'1_Value &amp; risk levers'!$H$9:$T$1048576,13,FALSE))</f>
        <v>1</v>
      </c>
      <c r="R271" s="128">
        <f t="shared" si="93"/>
        <v>2</v>
      </c>
      <c r="S271" s="128" t="e">
        <f t="shared" si="94"/>
        <v>#DIV/0!</v>
      </c>
      <c r="T271" s="77"/>
      <c r="U271" s="77"/>
      <c r="V271" s="55"/>
      <c r="W271" s="71">
        <v>0.04</v>
      </c>
      <c r="X271" s="71">
        <v>0.1</v>
      </c>
      <c r="Y271" s="71">
        <f>VLOOKUP(H271,'1_Value &amp; risk levers'!$H$9:$O$1048576,8,FALSE)</f>
        <v>0.8</v>
      </c>
      <c r="Z271" s="51">
        <f t="shared" si="95"/>
        <v>7.0000000000000007E-2</v>
      </c>
      <c r="AA271" s="51">
        <f t="shared" si="97"/>
        <v>8.5000000000000006E-2</v>
      </c>
      <c r="AB271" s="55">
        <f t="shared" si="88"/>
        <v>2800000.0000000005</v>
      </c>
      <c r="AC271" s="55">
        <f t="shared" si="89"/>
        <v>3400000.0000000005</v>
      </c>
      <c r="AD271" s="80">
        <f t="shared" si="98"/>
        <v>7</v>
      </c>
      <c r="AE271" s="84">
        <f t="shared" si="99"/>
        <v>0.48864540816326468</v>
      </c>
      <c r="AF271" s="71" t="str">
        <f t="shared" si="90"/>
        <v>Low</v>
      </c>
      <c r="AG271" s="84">
        <f t="shared" si="100"/>
        <v>5.9772908163265304E-2</v>
      </c>
      <c r="AH271" s="84">
        <f t="shared" si="101"/>
        <v>9.5227091836734709E-2</v>
      </c>
      <c r="AI271" s="73">
        <f t="shared" si="91"/>
        <v>2390916.3265306121</v>
      </c>
      <c r="AJ271" s="73">
        <f t="shared" si="92"/>
        <v>3809083.6734693884</v>
      </c>
      <c r="AK271" s="46">
        <f>VLOOKUP(H271,'1_Value &amp; risk levers'!$H$9:$O$1048576,6,FALSE)</f>
        <v>0.02</v>
      </c>
      <c r="AL271" s="46">
        <f>VLOOKUP(H271,'1_Value &amp; risk levers'!$H$9:$O$1048576,7,FALSE)</f>
        <v>0.03</v>
      </c>
      <c r="AM271" s="50">
        <f t="shared" si="102"/>
        <v>2.75E-2</v>
      </c>
      <c r="AN271" s="72">
        <f t="shared" si="103"/>
        <v>0.12790697674418605</v>
      </c>
      <c r="AO271" s="84">
        <f t="shared" si="104"/>
        <v>7.6453719743711434E-3</v>
      </c>
      <c r="AP271" s="84">
        <f t="shared" si="105"/>
        <v>1.2180209420977696E-2</v>
      </c>
      <c r="AQ271" s="55">
        <f t="shared" si="106"/>
        <v>358139.53488372103</v>
      </c>
      <c r="AR271" s="55">
        <f t="shared" si="107"/>
        <v>434883.72093023261</v>
      </c>
      <c r="AS271" s="83">
        <f t="shared" si="96"/>
        <v>41</v>
      </c>
      <c r="AT271" s="50">
        <f t="shared" si="108"/>
        <v>2.5</v>
      </c>
      <c r="AU271" s="55" t="str">
        <f t="shared" si="109"/>
        <v>Low</v>
      </c>
      <c r="AV271" s="34" t="s">
        <v>1505</v>
      </c>
      <c r="AW271" s="111"/>
      <c r="AX271" s="30" t="s">
        <v>1493</v>
      </c>
      <c r="AY271" s="30"/>
      <c r="AZ271" s="85" t="str">
        <f>IF(ISERROR(_xlfn.XLOOKUP(CONCATENATE(A271,"_",AV271),'Reference-Proof pt impact flag'!$I$3:$I$1048576,'Reference-Proof pt impact flag'!$G$3:$G$1048576)),"",_xlfn.XLOOKUP(CONCATENATE(A271,"_",AV271),'Reference-Proof pt impact flag'!$I$3:$I$1048576,'Reference-Proof pt impact flag'!$G$3:$G$1048576))</f>
        <v/>
      </c>
      <c r="BA271" s="74"/>
      <c r="BB271" s="74"/>
      <c r="BC271" s="74"/>
      <c r="BD271" s="74"/>
      <c r="BE271" s="74"/>
      <c r="BF271" s="74" t="e">
        <f>_xlfn.XLOOKUP(CONCATENATE(H271,"_",AV271),'Test 2 - Proof points - GPT5'!$T:$T,'Test 2 - Proof points - GPT5'!$S:$S)</f>
        <v>#N/A</v>
      </c>
      <c r="BG271" s="74" t="e">
        <f>_xlfn.XLOOKUP(CONCATENATE(H271,"_",AV271),'Test 2 -Proof points - Sonnet'!$AB:$AB,'Test 2 -Proof points - Sonnet'!$AA:$AA)</f>
        <v>#N/A</v>
      </c>
      <c r="BH271" s="74"/>
      <c r="BI271" s="74"/>
      <c r="BJ271" s="74" t="s">
        <v>1605</v>
      </c>
      <c r="BK271" s="30"/>
      <c r="BL271" s="30"/>
      <c r="BM271" s="30"/>
      <c r="BN271" s="30"/>
      <c r="BO271" s="30"/>
      <c r="BP271" s="30"/>
      <c r="BQ271" s="30"/>
      <c r="BR271" s="30"/>
      <c r="BS271" s="30"/>
      <c r="BT271" s="30"/>
      <c r="BU271" s="30"/>
      <c r="BV271" s="113"/>
    </row>
    <row r="272" spans="1:74" ht="217.5" hidden="1" x14ac:dyDescent="0.35">
      <c r="A272" s="22">
        <v>7</v>
      </c>
      <c r="B272" s="22" t="s">
        <v>1451</v>
      </c>
      <c r="C272" s="22" t="s">
        <v>1452</v>
      </c>
      <c r="D272" s="22" t="s">
        <v>1224</v>
      </c>
      <c r="E272" s="22" t="s">
        <v>1453</v>
      </c>
      <c r="F272" s="22"/>
      <c r="G272" s="22" t="s">
        <v>1274</v>
      </c>
      <c r="H272" s="21" t="s">
        <v>1278</v>
      </c>
      <c r="I272" s="22"/>
      <c r="J272" s="21" t="s">
        <v>1331</v>
      </c>
      <c r="K272" s="30"/>
      <c r="L272" s="30" t="s">
        <v>1277</v>
      </c>
      <c r="M272" s="35" t="str">
        <f>VLOOKUP(H272,'1_Value &amp; risk levers'!$H$9:$O$1048576,2,FALSE)</f>
        <v>Not considered</v>
      </c>
      <c r="N272" s="35" t="str">
        <f>VLOOKUP(H272,'1_Value &amp; risk levers'!$H$9:$O$1048576,3,FALSE)</f>
        <v>Limited exploration of alternative origins</v>
      </c>
      <c r="O272" s="35" t="str">
        <f>VLOOKUP(H272,'1_Value &amp; risk levers'!$H$9:$O$1048576,4,FALSE)</f>
        <v>Regularly sourcing from diverse origins</v>
      </c>
      <c r="P272" s="35" t="str">
        <f>VLOOKUP(H272,'1_Value &amp; risk levers'!$H$9:$O$1048576,5,FALSE)</f>
        <v>Fully optimized global sourcing with risk mitigation plans</v>
      </c>
      <c r="Q272" s="77">
        <f>IF(VLOOKUP(H272,'1_Value &amp; risk levers'!$H$9:$T$1048576,13,FALSE)=0,"",VLOOKUP(H272,'1_Value &amp; risk levers'!$H$9:$T$1048576,13,FALSE))</f>
        <v>1</v>
      </c>
      <c r="R272" s="128">
        <f t="shared" si="93"/>
        <v>2</v>
      </c>
      <c r="S272" s="128" t="e">
        <f t="shared" si="94"/>
        <v>#DIV/0!</v>
      </c>
      <c r="T272" s="77"/>
      <c r="U272" s="77"/>
      <c r="V272" s="55"/>
      <c r="W272" s="71">
        <v>0.04</v>
      </c>
      <c r="X272" s="71">
        <v>0.1</v>
      </c>
      <c r="Y272" s="71">
        <f>VLOOKUP(H272,'1_Value &amp; risk levers'!$H$9:$O$1048576,8,FALSE)</f>
        <v>0.8</v>
      </c>
      <c r="Z272" s="51">
        <f t="shared" si="95"/>
        <v>7.0000000000000007E-2</v>
      </c>
      <c r="AA272" s="51">
        <f t="shared" si="97"/>
        <v>8.5000000000000006E-2</v>
      </c>
      <c r="AB272" s="55">
        <f t="shared" si="88"/>
        <v>2800000.0000000005</v>
      </c>
      <c r="AC272" s="55">
        <f t="shared" si="89"/>
        <v>3400000.0000000005</v>
      </c>
      <c r="AD272" s="80">
        <f t="shared" si="98"/>
        <v>7</v>
      </c>
      <c r="AE272" s="84">
        <f t="shared" si="99"/>
        <v>0.48864540816326468</v>
      </c>
      <c r="AF272" s="71" t="str">
        <f t="shared" si="90"/>
        <v>Low</v>
      </c>
      <c r="AG272" s="84">
        <f t="shared" si="100"/>
        <v>5.9772908163265304E-2</v>
      </c>
      <c r="AH272" s="84">
        <f t="shared" si="101"/>
        <v>9.5227091836734709E-2</v>
      </c>
      <c r="AI272" s="73">
        <f t="shared" si="91"/>
        <v>2390916.3265306121</v>
      </c>
      <c r="AJ272" s="73">
        <f t="shared" si="92"/>
        <v>3809083.6734693884</v>
      </c>
      <c r="AK272" s="46">
        <f>VLOOKUP(H272,'1_Value &amp; risk levers'!$H$9:$O$1048576,6,FALSE)</f>
        <v>0.02</v>
      </c>
      <c r="AL272" s="46">
        <f>VLOOKUP(H272,'1_Value &amp; risk levers'!$H$9:$O$1048576,7,FALSE)</f>
        <v>0.03</v>
      </c>
      <c r="AM272" s="50">
        <f t="shared" si="102"/>
        <v>2.75E-2</v>
      </c>
      <c r="AN272" s="72">
        <f t="shared" si="103"/>
        <v>0.12790697674418605</v>
      </c>
      <c r="AO272" s="84">
        <f t="shared" si="104"/>
        <v>7.6453719743711434E-3</v>
      </c>
      <c r="AP272" s="84">
        <f t="shared" si="105"/>
        <v>1.2180209420977696E-2</v>
      </c>
      <c r="AQ272" s="55">
        <f t="shared" si="106"/>
        <v>358139.53488372103</v>
      </c>
      <c r="AR272" s="55">
        <f t="shared" si="107"/>
        <v>434883.72093023261</v>
      </c>
      <c r="AS272" s="83">
        <f t="shared" si="96"/>
        <v>41</v>
      </c>
      <c r="AT272" s="50">
        <f t="shared" si="108"/>
        <v>2.5</v>
      </c>
      <c r="AU272" s="55" t="str">
        <f t="shared" si="109"/>
        <v>Low</v>
      </c>
      <c r="AV272" s="34" t="s">
        <v>1506</v>
      </c>
      <c r="AW272" s="111"/>
      <c r="AX272" s="30" t="s">
        <v>1493</v>
      </c>
      <c r="AY272" s="27" t="s">
        <v>1609</v>
      </c>
      <c r="AZ272" s="85" t="str">
        <f>IF(ISERROR(_xlfn.XLOOKUP(CONCATENATE(A272,"_",AV272),'Reference-Proof pt impact flag'!$I$3:$I$1048576,'Reference-Proof pt impact flag'!$G$3:$G$1048576)),"",_xlfn.XLOOKUP(CONCATENATE(A272,"_",AV272),'Reference-Proof pt impact flag'!$I$3:$I$1048576,'Reference-Proof pt impact flag'!$G$3:$G$1048576))</f>
        <v>Low</v>
      </c>
      <c r="BA272" s="27" t="s">
        <v>1458</v>
      </c>
      <c r="BB272" s="30" t="s">
        <v>1446</v>
      </c>
      <c r="BC272" s="27" t="s">
        <v>1541</v>
      </c>
      <c r="BD272" s="85" t="s">
        <v>327</v>
      </c>
      <c r="BE272" s="74"/>
      <c r="BF272" s="74" t="str">
        <f>_xlfn.XLOOKUP(CONCATENATE(H272,"_",AV272),'Test 2 - Proof points - GPT5'!$T:$T,'Test 2 - Proof points - GPT5'!$S:$S)</f>
        <v>Tariff sensitivity: Landed cost for imported veg oils can swing materially with duty/cess changes. Actions: monitor HS 1512/1515 lines for target lanes (Malaysia/India); design pass-through clauses and buffer stock. Where duty arbitrage exists, explore tolling or third-country transshipment in compliance with rules of origin.</v>
      </c>
      <c r="BG272" s="74" t="e">
        <f>_xlfn.XLOOKUP(CONCATENATE(H272,"_",AV272),'Test 2 -Proof points - Sonnet'!$AB:$AB,'Test 2 -Proof points - Sonnet'!$AA:$AA)</f>
        <v>#N/A</v>
      </c>
      <c r="BH272" s="74" t="s">
        <v>1603</v>
      </c>
      <c r="BI272" s="74"/>
      <c r="BJ272" s="74" t="s">
        <v>1605</v>
      </c>
      <c r="BK272" s="30" t="s">
        <v>132</v>
      </c>
      <c r="BL272" s="30"/>
      <c r="BM272" s="30"/>
      <c r="BN272" s="30" t="s">
        <v>132</v>
      </c>
      <c r="BO272" s="30"/>
      <c r="BP272" s="30"/>
      <c r="BQ272" s="30"/>
      <c r="BR272" s="30"/>
      <c r="BS272" s="30"/>
      <c r="BT272" s="30"/>
      <c r="BU272" s="30"/>
      <c r="BV272" s="113" t="s">
        <v>132</v>
      </c>
    </row>
    <row r="273" spans="1:74" ht="217.5" hidden="1" x14ac:dyDescent="0.35">
      <c r="A273" s="22">
        <v>7</v>
      </c>
      <c r="B273" s="22" t="s">
        <v>1451</v>
      </c>
      <c r="C273" s="22" t="s">
        <v>1452</v>
      </c>
      <c r="D273" s="22" t="s">
        <v>1224</v>
      </c>
      <c r="E273" s="22" t="s">
        <v>1453</v>
      </c>
      <c r="F273" s="22"/>
      <c r="G273" s="22" t="s">
        <v>1274</v>
      </c>
      <c r="H273" s="21" t="s">
        <v>1278</v>
      </c>
      <c r="I273" s="22"/>
      <c r="J273" s="21" t="s">
        <v>1331</v>
      </c>
      <c r="K273" s="30"/>
      <c r="L273" s="30" t="s">
        <v>1277</v>
      </c>
      <c r="M273" s="35" t="str">
        <f>VLOOKUP(H273,'1_Value &amp; risk levers'!$H$9:$O$1048576,2,FALSE)</f>
        <v>Not considered</v>
      </c>
      <c r="N273" s="35" t="str">
        <f>VLOOKUP(H273,'1_Value &amp; risk levers'!$H$9:$O$1048576,3,FALSE)</f>
        <v>Limited exploration of alternative origins</v>
      </c>
      <c r="O273" s="35" t="str">
        <f>VLOOKUP(H273,'1_Value &amp; risk levers'!$H$9:$O$1048576,4,FALSE)</f>
        <v>Regularly sourcing from diverse origins</v>
      </c>
      <c r="P273" s="35" t="str">
        <f>VLOOKUP(H273,'1_Value &amp; risk levers'!$H$9:$O$1048576,5,FALSE)</f>
        <v>Fully optimized global sourcing with risk mitigation plans</v>
      </c>
      <c r="Q273" s="77">
        <f>IF(VLOOKUP(H273,'1_Value &amp; risk levers'!$H$9:$T$1048576,13,FALSE)=0,"",VLOOKUP(H273,'1_Value &amp; risk levers'!$H$9:$T$1048576,13,FALSE))</f>
        <v>1</v>
      </c>
      <c r="R273" s="128">
        <f t="shared" si="93"/>
        <v>2</v>
      </c>
      <c r="S273" s="128" t="e">
        <f t="shared" si="94"/>
        <v>#DIV/0!</v>
      </c>
      <c r="T273" s="77"/>
      <c r="U273" s="77"/>
      <c r="V273" s="55"/>
      <c r="W273" s="71">
        <v>0.04</v>
      </c>
      <c r="X273" s="71">
        <v>0.1</v>
      </c>
      <c r="Y273" s="71">
        <f>VLOOKUP(H273,'1_Value &amp; risk levers'!$H$9:$O$1048576,8,FALSE)</f>
        <v>0.8</v>
      </c>
      <c r="Z273" s="51">
        <f t="shared" si="95"/>
        <v>7.0000000000000007E-2</v>
      </c>
      <c r="AA273" s="51">
        <f t="shared" si="97"/>
        <v>8.5000000000000006E-2</v>
      </c>
      <c r="AB273" s="55">
        <f t="shared" si="88"/>
        <v>2800000.0000000005</v>
      </c>
      <c r="AC273" s="55">
        <f t="shared" si="89"/>
        <v>3400000.0000000005</v>
      </c>
      <c r="AD273" s="80">
        <f t="shared" si="98"/>
        <v>7</v>
      </c>
      <c r="AE273" s="84">
        <f t="shared" si="99"/>
        <v>0.48864540816326468</v>
      </c>
      <c r="AF273" s="71" t="str">
        <f t="shared" si="90"/>
        <v>Low</v>
      </c>
      <c r="AG273" s="84">
        <f t="shared" si="100"/>
        <v>5.9772908163265304E-2</v>
      </c>
      <c r="AH273" s="84">
        <f t="shared" si="101"/>
        <v>9.5227091836734709E-2</v>
      </c>
      <c r="AI273" s="73">
        <f t="shared" si="91"/>
        <v>2390916.3265306121</v>
      </c>
      <c r="AJ273" s="73">
        <f t="shared" si="92"/>
        <v>3809083.6734693884</v>
      </c>
      <c r="AK273" s="46">
        <f>VLOOKUP(H273,'1_Value &amp; risk levers'!$H$9:$O$1048576,6,FALSE)</f>
        <v>0.02</v>
      </c>
      <c r="AL273" s="46">
        <f>VLOOKUP(H273,'1_Value &amp; risk levers'!$H$9:$O$1048576,7,FALSE)</f>
        <v>0.03</v>
      </c>
      <c r="AM273" s="50">
        <f t="shared" si="102"/>
        <v>2.75E-2</v>
      </c>
      <c r="AN273" s="72">
        <f t="shared" si="103"/>
        <v>0.12790697674418605</v>
      </c>
      <c r="AO273" s="84">
        <f t="shared" si="104"/>
        <v>7.6453719743711434E-3</v>
      </c>
      <c r="AP273" s="84">
        <f t="shared" si="105"/>
        <v>1.2180209420977696E-2</v>
      </c>
      <c r="AQ273" s="55">
        <f t="shared" si="106"/>
        <v>358139.53488372103</v>
      </c>
      <c r="AR273" s="55">
        <f t="shared" si="107"/>
        <v>434883.72093023261</v>
      </c>
      <c r="AS273" s="83">
        <f t="shared" si="96"/>
        <v>41</v>
      </c>
      <c r="AT273" s="50">
        <f t="shared" si="108"/>
        <v>2.5</v>
      </c>
      <c r="AU273" s="55" t="str">
        <f t="shared" si="109"/>
        <v>Low</v>
      </c>
      <c r="AV273" s="34" t="s">
        <v>1507</v>
      </c>
      <c r="AW273" s="111"/>
      <c r="AX273" s="30" t="s">
        <v>1493</v>
      </c>
      <c r="AY273" s="30"/>
      <c r="AZ273" s="85" t="str">
        <f>IF(ISERROR(_xlfn.XLOOKUP(CONCATENATE(A273,"_",AV273),'Reference-Proof pt impact flag'!$I$3:$I$1048576,'Reference-Proof pt impact flag'!$G$3:$G$1048576)),"",_xlfn.XLOOKUP(CONCATENATE(A273,"_",AV273),'Reference-Proof pt impact flag'!$I$3:$I$1048576,'Reference-Proof pt impact flag'!$G$3:$G$1048576))</f>
        <v/>
      </c>
      <c r="BA273" s="74"/>
      <c r="BB273" s="74"/>
      <c r="BC273" s="74"/>
      <c r="BD273" s="74"/>
      <c r="BE273" s="74"/>
      <c r="BF273" s="74" t="e">
        <f>_xlfn.XLOOKUP(CONCATENATE(H273,"_",AV273),'Test 2 - Proof points - GPT5'!$T:$T,'Test 2 - Proof points - GPT5'!$S:$S)</f>
        <v>#N/A</v>
      </c>
      <c r="BG273" s="74" t="e">
        <f>_xlfn.XLOOKUP(CONCATENATE(H273,"_",AV273),'Test 2 -Proof points - Sonnet'!$AB:$AB,'Test 2 -Proof points - Sonnet'!$AA:$AA)</f>
        <v>#N/A</v>
      </c>
      <c r="BH273" s="74"/>
      <c r="BI273" s="74"/>
      <c r="BJ273" s="74" t="s">
        <v>1605</v>
      </c>
      <c r="BK273" s="30"/>
      <c r="BL273" s="30"/>
      <c r="BM273" s="30"/>
      <c r="BN273" s="30"/>
      <c r="BO273" s="30"/>
      <c r="BP273" s="30"/>
      <c r="BQ273" s="30"/>
      <c r="BR273" s="30"/>
      <c r="BS273" s="30"/>
      <c r="BT273" s="30"/>
      <c r="BU273" s="30"/>
      <c r="BV273" s="113"/>
    </row>
    <row r="274" spans="1:74" ht="217.5" hidden="1" x14ac:dyDescent="0.35">
      <c r="A274" s="22">
        <v>7</v>
      </c>
      <c r="B274" s="22" t="s">
        <v>1451</v>
      </c>
      <c r="C274" s="22" t="s">
        <v>1452</v>
      </c>
      <c r="D274" s="22" t="s">
        <v>1224</v>
      </c>
      <c r="E274" s="22" t="s">
        <v>1453</v>
      </c>
      <c r="F274" s="22"/>
      <c r="G274" s="22" t="s">
        <v>1274</v>
      </c>
      <c r="H274" s="21" t="s">
        <v>1278</v>
      </c>
      <c r="I274" s="22"/>
      <c r="J274" s="21" t="s">
        <v>1331</v>
      </c>
      <c r="K274" s="30"/>
      <c r="L274" s="30" t="s">
        <v>1277</v>
      </c>
      <c r="M274" s="35" t="str">
        <f>VLOOKUP(H274,'1_Value &amp; risk levers'!$H$9:$O$1048576,2,FALSE)</f>
        <v>Not considered</v>
      </c>
      <c r="N274" s="35" t="str">
        <f>VLOOKUP(H274,'1_Value &amp; risk levers'!$H$9:$O$1048576,3,FALSE)</f>
        <v>Limited exploration of alternative origins</v>
      </c>
      <c r="O274" s="35" t="str">
        <f>VLOOKUP(H274,'1_Value &amp; risk levers'!$H$9:$O$1048576,4,FALSE)</f>
        <v>Regularly sourcing from diverse origins</v>
      </c>
      <c r="P274" s="35" t="str">
        <f>VLOOKUP(H274,'1_Value &amp; risk levers'!$H$9:$O$1048576,5,FALSE)</f>
        <v>Fully optimized global sourcing with risk mitigation plans</v>
      </c>
      <c r="Q274" s="77">
        <f>IF(VLOOKUP(H274,'1_Value &amp; risk levers'!$H$9:$T$1048576,13,FALSE)=0,"",VLOOKUP(H274,'1_Value &amp; risk levers'!$H$9:$T$1048576,13,FALSE))</f>
        <v>1</v>
      </c>
      <c r="R274" s="128">
        <f t="shared" si="93"/>
        <v>2</v>
      </c>
      <c r="S274" s="128" t="e">
        <f t="shared" si="94"/>
        <v>#DIV/0!</v>
      </c>
      <c r="T274" s="77"/>
      <c r="U274" s="77"/>
      <c r="V274" s="55"/>
      <c r="W274" s="71">
        <v>0.04</v>
      </c>
      <c r="X274" s="71">
        <v>0.1</v>
      </c>
      <c r="Y274" s="71">
        <f>VLOOKUP(H274,'1_Value &amp; risk levers'!$H$9:$O$1048576,8,FALSE)</f>
        <v>0.8</v>
      </c>
      <c r="Z274" s="51">
        <f t="shared" si="95"/>
        <v>7.0000000000000007E-2</v>
      </c>
      <c r="AA274" s="51">
        <f t="shared" si="97"/>
        <v>8.5000000000000006E-2</v>
      </c>
      <c r="AB274" s="55">
        <f t="shared" si="88"/>
        <v>2800000.0000000005</v>
      </c>
      <c r="AC274" s="55">
        <f t="shared" si="89"/>
        <v>3400000.0000000005</v>
      </c>
      <c r="AD274" s="80">
        <f t="shared" si="98"/>
        <v>7</v>
      </c>
      <c r="AE274" s="84">
        <f t="shared" si="99"/>
        <v>0.48864540816326468</v>
      </c>
      <c r="AF274" s="71" t="str">
        <f t="shared" si="90"/>
        <v>Low</v>
      </c>
      <c r="AG274" s="84">
        <f t="shared" si="100"/>
        <v>5.9772908163265304E-2</v>
      </c>
      <c r="AH274" s="84">
        <f t="shared" si="101"/>
        <v>9.5227091836734709E-2</v>
      </c>
      <c r="AI274" s="73">
        <f t="shared" si="91"/>
        <v>2390916.3265306121</v>
      </c>
      <c r="AJ274" s="73">
        <f t="shared" si="92"/>
        <v>3809083.6734693884</v>
      </c>
      <c r="AK274" s="46">
        <f>VLOOKUP(H274,'1_Value &amp; risk levers'!$H$9:$O$1048576,6,FALSE)</f>
        <v>0.02</v>
      </c>
      <c r="AL274" s="46">
        <f>VLOOKUP(H274,'1_Value &amp; risk levers'!$H$9:$O$1048576,7,FALSE)</f>
        <v>0.03</v>
      </c>
      <c r="AM274" s="50">
        <f t="shared" si="102"/>
        <v>2.75E-2</v>
      </c>
      <c r="AN274" s="72">
        <f t="shared" si="103"/>
        <v>0.12790697674418605</v>
      </c>
      <c r="AO274" s="84">
        <f t="shared" si="104"/>
        <v>7.6453719743711434E-3</v>
      </c>
      <c r="AP274" s="84">
        <f t="shared" si="105"/>
        <v>1.2180209420977696E-2</v>
      </c>
      <c r="AQ274" s="55">
        <f t="shared" si="106"/>
        <v>358139.53488372103</v>
      </c>
      <c r="AR274" s="55">
        <f t="shared" si="107"/>
        <v>434883.72093023261</v>
      </c>
      <c r="AS274" s="83">
        <f t="shared" si="96"/>
        <v>41</v>
      </c>
      <c r="AT274" s="50">
        <f t="shared" si="108"/>
        <v>2.5</v>
      </c>
      <c r="AU274" s="55" t="str">
        <f t="shared" si="109"/>
        <v>Low</v>
      </c>
      <c r="AV274" s="34" t="s">
        <v>1508</v>
      </c>
      <c r="AW274" s="111"/>
      <c r="AX274" s="30" t="s">
        <v>1493</v>
      </c>
      <c r="AY274" s="27" t="s">
        <v>1610</v>
      </c>
      <c r="AZ274" s="85" t="str">
        <f>IF(ISERROR(_xlfn.XLOOKUP(CONCATENATE(A274,"_",AV274),'Reference-Proof pt impact flag'!$I$3:$I$1048576,'Reference-Proof pt impact flag'!$G$3:$G$1048576)),"",_xlfn.XLOOKUP(CONCATENATE(A274,"_",AV274),'Reference-Proof pt impact flag'!$I$3:$I$1048576,'Reference-Proof pt impact flag'!$G$3:$G$1048576))</f>
        <v>Low</v>
      </c>
      <c r="BA274" s="27" t="s">
        <v>1458</v>
      </c>
      <c r="BB274" s="30" t="s">
        <v>1446</v>
      </c>
      <c r="BC274" s="27" t="s">
        <v>1611</v>
      </c>
      <c r="BD274" s="85" t="s">
        <v>327</v>
      </c>
      <c r="BE274" s="74"/>
      <c r="BF274" s="74" t="str">
        <f>_xlfn.XLOOKUP(CONCATENATE(H274,"_",AV274),'Test 2 - Proof points - GPT5'!$T:$T,'Test 2 - Proof points - GPT5'!$S:$S)</f>
        <v>Indicative cost stack (veg oils proxy): Direct Materials or Services: 55%; Net Margin: 10%; Energy &amp; Utilities: 3%; Depreciation: 3%; Labor: 3%. Actions: Tie price formula to feedstock index + FX; negotiate energy/freight passthrough floors/ceilings to avoid overpayment when input costs soften.</v>
      </c>
      <c r="BG274" s="74" t="e">
        <f>_xlfn.XLOOKUP(CONCATENATE(H274,"_",AV274),'Test 2 -Proof points - Sonnet'!$AB:$AB,'Test 2 -Proof points - Sonnet'!$AA:$AA)</f>
        <v>#N/A</v>
      </c>
      <c r="BH274" s="74" t="s">
        <v>1603</v>
      </c>
      <c r="BI274" s="74"/>
      <c r="BJ274" s="74" t="s">
        <v>1605</v>
      </c>
      <c r="BK274" s="30" t="s">
        <v>132</v>
      </c>
      <c r="BL274" s="30"/>
      <c r="BM274" s="30"/>
      <c r="BN274" s="30" t="s">
        <v>132</v>
      </c>
      <c r="BO274" s="30"/>
      <c r="BP274" s="30"/>
      <c r="BQ274" s="30"/>
      <c r="BR274" s="30"/>
      <c r="BS274" s="30"/>
      <c r="BT274" s="30"/>
      <c r="BU274" s="30"/>
      <c r="BV274" s="113" t="s">
        <v>132</v>
      </c>
    </row>
    <row r="275" spans="1:74" ht="217.5" hidden="1" x14ac:dyDescent="0.35">
      <c r="A275" s="22">
        <v>7</v>
      </c>
      <c r="B275" s="22" t="s">
        <v>1451</v>
      </c>
      <c r="C275" s="22" t="s">
        <v>1452</v>
      </c>
      <c r="D275" s="22" t="s">
        <v>1224</v>
      </c>
      <c r="E275" s="22" t="s">
        <v>1453</v>
      </c>
      <c r="F275" s="22"/>
      <c r="G275" s="22" t="s">
        <v>1274</v>
      </c>
      <c r="H275" s="21" t="s">
        <v>1278</v>
      </c>
      <c r="I275" s="22"/>
      <c r="J275" s="21" t="s">
        <v>1331</v>
      </c>
      <c r="K275" s="30"/>
      <c r="L275" s="30" t="s">
        <v>1277</v>
      </c>
      <c r="M275" s="35" t="str">
        <f>VLOOKUP(H275,'1_Value &amp; risk levers'!$H$9:$O$1048576,2,FALSE)</f>
        <v>Not considered</v>
      </c>
      <c r="N275" s="35" t="str">
        <f>VLOOKUP(H275,'1_Value &amp; risk levers'!$H$9:$O$1048576,3,FALSE)</f>
        <v>Limited exploration of alternative origins</v>
      </c>
      <c r="O275" s="35" t="str">
        <f>VLOOKUP(H275,'1_Value &amp; risk levers'!$H$9:$O$1048576,4,FALSE)</f>
        <v>Regularly sourcing from diverse origins</v>
      </c>
      <c r="P275" s="35" t="str">
        <f>VLOOKUP(H275,'1_Value &amp; risk levers'!$H$9:$O$1048576,5,FALSE)</f>
        <v>Fully optimized global sourcing with risk mitigation plans</v>
      </c>
      <c r="Q275" s="77">
        <f>IF(VLOOKUP(H275,'1_Value &amp; risk levers'!$H$9:$T$1048576,13,FALSE)=0,"",VLOOKUP(H275,'1_Value &amp; risk levers'!$H$9:$T$1048576,13,FALSE))</f>
        <v>1</v>
      </c>
      <c r="R275" s="128">
        <f t="shared" si="93"/>
        <v>2</v>
      </c>
      <c r="S275" s="128" t="e">
        <f t="shared" si="94"/>
        <v>#DIV/0!</v>
      </c>
      <c r="T275" s="77"/>
      <c r="U275" s="77"/>
      <c r="V275" s="55"/>
      <c r="W275" s="71">
        <v>0.04</v>
      </c>
      <c r="X275" s="71">
        <v>0.1</v>
      </c>
      <c r="Y275" s="71">
        <f>VLOOKUP(H275,'1_Value &amp; risk levers'!$H$9:$O$1048576,8,FALSE)</f>
        <v>0.8</v>
      </c>
      <c r="Z275" s="51">
        <f t="shared" si="95"/>
        <v>7.0000000000000007E-2</v>
      </c>
      <c r="AA275" s="51">
        <f t="shared" si="97"/>
        <v>8.5000000000000006E-2</v>
      </c>
      <c r="AB275" s="55">
        <f t="shared" si="88"/>
        <v>2800000.0000000005</v>
      </c>
      <c r="AC275" s="55">
        <f t="shared" si="89"/>
        <v>3400000.0000000005</v>
      </c>
      <c r="AD275" s="80">
        <f t="shared" si="98"/>
        <v>7</v>
      </c>
      <c r="AE275" s="84">
        <f t="shared" si="99"/>
        <v>0.48864540816326468</v>
      </c>
      <c r="AF275" s="71" t="str">
        <f t="shared" si="90"/>
        <v>Low</v>
      </c>
      <c r="AG275" s="84">
        <f t="shared" si="100"/>
        <v>5.9772908163265304E-2</v>
      </c>
      <c r="AH275" s="84">
        <f t="shared" si="101"/>
        <v>9.5227091836734709E-2</v>
      </c>
      <c r="AI275" s="73">
        <f t="shared" si="91"/>
        <v>2390916.3265306121</v>
      </c>
      <c r="AJ275" s="73">
        <f t="shared" si="92"/>
        <v>3809083.6734693884</v>
      </c>
      <c r="AK275" s="46">
        <f>VLOOKUP(H275,'1_Value &amp; risk levers'!$H$9:$O$1048576,6,FALSE)</f>
        <v>0.02</v>
      </c>
      <c r="AL275" s="46">
        <f>VLOOKUP(H275,'1_Value &amp; risk levers'!$H$9:$O$1048576,7,FALSE)</f>
        <v>0.03</v>
      </c>
      <c r="AM275" s="50">
        <f t="shared" si="102"/>
        <v>2.75E-2</v>
      </c>
      <c r="AN275" s="72">
        <f t="shared" si="103"/>
        <v>0.12790697674418605</v>
      </c>
      <c r="AO275" s="84">
        <f t="shared" si="104"/>
        <v>7.6453719743711434E-3</v>
      </c>
      <c r="AP275" s="84">
        <f t="shared" si="105"/>
        <v>1.2180209420977696E-2</v>
      </c>
      <c r="AQ275" s="55">
        <f t="shared" si="106"/>
        <v>358139.53488372103</v>
      </c>
      <c r="AR275" s="55">
        <f t="shared" si="107"/>
        <v>434883.72093023261</v>
      </c>
      <c r="AS275" s="83">
        <f t="shared" si="96"/>
        <v>41</v>
      </c>
      <c r="AT275" s="50">
        <f t="shared" si="108"/>
        <v>2.5</v>
      </c>
      <c r="AU275" s="55" t="str">
        <f t="shared" si="109"/>
        <v>Low</v>
      </c>
      <c r="AV275" s="34" t="s">
        <v>1509</v>
      </c>
      <c r="AW275" s="111"/>
      <c r="AX275" s="30" t="s">
        <v>1493</v>
      </c>
      <c r="AY275" s="30"/>
      <c r="AZ275" s="85" t="str">
        <f>IF(ISERROR(_xlfn.XLOOKUP(CONCATENATE(A275,"_",AV275),'Reference-Proof pt impact flag'!$I$3:$I$1048576,'Reference-Proof pt impact flag'!$G$3:$G$1048576)),"",_xlfn.XLOOKUP(CONCATENATE(A275,"_",AV275),'Reference-Proof pt impact flag'!$I$3:$I$1048576,'Reference-Proof pt impact flag'!$G$3:$G$1048576))</f>
        <v/>
      </c>
      <c r="BA275" s="74"/>
      <c r="BB275" s="74"/>
      <c r="BC275" s="74"/>
      <c r="BD275" s="74"/>
      <c r="BE275" s="74"/>
      <c r="BF275" s="74" t="e">
        <f>_xlfn.XLOOKUP(CONCATENATE(H275,"_",AV275),'Test 2 - Proof points - GPT5'!$T:$T,'Test 2 - Proof points - GPT5'!$S:$S)</f>
        <v>#N/A</v>
      </c>
      <c r="BG275" s="74" t="e">
        <f>_xlfn.XLOOKUP(CONCATENATE(H275,"_",AV275),'Test 2 -Proof points - Sonnet'!$AB:$AB,'Test 2 -Proof points - Sonnet'!$AA:$AA)</f>
        <v>#N/A</v>
      </c>
      <c r="BH275" s="74"/>
      <c r="BI275" s="74"/>
      <c r="BJ275" s="74" t="s">
        <v>1605</v>
      </c>
      <c r="BK275" s="30"/>
      <c r="BL275" s="30"/>
      <c r="BM275" s="30"/>
      <c r="BN275" s="30"/>
      <c r="BO275" s="30"/>
      <c r="BP275" s="30"/>
      <c r="BQ275" s="30"/>
      <c r="BR275" s="30"/>
      <c r="BS275" s="30"/>
      <c r="BT275" s="30"/>
      <c r="BU275" s="30"/>
      <c r="BV275" s="113"/>
    </row>
    <row r="276" spans="1:74" ht="217.5" hidden="1" x14ac:dyDescent="0.35">
      <c r="A276" s="22">
        <v>7</v>
      </c>
      <c r="B276" s="22" t="s">
        <v>1451</v>
      </c>
      <c r="C276" s="22" t="s">
        <v>1452</v>
      </c>
      <c r="D276" s="22" t="s">
        <v>1224</v>
      </c>
      <c r="E276" s="22" t="s">
        <v>1453</v>
      </c>
      <c r="F276" s="22"/>
      <c r="G276" s="22" t="s">
        <v>1274</v>
      </c>
      <c r="H276" s="21" t="s">
        <v>1278</v>
      </c>
      <c r="I276" s="22"/>
      <c r="J276" s="21" t="s">
        <v>1331</v>
      </c>
      <c r="K276" s="30"/>
      <c r="L276" s="30" t="s">
        <v>1277</v>
      </c>
      <c r="M276" s="35" t="str">
        <f>VLOOKUP(H276,'1_Value &amp; risk levers'!$H$9:$O$1048576,2,FALSE)</f>
        <v>Not considered</v>
      </c>
      <c r="N276" s="35" t="str">
        <f>VLOOKUP(H276,'1_Value &amp; risk levers'!$H$9:$O$1048576,3,FALSE)</f>
        <v>Limited exploration of alternative origins</v>
      </c>
      <c r="O276" s="35" t="str">
        <f>VLOOKUP(H276,'1_Value &amp; risk levers'!$H$9:$O$1048576,4,FALSE)</f>
        <v>Regularly sourcing from diverse origins</v>
      </c>
      <c r="P276" s="35" t="str">
        <f>VLOOKUP(H276,'1_Value &amp; risk levers'!$H$9:$O$1048576,5,FALSE)</f>
        <v>Fully optimized global sourcing with risk mitigation plans</v>
      </c>
      <c r="Q276" s="128">
        <f>IF(VLOOKUP(H276,'1_Value &amp; risk levers'!$H$9:$T$1048576,13,FALSE)=0,"",VLOOKUP(H276,'1_Value &amp; risk levers'!$H$9:$T$1048576,13,FALSE))</f>
        <v>1</v>
      </c>
      <c r="R276" s="128">
        <f t="shared" si="93"/>
        <v>2</v>
      </c>
      <c r="S276" s="128" t="e">
        <f t="shared" si="94"/>
        <v>#DIV/0!</v>
      </c>
      <c r="T276" s="77"/>
      <c r="U276" s="77"/>
      <c r="V276" s="55"/>
      <c r="W276" s="71">
        <v>0.04</v>
      </c>
      <c r="X276" s="71">
        <v>0.1</v>
      </c>
      <c r="Y276" s="71">
        <f>VLOOKUP(H276,'1_Value &amp; risk levers'!$H$9:$O$1048576,8,FALSE)</f>
        <v>0.8</v>
      </c>
      <c r="Z276" s="51">
        <f t="shared" si="95"/>
        <v>7.0000000000000007E-2</v>
      </c>
      <c r="AA276" s="51">
        <f t="shared" si="97"/>
        <v>8.5000000000000006E-2</v>
      </c>
      <c r="AB276" s="55">
        <f t="shared" si="88"/>
        <v>2800000.0000000005</v>
      </c>
      <c r="AC276" s="55">
        <f t="shared" si="89"/>
        <v>3400000.0000000005</v>
      </c>
      <c r="AD276" s="80">
        <f t="shared" si="98"/>
        <v>7</v>
      </c>
      <c r="AE276" s="84">
        <f t="shared" si="99"/>
        <v>0.48864540816326468</v>
      </c>
      <c r="AF276" s="71" t="str">
        <f t="shared" si="90"/>
        <v>Low</v>
      </c>
      <c r="AG276" s="84">
        <f t="shared" si="100"/>
        <v>5.9772908163265304E-2</v>
      </c>
      <c r="AH276" s="84">
        <f t="shared" si="101"/>
        <v>9.5227091836734709E-2</v>
      </c>
      <c r="AI276" s="73">
        <f t="shared" si="91"/>
        <v>2390916.3265306121</v>
      </c>
      <c r="AJ276" s="73">
        <f t="shared" si="92"/>
        <v>3809083.6734693884</v>
      </c>
      <c r="AK276" s="46">
        <f>VLOOKUP(H276,'1_Value &amp; risk levers'!$H$9:$O$1048576,6,FALSE)</f>
        <v>0.02</v>
      </c>
      <c r="AL276" s="46">
        <f>VLOOKUP(H276,'1_Value &amp; risk levers'!$H$9:$O$1048576,7,FALSE)</f>
        <v>0.03</v>
      </c>
      <c r="AM276" s="50">
        <f t="shared" si="102"/>
        <v>2.75E-2</v>
      </c>
      <c r="AN276" s="72">
        <f t="shared" si="103"/>
        <v>0.12790697674418605</v>
      </c>
      <c r="AO276" s="84">
        <f t="shared" si="104"/>
        <v>7.6453719743711434E-3</v>
      </c>
      <c r="AP276" s="84">
        <f t="shared" si="105"/>
        <v>1.2180209420977696E-2</v>
      </c>
      <c r="AQ276" s="55">
        <f t="shared" si="106"/>
        <v>358139.53488372103</v>
      </c>
      <c r="AR276" s="55">
        <f t="shared" si="107"/>
        <v>434883.72093023261</v>
      </c>
      <c r="AS276" s="83">
        <f t="shared" si="96"/>
        <v>41</v>
      </c>
      <c r="AT276" s="50">
        <f t="shared" si="108"/>
        <v>2.5</v>
      </c>
      <c r="AU276" s="55" t="str">
        <f t="shared" si="109"/>
        <v>Low</v>
      </c>
      <c r="AV276" s="34" t="s">
        <v>1510</v>
      </c>
      <c r="AW276" s="111"/>
      <c r="AX276" s="30" t="s">
        <v>1493</v>
      </c>
      <c r="AY276" s="27" t="s">
        <v>1612</v>
      </c>
      <c r="AZ276" s="85" t="str">
        <f>IF(ISERROR(_xlfn.XLOOKUP(CONCATENATE(A276,"_",AV276),'Reference-Proof pt impact flag'!$I$3:$I$1048576,'Reference-Proof pt impact flag'!$G$3:$G$1048576)),"",_xlfn.XLOOKUP(CONCATENATE(A276,"_",AV276),'Reference-Proof pt impact flag'!$I$3:$I$1048576,'Reference-Proof pt impact flag'!$G$3:$G$1048576))</f>
        <v>Low</v>
      </c>
      <c r="BA276" s="27" t="s">
        <v>1458</v>
      </c>
      <c r="BB276" s="30" t="s">
        <v>1446</v>
      </c>
      <c r="BC276" s="27" t="s">
        <v>1611</v>
      </c>
      <c r="BD276" s="85" t="s">
        <v>327</v>
      </c>
      <c r="BE276" s="74"/>
      <c r="BF276" s="74" t="str">
        <f>_xlfn.XLOOKUP(CONCATENATE(H276,"_",AV276),'Test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BG276" s="74" t="e">
        <f>_xlfn.XLOOKUP(CONCATENATE(H276,"_",AV276),'Test 2 -Proof points - Sonnet'!$AB:$AB,'Test 2 -Proof points - Sonnet'!$AA:$AA)</f>
        <v>#N/A</v>
      </c>
      <c r="BH276" s="74" t="s">
        <v>1603</v>
      </c>
      <c r="BI276" s="74"/>
      <c r="BJ276" s="74" t="s">
        <v>1605</v>
      </c>
      <c r="BK276" s="30" t="s">
        <v>132</v>
      </c>
      <c r="BL276" s="30"/>
      <c r="BM276" s="30"/>
      <c r="BN276" s="30" t="s">
        <v>132</v>
      </c>
      <c r="BO276" s="30"/>
      <c r="BP276" s="30"/>
      <c r="BQ276" s="30"/>
      <c r="BR276" s="30"/>
      <c r="BS276" s="30"/>
      <c r="BT276" s="30"/>
      <c r="BU276" s="30"/>
      <c r="BV276" s="113" t="s">
        <v>132</v>
      </c>
    </row>
    <row r="277" spans="1:74" ht="217.5" hidden="1" x14ac:dyDescent="0.35">
      <c r="A277" s="22">
        <v>7</v>
      </c>
      <c r="B277" s="22" t="s">
        <v>1451</v>
      </c>
      <c r="C277" s="22" t="s">
        <v>1452</v>
      </c>
      <c r="D277" s="22" t="s">
        <v>1224</v>
      </c>
      <c r="E277" s="22" t="s">
        <v>1453</v>
      </c>
      <c r="F277" s="22"/>
      <c r="G277" s="22" t="s">
        <v>1274</v>
      </c>
      <c r="H277" s="21" t="s">
        <v>1278</v>
      </c>
      <c r="I277" s="22"/>
      <c r="J277" s="21" t="s">
        <v>1331</v>
      </c>
      <c r="K277" s="30"/>
      <c r="L277" s="30" t="s">
        <v>1277</v>
      </c>
      <c r="M277" s="35" t="str">
        <f>VLOOKUP(H277,'1_Value &amp; risk levers'!$H$9:$O$1048576,2,FALSE)</f>
        <v>Not considered</v>
      </c>
      <c r="N277" s="35" t="str">
        <f>VLOOKUP(H277,'1_Value &amp; risk levers'!$H$9:$O$1048576,3,FALSE)</f>
        <v>Limited exploration of alternative origins</v>
      </c>
      <c r="O277" s="35" t="str">
        <f>VLOOKUP(H277,'1_Value &amp; risk levers'!$H$9:$O$1048576,4,FALSE)</f>
        <v>Regularly sourcing from diverse origins</v>
      </c>
      <c r="P277" s="35" t="str">
        <f>VLOOKUP(H277,'1_Value &amp; risk levers'!$H$9:$O$1048576,5,FALSE)</f>
        <v>Fully optimized global sourcing with risk mitigation plans</v>
      </c>
      <c r="Q277" s="77">
        <f>IF(VLOOKUP(H277,'1_Value &amp; risk levers'!$H$9:$T$1048576,13,FALSE)=0,"",VLOOKUP(H277,'1_Value &amp; risk levers'!$H$9:$T$1048576,13,FALSE))</f>
        <v>1</v>
      </c>
      <c r="R277" s="128">
        <f t="shared" si="93"/>
        <v>2</v>
      </c>
      <c r="S277" s="128" t="e">
        <f t="shared" si="94"/>
        <v>#DIV/0!</v>
      </c>
      <c r="T277" s="77"/>
      <c r="U277" s="77"/>
      <c r="V277" s="55"/>
      <c r="W277" s="71">
        <v>0.04</v>
      </c>
      <c r="X277" s="71">
        <v>0.1</v>
      </c>
      <c r="Y277" s="71">
        <f>VLOOKUP(H277,'1_Value &amp; risk levers'!$H$9:$O$1048576,8,FALSE)</f>
        <v>0.8</v>
      </c>
      <c r="Z277" s="51">
        <f t="shared" si="95"/>
        <v>7.0000000000000007E-2</v>
      </c>
      <c r="AA277" s="51">
        <f t="shared" si="97"/>
        <v>8.5000000000000006E-2</v>
      </c>
      <c r="AB277" s="55">
        <f t="shared" si="88"/>
        <v>2800000.0000000005</v>
      </c>
      <c r="AC277" s="55">
        <f t="shared" si="89"/>
        <v>3400000.0000000005</v>
      </c>
      <c r="AD277" s="80">
        <f t="shared" si="98"/>
        <v>7</v>
      </c>
      <c r="AE277" s="84">
        <f t="shared" si="99"/>
        <v>0.48864540816326468</v>
      </c>
      <c r="AF277" s="71" t="str">
        <f t="shared" si="90"/>
        <v>Low</v>
      </c>
      <c r="AG277" s="84">
        <f t="shared" si="100"/>
        <v>5.9772908163265304E-2</v>
      </c>
      <c r="AH277" s="84">
        <f t="shared" si="101"/>
        <v>9.5227091836734709E-2</v>
      </c>
      <c r="AI277" s="73">
        <f t="shared" si="91"/>
        <v>2390916.3265306121</v>
      </c>
      <c r="AJ277" s="73">
        <f t="shared" si="92"/>
        <v>3809083.6734693884</v>
      </c>
      <c r="AK277" s="46">
        <f>VLOOKUP(H277,'1_Value &amp; risk levers'!$H$9:$O$1048576,6,FALSE)</f>
        <v>0.02</v>
      </c>
      <c r="AL277" s="46">
        <f>VLOOKUP(H277,'1_Value &amp; risk levers'!$H$9:$O$1048576,7,FALSE)</f>
        <v>0.03</v>
      </c>
      <c r="AM277" s="50">
        <f t="shared" si="102"/>
        <v>2.75E-2</v>
      </c>
      <c r="AN277" s="72">
        <f t="shared" si="103"/>
        <v>0.12790697674418605</v>
      </c>
      <c r="AO277" s="84">
        <f t="shared" si="104"/>
        <v>7.6453719743711434E-3</v>
      </c>
      <c r="AP277" s="84">
        <f t="shared" si="105"/>
        <v>1.2180209420977696E-2</v>
      </c>
      <c r="AQ277" s="55">
        <f t="shared" si="106"/>
        <v>358139.53488372103</v>
      </c>
      <c r="AR277" s="55">
        <f t="shared" si="107"/>
        <v>434883.72093023261</v>
      </c>
      <c r="AS277" s="83">
        <f t="shared" si="96"/>
        <v>41</v>
      </c>
      <c r="AT277" s="50">
        <f t="shared" si="108"/>
        <v>2.5</v>
      </c>
      <c r="AU277" s="55" t="str">
        <f t="shared" si="109"/>
        <v>Low</v>
      </c>
      <c r="AV277" s="34" t="s">
        <v>1511</v>
      </c>
      <c r="AW277" s="111"/>
      <c r="AX277" s="30" t="s">
        <v>1493</v>
      </c>
      <c r="AY277" s="27" t="s">
        <v>1613</v>
      </c>
      <c r="AZ277" s="85" t="str">
        <f>IF(ISERROR(_xlfn.XLOOKUP(CONCATENATE(A277,"_",AV277),'Reference-Proof pt impact flag'!$I$3:$I$1048576,'Reference-Proof pt impact flag'!$G$3:$G$1048576)),"",_xlfn.XLOOKUP(CONCATENATE(A277,"_",AV277),'Reference-Proof pt impact flag'!$I$3:$I$1048576,'Reference-Proof pt impact flag'!$G$3:$G$1048576))</f>
        <v>Low</v>
      </c>
      <c r="BA277" s="27" t="s">
        <v>1458</v>
      </c>
      <c r="BB277" s="30" t="s">
        <v>1446</v>
      </c>
      <c r="BC277" s="27" t="s">
        <v>1611</v>
      </c>
      <c r="BD277" s="85" t="s">
        <v>327</v>
      </c>
      <c r="BE277" s="74"/>
      <c r="BF277" s="74" t="str">
        <f>_xlfn.XLOOKUP(CONCATENATE(H277,"_",AV277),'Test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BG277" s="74" t="e">
        <f>_xlfn.XLOOKUP(CONCATENATE(H277,"_",AV277),'Test 2 -Proof points - Sonnet'!$AB:$AB,'Test 2 -Proof points - Sonnet'!$AA:$AA)</f>
        <v>#N/A</v>
      </c>
      <c r="BH277" s="74" t="s">
        <v>1603</v>
      </c>
      <c r="BI277" s="74"/>
      <c r="BJ277" s="74" t="s">
        <v>1605</v>
      </c>
      <c r="BK277" s="30" t="s">
        <v>132</v>
      </c>
      <c r="BL277" s="30"/>
      <c r="BM277" s="30"/>
      <c r="BN277" s="30" t="s">
        <v>132</v>
      </c>
      <c r="BO277" s="30"/>
      <c r="BP277" s="30"/>
      <c r="BQ277" s="30"/>
      <c r="BR277" s="30"/>
      <c r="BS277" s="30"/>
      <c r="BT277" s="30"/>
      <c r="BU277" s="30"/>
      <c r="BV277" s="113" t="s">
        <v>132</v>
      </c>
    </row>
    <row r="278" spans="1:74" ht="217.5" hidden="1" x14ac:dyDescent="0.35">
      <c r="A278" s="22">
        <v>7</v>
      </c>
      <c r="B278" s="22" t="s">
        <v>1451</v>
      </c>
      <c r="C278" s="22" t="s">
        <v>1452</v>
      </c>
      <c r="D278" s="22" t="s">
        <v>1224</v>
      </c>
      <c r="E278" s="22" t="s">
        <v>1453</v>
      </c>
      <c r="F278" s="22"/>
      <c r="G278" s="22" t="s">
        <v>1274</v>
      </c>
      <c r="H278" s="21" t="s">
        <v>1278</v>
      </c>
      <c r="I278" s="22"/>
      <c r="J278" s="21" t="s">
        <v>1331</v>
      </c>
      <c r="K278" s="30"/>
      <c r="L278" s="30" t="s">
        <v>1277</v>
      </c>
      <c r="M278" s="35" t="str">
        <f>VLOOKUP(H278,'1_Value &amp; risk levers'!$H$9:$O$1048576,2,FALSE)</f>
        <v>Not considered</v>
      </c>
      <c r="N278" s="35" t="str">
        <f>VLOOKUP(H278,'1_Value &amp; risk levers'!$H$9:$O$1048576,3,FALSE)</f>
        <v>Limited exploration of alternative origins</v>
      </c>
      <c r="O278" s="35" t="str">
        <f>VLOOKUP(H278,'1_Value &amp; risk levers'!$H$9:$O$1048576,4,FALSE)</f>
        <v>Regularly sourcing from diverse origins</v>
      </c>
      <c r="P278" s="35" t="str">
        <f>VLOOKUP(H278,'1_Value &amp; risk levers'!$H$9:$O$1048576,5,FALSE)</f>
        <v>Fully optimized global sourcing with risk mitigation plans</v>
      </c>
      <c r="Q278" s="77">
        <f>IF(VLOOKUP(H278,'1_Value &amp; risk levers'!$H$9:$T$1048576,13,FALSE)=0,"",VLOOKUP(H278,'1_Value &amp; risk levers'!$H$9:$T$1048576,13,FALSE))</f>
        <v>1</v>
      </c>
      <c r="R278" s="128">
        <f t="shared" si="93"/>
        <v>2</v>
      </c>
      <c r="S278" s="128" t="e">
        <f t="shared" si="94"/>
        <v>#DIV/0!</v>
      </c>
      <c r="T278" s="77"/>
      <c r="U278" s="77"/>
      <c r="V278" s="55"/>
      <c r="W278" s="71">
        <v>0.04</v>
      </c>
      <c r="X278" s="71">
        <v>0.1</v>
      </c>
      <c r="Y278" s="71">
        <f>VLOOKUP(H278,'1_Value &amp; risk levers'!$H$9:$O$1048576,8,FALSE)</f>
        <v>0.8</v>
      </c>
      <c r="Z278" s="51">
        <f t="shared" si="95"/>
        <v>7.0000000000000007E-2</v>
      </c>
      <c r="AA278" s="51">
        <f t="shared" si="97"/>
        <v>8.5000000000000006E-2</v>
      </c>
      <c r="AB278" s="55">
        <f t="shared" si="88"/>
        <v>2800000.0000000005</v>
      </c>
      <c r="AC278" s="55">
        <f t="shared" si="89"/>
        <v>3400000.0000000005</v>
      </c>
      <c r="AD278" s="80">
        <f t="shared" si="98"/>
        <v>7</v>
      </c>
      <c r="AE278" s="84">
        <f t="shared" si="99"/>
        <v>0.48864540816326468</v>
      </c>
      <c r="AF278" s="71" t="str">
        <f t="shared" si="90"/>
        <v>Low</v>
      </c>
      <c r="AG278" s="84">
        <f t="shared" si="100"/>
        <v>5.9772908163265304E-2</v>
      </c>
      <c r="AH278" s="84">
        <f t="shared" si="101"/>
        <v>9.5227091836734709E-2</v>
      </c>
      <c r="AI278" s="73">
        <f t="shared" si="91"/>
        <v>2390916.3265306121</v>
      </c>
      <c r="AJ278" s="73">
        <f t="shared" si="92"/>
        <v>3809083.6734693884</v>
      </c>
      <c r="AK278" s="46">
        <f>VLOOKUP(H278,'1_Value &amp; risk levers'!$H$9:$O$1048576,6,FALSE)</f>
        <v>0.02</v>
      </c>
      <c r="AL278" s="46">
        <f>VLOOKUP(H278,'1_Value &amp; risk levers'!$H$9:$O$1048576,7,FALSE)</f>
        <v>0.03</v>
      </c>
      <c r="AM278" s="50">
        <f t="shared" si="102"/>
        <v>2.75E-2</v>
      </c>
      <c r="AN278" s="72">
        <f t="shared" si="103"/>
        <v>0.12790697674418605</v>
      </c>
      <c r="AO278" s="84">
        <f t="shared" si="104"/>
        <v>7.6453719743711434E-3</v>
      </c>
      <c r="AP278" s="84">
        <f t="shared" si="105"/>
        <v>1.2180209420977696E-2</v>
      </c>
      <c r="AQ278" s="55">
        <f t="shared" si="106"/>
        <v>358139.53488372103</v>
      </c>
      <c r="AR278" s="55">
        <f t="shared" si="107"/>
        <v>434883.72093023261</v>
      </c>
      <c r="AS278" s="83">
        <f t="shared" si="96"/>
        <v>41</v>
      </c>
      <c r="AT278" s="50">
        <f t="shared" si="108"/>
        <v>2.5</v>
      </c>
      <c r="AU278" s="55" t="str">
        <f t="shared" si="109"/>
        <v>Low</v>
      </c>
      <c r="AV278" s="34" t="s">
        <v>1512</v>
      </c>
      <c r="AW278" s="111"/>
      <c r="AX278" s="30" t="s">
        <v>1493</v>
      </c>
      <c r="AY278" s="27" t="s">
        <v>1614</v>
      </c>
      <c r="AZ278" s="85" t="str">
        <f>IF(ISERROR(_xlfn.XLOOKUP(CONCATENATE(A278,"_",AV278),'Reference-Proof pt impact flag'!$I$3:$I$1048576,'Reference-Proof pt impact flag'!$G$3:$G$1048576)),"",_xlfn.XLOOKUP(CONCATENATE(A278,"_",AV278),'Reference-Proof pt impact flag'!$I$3:$I$1048576,'Reference-Proof pt impact flag'!$G$3:$G$1048576))</f>
        <v>Low</v>
      </c>
      <c r="BA278" s="27" t="s">
        <v>1458</v>
      </c>
      <c r="BB278" s="30" t="s">
        <v>1449</v>
      </c>
      <c r="BC278" s="27" t="s">
        <v>1596</v>
      </c>
      <c r="BD278" s="85" t="s">
        <v>1521</v>
      </c>
      <c r="BE278" s="74"/>
      <c r="BF278" s="74" t="str">
        <f>_xlfn.XLOOKUP(CONCATENATE(H278,"_",AV278),'Test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BG278" s="74" t="e">
        <f>_xlfn.XLOOKUP(CONCATENATE(H278,"_",AV278),'Test 2 -Proof points - Sonnet'!$AB:$AB,'Test 2 -Proof points - Sonnet'!$AA:$AA)</f>
        <v>#N/A</v>
      </c>
      <c r="BH278" s="74" t="s">
        <v>1603</v>
      </c>
      <c r="BI278" s="74"/>
      <c r="BJ278" s="74" t="s">
        <v>1605</v>
      </c>
      <c r="BK278" s="30" t="s">
        <v>132</v>
      </c>
      <c r="BL278" s="30"/>
      <c r="BM278" s="30"/>
      <c r="BN278" s="30"/>
      <c r="BO278" s="30"/>
      <c r="BP278" s="30"/>
      <c r="BQ278" s="30"/>
      <c r="BR278" s="30"/>
      <c r="BS278" s="30"/>
      <c r="BT278" s="30"/>
      <c r="BU278" s="30"/>
      <c r="BV278" s="113" t="s">
        <v>132</v>
      </c>
    </row>
    <row r="279" spans="1:74" ht="217.5" hidden="1" x14ac:dyDescent="0.35">
      <c r="A279" s="22">
        <v>7</v>
      </c>
      <c r="B279" s="22" t="s">
        <v>1451</v>
      </c>
      <c r="C279" s="22" t="s">
        <v>1452</v>
      </c>
      <c r="D279" s="22" t="s">
        <v>1224</v>
      </c>
      <c r="E279" s="22" t="s">
        <v>1453</v>
      </c>
      <c r="F279" s="22"/>
      <c r="G279" s="22" t="s">
        <v>1274</v>
      </c>
      <c r="H279" s="21" t="s">
        <v>1278</v>
      </c>
      <c r="I279" s="22"/>
      <c r="J279" s="21" t="s">
        <v>1331</v>
      </c>
      <c r="K279" s="30"/>
      <c r="L279" s="30" t="s">
        <v>1277</v>
      </c>
      <c r="M279" s="35" t="str">
        <f>VLOOKUP(H279,'1_Value &amp; risk levers'!$H$9:$O$1048576,2,FALSE)</f>
        <v>Not considered</v>
      </c>
      <c r="N279" s="35" t="str">
        <f>VLOOKUP(H279,'1_Value &amp; risk levers'!$H$9:$O$1048576,3,FALSE)</f>
        <v>Limited exploration of alternative origins</v>
      </c>
      <c r="O279" s="35" t="str">
        <f>VLOOKUP(H279,'1_Value &amp; risk levers'!$H$9:$O$1048576,4,FALSE)</f>
        <v>Regularly sourcing from diverse origins</v>
      </c>
      <c r="P279" s="35" t="str">
        <f>VLOOKUP(H279,'1_Value &amp; risk levers'!$H$9:$O$1048576,5,FALSE)</f>
        <v>Fully optimized global sourcing with risk mitigation plans</v>
      </c>
      <c r="Q279" s="77">
        <f>IF(VLOOKUP(H279,'1_Value &amp; risk levers'!$H$9:$T$1048576,13,FALSE)=0,"",VLOOKUP(H279,'1_Value &amp; risk levers'!$H$9:$T$1048576,13,FALSE))</f>
        <v>1</v>
      </c>
      <c r="R279" s="128">
        <f t="shared" si="93"/>
        <v>2</v>
      </c>
      <c r="S279" s="128" t="e">
        <f t="shared" si="94"/>
        <v>#DIV/0!</v>
      </c>
      <c r="T279" s="77"/>
      <c r="U279" s="77"/>
      <c r="V279" s="55"/>
      <c r="W279" s="71">
        <v>0.04</v>
      </c>
      <c r="X279" s="71">
        <v>0.1</v>
      </c>
      <c r="Y279" s="71">
        <f>VLOOKUP(H279,'1_Value &amp; risk levers'!$H$9:$O$1048576,8,FALSE)</f>
        <v>0.8</v>
      </c>
      <c r="Z279" s="51">
        <f t="shared" si="95"/>
        <v>7.0000000000000007E-2</v>
      </c>
      <c r="AA279" s="51">
        <f t="shared" si="97"/>
        <v>8.5000000000000006E-2</v>
      </c>
      <c r="AB279" s="55">
        <f t="shared" si="88"/>
        <v>2800000.0000000005</v>
      </c>
      <c r="AC279" s="55">
        <f t="shared" si="89"/>
        <v>3400000.0000000005</v>
      </c>
      <c r="AD279" s="80">
        <f t="shared" si="98"/>
        <v>7</v>
      </c>
      <c r="AE279" s="84">
        <f t="shared" si="99"/>
        <v>0.48864540816326468</v>
      </c>
      <c r="AF279" s="71" t="str">
        <f t="shared" si="90"/>
        <v>Low</v>
      </c>
      <c r="AG279" s="84">
        <f t="shared" si="100"/>
        <v>5.9772908163265304E-2</v>
      </c>
      <c r="AH279" s="84">
        <f t="shared" si="101"/>
        <v>9.5227091836734709E-2</v>
      </c>
      <c r="AI279" s="73">
        <f t="shared" si="91"/>
        <v>2390916.3265306121</v>
      </c>
      <c r="AJ279" s="73">
        <f t="shared" si="92"/>
        <v>3809083.6734693884</v>
      </c>
      <c r="AK279" s="46">
        <f>VLOOKUP(H279,'1_Value &amp; risk levers'!$H$9:$O$1048576,6,FALSE)</f>
        <v>0.02</v>
      </c>
      <c r="AL279" s="46">
        <f>VLOOKUP(H279,'1_Value &amp; risk levers'!$H$9:$O$1048576,7,FALSE)</f>
        <v>0.03</v>
      </c>
      <c r="AM279" s="50">
        <f t="shared" si="102"/>
        <v>2.75E-2</v>
      </c>
      <c r="AN279" s="72">
        <f t="shared" si="103"/>
        <v>0.12790697674418605</v>
      </c>
      <c r="AO279" s="84">
        <f t="shared" si="104"/>
        <v>7.6453719743711434E-3</v>
      </c>
      <c r="AP279" s="84">
        <f t="shared" si="105"/>
        <v>1.2180209420977696E-2</v>
      </c>
      <c r="AQ279" s="55">
        <f t="shared" si="106"/>
        <v>358139.53488372103</v>
      </c>
      <c r="AR279" s="55">
        <f t="shared" si="107"/>
        <v>434883.72093023261</v>
      </c>
      <c r="AS279" s="83">
        <f t="shared" si="96"/>
        <v>41</v>
      </c>
      <c r="AT279" s="50">
        <f t="shared" si="108"/>
        <v>2.5</v>
      </c>
      <c r="AU279" s="55" t="str">
        <f t="shared" si="109"/>
        <v>Low</v>
      </c>
      <c r="AV279" s="34" t="s">
        <v>1513</v>
      </c>
      <c r="AW279" s="111"/>
      <c r="AX279" s="30" t="s">
        <v>1493</v>
      </c>
      <c r="AY279" s="30"/>
      <c r="AZ279" s="85" t="str">
        <f>IF(ISERROR(_xlfn.XLOOKUP(CONCATENATE(A279,"_",AV279),'Reference-Proof pt impact flag'!$I$3:$I$1048576,'Reference-Proof pt impact flag'!$G$3:$G$1048576)),"",_xlfn.XLOOKUP(CONCATENATE(A279,"_",AV279),'Reference-Proof pt impact flag'!$I$3:$I$1048576,'Reference-Proof pt impact flag'!$G$3:$G$1048576))</f>
        <v/>
      </c>
      <c r="BA279" s="74"/>
      <c r="BB279" s="74"/>
      <c r="BC279" s="74"/>
      <c r="BD279" s="74"/>
      <c r="BE279" s="74"/>
      <c r="BF279" s="74" t="e">
        <f>_xlfn.XLOOKUP(CONCATENATE(H279,"_",AV279),'Test 2 - Proof points - GPT5'!$T:$T,'Test 2 - Proof points - GPT5'!$S:$S)</f>
        <v>#N/A</v>
      </c>
      <c r="BG279" s="74" t="e">
        <f>_xlfn.XLOOKUP(CONCATENATE(H279,"_",AV279),'Test 2 -Proof points - Sonnet'!$AB:$AB,'Test 2 -Proof points - Sonnet'!$AA:$AA)</f>
        <v>#N/A</v>
      </c>
      <c r="BH279" s="74"/>
      <c r="BI279" s="74"/>
      <c r="BJ279" s="74" t="s">
        <v>1605</v>
      </c>
      <c r="BK279" s="30"/>
      <c r="BL279" s="30"/>
      <c r="BM279" s="30"/>
      <c r="BN279" s="30"/>
      <c r="BO279" s="30"/>
      <c r="BP279" s="30"/>
      <c r="BQ279" s="30"/>
      <c r="BR279" s="30"/>
      <c r="BS279" s="30"/>
      <c r="BT279" s="30"/>
      <c r="BU279" s="30"/>
      <c r="BV279" s="113"/>
    </row>
    <row r="280" spans="1:74" ht="217.5" hidden="1" x14ac:dyDescent="0.35">
      <c r="A280" s="22">
        <v>7</v>
      </c>
      <c r="B280" s="22" t="s">
        <v>1451</v>
      </c>
      <c r="C280" s="22" t="s">
        <v>1452</v>
      </c>
      <c r="D280" s="22" t="s">
        <v>1224</v>
      </c>
      <c r="E280" s="22" t="s">
        <v>1453</v>
      </c>
      <c r="F280" s="22"/>
      <c r="G280" s="22" t="s">
        <v>1274</v>
      </c>
      <c r="H280" s="21" t="s">
        <v>1278</v>
      </c>
      <c r="I280" s="22"/>
      <c r="J280" s="21" t="s">
        <v>1331</v>
      </c>
      <c r="K280" s="30"/>
      <c r="L280" s="30" t="s">
        <v>1277</v>
      </c>
      <c r="M280" s="35" t="str">
        <f>VLOOKUP(H280,'1_Value &amp; risk levers'!$H$9:$O$1048576,2,FALSE)</f>
        <v>Not considered</v>
      </c>
      <c r="N280" s="35" t="str">
        <f>VLOOKUP(H280,'1_Value &amp; risk levers'!$H$9:$O$1048576,3,FALSE)</f>
        <v>Limited exploration of alternative origins</v>
      </c>
      <c r="O280" s="35" t="str">
        <f>VLOOKUP(H280,'1_Value &amp; risk levers'!$H$9:$O$1048576,4,FALSE)</f>
        <v>Regularly sourcing from diverse origins</v>
      </c>
      <c r="P280" s="35" t="str">
        <f>VLOOKUP(H280,'1_Value &amp; risk levers'!$H$9:$O$1048576,5,FALSE)</f>
        <v>Fully optimized global sourcing with risk mitigation plans</v>
      </c>
      <c r="Q280" s="77">
        <f>IF(VLOOKUP(H280,'1_Value &amp; risk levers'!$H$9:$T$1048576,13,FALSE)=0,"",VLOOKUP(H280,'1_Value &amp; risk levers'!$H$9:$T$1048576,13,FALSE))</f>
        <v>1</v>
      </c>
      <c r="R280" s="128">
        <f t="shared" si="93"/>
        <v>2</v>
      </c>
      <c r="S280" s="128" t="e">
        <f t="shared" si="94"/>
        <v>#DIV/0!</v>
      </c>
      <c r="T280" s="77"/>
      <c r="U280" s="77"/>
      <c r="V280" s="55"/>
      <c r="W280" s="71">
        <v>0.04</v>
      </c>
      <c r="X280" s="71">
        <v>0.1</v>
      </c>
      <c r="Y280" s="71">
        <f>VLOOKUP(H280,'1_Value &amp; risk levers'!$H$9:$O$1048576,8,FALSE)</f>
        <v>0.8</v>
      </c>
      <c r="Z280" s="51">
        <f t="shared" si="95"/>
        <v>7.0000000000000007E-2</v>
      </c>
      <c r="AA280" s="51">
        <f t="shared" si="97"/>
        <v>8.5000000000000006E-2</v>
      </c>
      <c r="AB280" s="55">
        <f t="shared" si="88"/>
        <v>2800000.0000000005</v>
      </c>
      <c r="AC280" s="55">
        <f t="shared" si="89"/>
        <v>3400000.0000000005</v>
      </c>
      <c r="AD280" s="80">
        <f t="shared" si="98"/>
        <v>7</v>
      </c>
      <c r="AE280" s="84">
        <f t="shared" si="99"/>
        <v>0.48864540816326468</v>
      </c>
      <c r="AF280" s="71" t="str">
        <f t="shared" si="90"/>
        <v>Low</v>
      </c>
      <c r="AG280" s="84">
        <f t="shared" si="100"/>
        <v>5.9772908163265304E-2</v>
      </c>
      <c r="AH280" s="84">
        <f t="shared" si="101"/>
        <v>9.5227091836734709E-2</v>
      </c>
      <c r="AI280" s="73">
        <f t="shared" si="91"/>
        <v>2390916.3265306121</v>
      </c>
      <c r="AJ280" s="73">
        <f t="shared" si="92"/>
        <v>3809083.6734693884</v>
      </c>
      <c r="AK280" s="46">
        <f>VLOOKUP(H280,'1_Value &amp; risk levers'!$H$9:$O$1048576,6,FALSE)</f>
        <v>0.02</v>
      </c>
      <c r="AL280" s="46">
        <f>VLOOKUP(H280,'1_Value &amp; risk levers'!$H$9:$O$1048576,7,FALSE)</f>
        <v>0.03</v>
      </c>
      <c r="AM280" s="50">
        <f t="shared" si="102"/>
        <v>2.75E-2</v>
      </c>
      <c r="AN280" s="72">
        <f t="shared" si="103"/>
        <v>0.12790697674418605</v>
      </c>
      <c r="AO280" s="84">
        <f t="shared" si="104"/>
        <v>7.6453719743711434E-3</v>
      </c>
      <c r="AP280" s="84">
        <f t="shared" si="105"/>
        <v>1.2180209420977696E-2</v>
      </c>
      <c r="AQ280" s="55">
        <f t="shared" si="106"/>
        <v>358139.53488372103</v>
      </c>
      <c r="AR280" s="55">
        <f t="shared" si="107"/>
        <v>434883.72093023261</v>
      </c>
      <c r="AS280" s="83">
        <f t="shared" si="96"/>
        <v>41</v>
      </c>
      <c r="AT280" s="50">
        <f t="shared" si="108"/>
        <v>2.5</v>
      </c>
      <c r="AU280" s="55" t="str">
        <f t="shared" si="109"/>
        <v>Low</v>
      </c>
      <c r="AV280" s="34" t="s">
        <v>1514</v>
      </c>
      <c r="AW280" s="111"/>
      <c r="AX280" s="30" t="s">
        <v>1493</v>
      </c>
      <c r="AY280" s="30" t="s">
        <v>1615</v>
      </c>
      <c r="AZ280" s="85" t="str">
        <f>IF(ISERROR(_xlfn.XLOOKUP(CONCATENATE(A280,"_",AV280),'Reference-Proof pt impact flag'!$I$3:$I$1048576,'Reference-Proof pt impact flag'!$G$3:$G$1048576)),"",_xlfn.XLOOKUP(CONCATENATE(A280,"_",AV280),'Reference-Proof pt impact flag'!$I$3:$I$1048576,'Reference-Proof pt impact flag'!$G$3:$G$1048576))</f>
        <v>Low</v>
      </c>
      <c r="BA280" s="27" t="s">
        <v>1458</v>
      </c>
      <c r="BB280" s="30" t="s">
        <v>1446</v>
      </c>
      <c r="BC280" s="27" t="s">
        <v>1547</v>
      </c>
      <c r="BD280" s="85" t="s">
        <v>327</v>
      </c>
      <c r="BE280" s="74"/>
      <c r="BF280" s="74" t="str">
        <f>_xlfn.XLOOKUP(CONCATENATE(H280,"_",AV280),'Test 2 - Proof points - GPT5'!$T:$T,'Test 2 - Proof points - GPT5'!$S:$S)</f>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Actions: Implement should-cost guardrails using price-per-kg corridors by material and vendor tiers; route exceptions to sourcing board.</v>
      </c>
      <c r="BG280" s="74" t="e">
        <f>_xlfn.XLOOKUP(CONCATENATE(H280,"_",AV280),'Test 2 -Proof points - Sonnet'!$AB:$AB,'Test 2 -Proof points - Sonnet'!$AA:$AA)</f>
        <v>#N/A</v>
      </c>
      <c r="BH280" s="74" t="s">
        <v>1603</v>
      </c>
      <c r="BI280" s="74"/>
      <c r="BJ280" s="74" t="s">
        <v>1605</v>
      </c>
      <c r="BK280" s="30" t="s">
        <v>132</v>
      </c>
      <c r="BL280" s="30"/>
      <c r="BM280" s="30"/>
      <c r="BN280" s="30" t="s">
        <v>132</v>
      </c>
      <c r="BO280" s="30"/>
      <c r="BP280" s="30"/>
      <c r="BQ280" s="30"/>
      <c r="BR280" s="30"/>
      <c r="BS280" s="30"/>
      <c r="BT280" s="30"/>
      <c r="BU280" s="30"/>
      <c r="BV280" s="113" t="s">
        <v>132</v>
      </c>
    </row>
    <row r="281" spans="1:74" ht="217.5" hidden="1" x14ac:dyDescent="0.35">
      <c r="A281" s="22">
        <v>7</v>
      </c>
      <c r="B281" s="22" t="s">
        <v>1451</v>
      </c>
      <c r="C281" s="22" t="s">
        <v>1452</v>
      </c>
      <c r="D281" s="22" t="s">
        <v>1224</v>
      </c>
      <c r="E281" s="22" t="s">
        <v>1453</v>
      </c>
      <c r="F281" s="22"/>
      <c r="G281" s="22" t="s">
        <v>1274</v>
      </c>
      <c r="H281" s="21" t="s">
        <v>1278</v>
      </c>
      <c r="I281" s="22"/>
      <c r="J281" s="21" t="s">
        <v>1331</v>
      </c>
      <c r="K281" s="30"/>
      <c r="L281" s="30" t="s">
        <v>1277</v>
      </c>
      <c r="M281" s="35" t="str">
        <f>VLOOKUP(H281,'1_Value &amp; risk levers'!$H$9:$O$1048576,2,FALSE)</f>
        <v>Not considered</v>
      </c>
      <c r="N281" s="35" t="str">
        <f>VLOOKUP(H281,'1_Value &amp; risk levers'!$H$9:$O$1048576,3,FALSE)</f>
        <v>Limited exploration of alternative origins</v>
      </c>
      <c r="O281" s="35" t="str">
        <f>VLOOKUP(H281,'1_Value &amp; risk levers'!$H$9:$O$1048576,4,FALSE)</f>
        <v>Regularly sourcing from diverse origins</v>
      </c>
      <c r="P281" s="35" t="str">
        <f>VLOOKUP(H281,'1_Value &amp; risk levers'!$H$9:$O$1048576,5,FALSE)</f>
        <v>Fully optimized global sourcing with risk mitigation plans</v>
      </c>
      <c r="Q281" s="77">
        <f>IF(VLOOKUP(H281,'1_Value &amp; risk levers'!$H$9:$T$1048576,13,FALSE)=0,"",VLOOKUP(H281,'1_Value &amp; risk levers'!$H$9:$T$1048576,13,FALSE))</f>
        <v>1</v>
      </c>
      <c r="R281" s="128">
        <f t="shared" si="93"/>
        <v>2</v>
      </c>
      <c r="S281" s="128" t="e">
        <f t="shared" si="94"/>
        <v>#DIV/0!</v>
      </c>
      <c r="T281" s="77"/>
      <c r="U281" s="77"/>
      <c r="V281" s="55"/>
      <c r="W281" s="71">
        <v>0.04</v>
      </c>
      <c r="X281" s="71">
        <v>0.1</v>
      </c>
      <c r="Y281" s="71">
        <f>VLOOKUP(H281,'1_Value &amp; risk levers'!$H$9:$O$1048576,8,FALSE)</f>
        <v>0.8</v>
      </c>
      <c r="Z281" s="51">
        <f t="shared" si="95"/>
        <v>7.0000000000000007E-2</v>
      </c>
      <c r="AA281" s="51">
        <f t="shared" si="97"/>
        <v>8.5000000000000006E-2</v>
      </c>
      <c r="AB281" s="55">
        <f t="shared" si="88"/>
        <v>2800000.0000000005</v>
      </c>
      <c r="AC281" s="55">
        <f t="shared" si="89"/>
        <v>3400000.0000000005</v>
      </c>
      <c r="AD281" s="80">
        <f t="shared" si="98"/>
        <v>7</v>
      </c>
      <c r="AE281" s="84">
        <f t="shared" si="99"/>
        <v>0.48864540816326468</v>
      </c>
      <c r="AF281" s="71" t="str">
        <f t="shared" si="90"/>
        <v>Low</v>
      </c>
      <c r="AG281" s="84">
        <f t="shared" si="100"/>
        <v>5.9772908163265304E-2</v>
      </c>
      <c r="AH281" s="84">
        <f t="shared" si="101"/>
        <v>9.5227091836734709E-2</v>
      </c>
      <c r="AI281" s="73">
        <f t="shared" si="91"/>
        <v>2390916.3265306121</v>
      </c>
      <c r="AJ281" s="73">
        <f t="shared" si="92"/>
        <v>3809083.6734693884</v>
      </c>
      <c r="AK281" s="46">
        <f>VLOOKUP(H281,'1_Value &amp; risk levers'!$H$9:$O$1048576,6,FALSE)</f>
        <v>0.02</v>
      </c>
      <c r="AL281" s="46">
        <f>VLOOKUP(H281,'1_Value &amp; risk levers'!$H$9:$O$1048576,7,FALSE)</f>
        <v>0.03</v>
      </c>
      <c r="AM281" s="50">
        <f t="shared" si="102"/>
        <v>2.75E-2</v>
      </c>
      <c r="AN281" s="72">
        <f t="shared" si="103"/>
        <v>0.12790697674418605</v>
      </c>
      <c r="AO281" s="84">
        <f t="shared" si="104"/>
        <v>7.6453719743711434E-3</v>
      </c>
      <c r="AP281" s="84">
        <f t="shared" si="105"/>
        <v>1.2180209420977696E-2</v>
      </c>
      <c r="AQ281" s="55">
        <f t="shared" si="106"/>
        <v>358139.53488372103</v>
      </c>
      <c r="AR281" s="55">
        <f t="shared" si="107"/>
        <v>434883.72093023261</v>
      </c>
      <c r="AS281" s="83">
        <f t="shared" si="96"/>
        <v>41</v>
      </c>
      <c r="AT281" s="50">
        <f t="shared" si="108"/>
        <v>2.5</v>
      </c>
      <c r="AU281" s="55" t="str">
        <f t="shared" si="109"/>
        <v>Low</v>
      </c>
      <c r="AV281" s="34" t="s">
        <v>1515</v>
      </c>
      <c r="AW281" s="111"/>
      <c r="AX281" s="30" t="s">
        <v>1493</v>
      </c>
      <c r="AY281" s="30"/>
      <c r="AZ281" s="85" t="str">
        <f>IF(ISERROR(_xlfn.XLOOKUP(CONCATENATE(A281,"_",AV281),'Reference-Proof pt impact flag'!$I$3:$I$1048576,'Reference-Proof pt impact flag'!$G$3:$G$1048576)),"",_xlfn.XLOOKUP(CONCATENATE(A281,"_",AV281),'Reference-Proof pt impact flag'!$I$3:$I$1048576,'Reference-Proof pt impact flag'!$G$3:$G$1048576))</f>
        <v/>
      </c>
      <c r="BA281" s="74"/>
      <c r="BB281" s="74"/>
      <c r="BC281" s="74"/>
      <c r="BD281" s="74"/>
      <c r="BE281" s="74"/>
      <c r="BF281" s="74" t="e">
        <f>_xlfn.XLOOKUP(CONCATENATE(H281,"_",AV281),'Test 2 - Proof points - GPT5'!$T:$T,'Test 2 - Proof points - GPT5'!$S:$S)</f>
        <v>#N/A</v>
      </c>
      <c r="BG281" s="74" t="e">
        <f>_xlfn.XLOOKUP(CONCATENATE(H281,"_",AV281),'Test 2 -Proof points - Sonnet'!$AB:$AB,'Test 2 -Proof points - Sonnet'!$AA:$AA)</f>
        <v>#N/A</v>
      </c>
      <c r="BH281" s="74"/>
      <c r="BI281" s="74"/>
      <c r="BJ281" s="74" t="s">
        <v>1605</v>
      </c>
      <c r="BK281" s="30"/>
      <c r="BL281" s="30"/>
      <c r="BM281" s="30"/>
      <c r="BN281" s="30"/>
      <c r="BO281" s="30"/>
      <c r="BP281" s="30"/>
      <c r="BQ281" s="30"/>
      <c r="BR281" s="30"/>
      <c r="BS281" s="30"/>
      <c r="BT281" s="30"/>
      <c r="BU281" s="30"/>
      <c r="BV281" s="113"/>
    </row>
    <row r="282" spans="1:74" ht="217.5" hidden="1" x14ac:dyDescent="0.35">
      <c r="A282" s="22">
        <v>7</v>
      </c>
      <c r="B282" s="22" t="s">
        <v>1451</v>
      </c>
      <c r="C282" s="22" t="s">
        <v>1452</v>
      </c>
      <c r="D282" s="22" t="s">
        <v>1224</v>
      </c>
      <c r="E282" s="22" t="s">
        <v>1453</v>
      </c>
      <c r="F282" s="22"/>
      <c r="G282" s="22" t="s">
        <v>1274</v>
      </c>
      <c r="H282" s="21" t="s">
        <v>1278</v>
      </c>
      <c r="I282" s="22"/>
      <c r="J282" s="21" t="s">
        <v>1331</v>
      </c>
      <c r="K282" s="30"/>
      <c r="L282" s="30" t="s">
        <v>1277</v>
      </c>
      <c r="M282" s="35" t="str">
        <f>VLOOKUP(H282,'1_Value &amp; risk levers'!$H$9:$O$1048576,2,FALSE)</f>
        <v>Not considered</v>
      </c>
      <c r="N282" s="35" t="str">
        <f>VLOOKUP(H282,'1_Value &amp; risk levers'!$H$9:$O$1048576,3,FALSE)</f>
        <v>Limited exploration of alternative origins</v>
      </c>
      <c r="O282" s="35" t="str">
        <f>VLOOKUP(H282,'1_Value &amp; risk levers'!$H$9:$O$1048576,4,FALSE)</f>
        <v>Regularly sourcing from diverse origins</v>
      </c>
      <c r="P282" s="35" t="str">
        <f>VLOOKUP(H282,'1_Value &amp; risk levers'!$H$9:$O$1048576,5,FALSE)</f>
        <v>Fully optimized global sourcing with risk mitigation plans</v>
      </c>
      <c r="Q282" s="77">
        <f>IF(VLOOKUP(H282,'1_Value &amp; risk levers'!$H$9:$T$1048576,13,FALSE)=0,"",VLOOKUP(H282,'1_Value &amp; risk levers'!$H$9:$T$1048576,13,FALSE))</f>
        <v>1</v>
      </c>
      <c r="R282" s="128">
        <f t="shared" si="93"/>
        <v>2</v>
      </c>
      <c r="S282" s="128" t="e">
        <f t="shared" si="94"/>
        <v>#DIV/0!</v>
      </c>
      <c r="T282" s="77"/>
      <c r="U282" s="77"/>
      <c r="V282" s="55"/>
      <c r="W282" s="71">
        <v>0.04</v>
      </c>
      <c r="X282" s="71">
        <v>0.1</v>
      </c>
      <c r="Y282" s="71">
        <f>VLOOKUP(H282,'1_Value &amp; risk levers'!$H$9:$O$1048576,8,FALSE)</f>
        <v>0.8</v>
      </c>
      <c r="Z282" s="51">
        <f t="shared" si="95"/>
        <v>7.0000000000000007E-2</v>
      </c>
      <c r="AA282" s="51">
        <f t="shared" si="97"/>
        <v>8.5000000000000006E-2</v>
      </c>
      <c r="AB282" s="55">
        <f t="shared" si="88"/>
        <v>2800000.0000000005</v>
      </c>
      <c r="AC282" s="55">
        <f t="shared" si="89"/>
        <v>3400000.0000000005</v>
      </c>
      <c r="AD282" s="80">
        <f t="shared" si="98"/>
        <v>7</v>
      </c>
      <c r="AE282" s="84">
        <f t="shared" si="99"/>
        <v>0.48864540816326468</v>
      </c>
      <c r="AF282" s="71" t="str">
        <f t="shared" si="90"/>
        <v>Low</v>
      </c>
      <c r="AG282" s="84">
        <f t="shared" si="100"/>
        <v>5.9772908163265304E-2</v>
      </c>
      <c r="AH282" s="84">
        <f t="shared" si="101"/>
        <v>9.5227091836734709E-2</v>
      </c>
      <c r="AI282" s="73">
        <f t="shared" si="91"/>
        <v>2390916.3265306121</v>
      </c>
      <c r="AJ282" s="73">
        <f t="shared" si="92"/>
        <v>3809083.6734693884</v>
      </c>
      <c r="AK282" s="46">
        <f>VLOOKUP(H282,'1_Value &amp; risk levers'!$H$9:$O$1048576,6,FALSE)</f>
        <v>0.02</v>
      </c>
      <c r="AL282" s="46">
        <f>VLOOKUP(H282,'1_Value &amp; risk levers'!$H$9:$O$1048576,7,FALSE)</f>
        <v>0.03</v>
      </c>
      <c r="AM282" s="50">
        <f t="shared" si="102"/>
        <v>2.75E-2</v>
      </c>
      <c r="AN282" s="72">
        <f t="shared" si="103"/>
        <v>0.12790697674418605</v>
      </c>
      <c r="AO282" s="84">
        <f t="shared" si="104"/>
        <v>7.6453719743711434E-3</v>
      </c>
      <c r="AP282" s="84">
        <f t="shared" si="105"/>
        <v>1.2180209420977696E-2</v>
      </c>
      <c r="AQ282" s="55">
        <f t="shared" si="106"/>
        <v>358139.53488372103</v>
      </c>
      <c r="AR282" s="55">
        <f t="shared" si="107"/>
        <v>434883.72093023261</v>
      </c>
      <c r="AS282" s="83">
        <f t="shared" si="96"/>
        <v>41</v>
      </c>
      <c r="AT282" s="50">
        <f t="shared" si="108"/>
        <v>2.5</v>
      </c>
      <c r="AU282" s="55" t="str">
        <f t="shared" si="109"/>
        <v>Low</v>
      </c>
      <c r="AV282" s="34" t="s">
        <v>1516</v>
      </c>
      <c r="AW282" s="111"/>
      <c r="AX282" s="30" t="s">
        <v>1493</v>
      </c>
      <c r="AY282" s="30"/>
      <c r="AZ282" s="85" t="str">
        <f>IF(ISERROR(_xlfn.XLOOKUP(CONCATENATE(A282,"_",AV282),'Reference-Proof pt impact flag'!$I$3:$I$1048576,'Reference-Proof pt impact flag'!$G$3:$G$1048576)),"",_xlfn.XLOOKUP(CONCATENATE(A282,"_",AV282),'Reference-Proof pt impact flag'!$I$3:$I$1048576,'Reference-Proof pt impact flag'!$G$3:$G$1048576))</f>
        <v/>
      </c>
      <c r="BA282" s="74"/>
      <c r="BB282" s="74"/>
      <c r="BC282" s="74"/>
      <c r="BD282" s="74"/>
      <c r="BE282" s="74"/>
      <c r="BF282" s="74" t="e">
        <f>_xlfn.XLOOKUP(CONCATENATE(H282,"_",AV282),'Test 2 - Proof points - GPT5'!$T:$T,'Test 2 - Proof points - GPT5'!$S:$S)</f>
        <v>#N/A</v>
      </c>
      <c r="BG282" s="74" t="e">
        <f>_xlfn.XLOOKUP(CONCATENATE(H282,"_",AV282),'Test 2 -Proof points - Sonnet'!$AB:$AB,'Test 2 -Proof points - Sonnet'!$AA:$AA)</f>
        <v>#N/A</v>
      </c>
      <c r="BH282" s="74"/>
      <c r="BI282" s="74"/>
      <c r="BJ282" s="74" t="s">
        <v>1605</v>
      </c>
      <c r="BK282" s="30"/>
      <c r="BL282" s="30"/>
      <c r="BM282" s="30"/>
      <c r="BN282" s="30"/>
      <c r="BO282" s="30"/>
      <c r="BP282" s="30"/>
      <c r="BQ282" s="30"/>
      <c r="BR282" s="30"/>
      <c r="BS282" s="30"/>
      <c r="BT282" s="30"/>
      <c r="BU282" s="30"/>
      <c r="BV282" s="113"/>
    </row>
    <row r="283" spans="1:74" ht="217.5" hidden="1" x14ac:dyDescent="0.35">
      <c r="A283" s="22">
        <v>7</v>
      </c>
      <c r="B283" s="22" t="s">
        <v>1451</v>
      </c>
      <c r="C283" s="22" t="s">
        <v>1452</v>
      </c>
      <c r="D283" s="22" t="s">
        <v>1224</v>
      </c>
      <c r="E283" s="22" t="s">
        <v>1453</v>
      </c>
      <c r="F283" s="22"/>
      <c r="G283" s="22" t="s">
        <v>1274</v>
      </c>
      <c r="H283" s="21" t="s">
        <v>1278</v>
      </c>
      <c r="I283" s="22"/>
      <c r="J283" s="21" t="s">
        <v>1331</v>
      </c>
      <c r="K283" s="30"/>
      <c r="L283" s="30" t="s">
        <v>1277</v>
      </c>
      <c r="M283" s="35" t="str">
        <f>VLOOKUP(H283,'1_Value &amp; risk levers'!$H$9:$O$1048576,2,FALSE)</f>
        <v>Not considered</v>
      </c>
      <c r="N283" s="35" t="str">
        <f>VLOOKUP(H283,'1_Value &amp; risk levers'!$H$9:$O$1048576,3,FALSE)</f>
        <v>Limited exploration of alternative origins</v>
      </c>
      <c r="O283" s="35" t="str">
        <f>VLOOKUP(H283,'1_Value &amp; risk levers'!$H$9:$O$1048576,4,FALSE)</f>
        <v>Regularly sourcing from diverse origins</v>
      </c>
      <c r="P283" s="35" t="str">
        <f>VLOOKUP(H283,'1_Value &amp; risk levers'!$H$9:$O$1048576,5,FALSE)</f>
        <v>Fully optimized global sourcing with risk mitigation plans</v>
      </c>
      <c r="Q283" s="77">
        <f>IF(VLOOKUP(H283,'1_Value &amp; risk levers'!$H$9:$T$1048576,13,FALSE)=0,"",VLOOKUP(H283,'1_Value &amp; risk levers'!$H$9:$T$1048576,13,FALSE))</f>
        <v>1</v>
      </c>
      <c r="R283" s="128">
        <f t="shared" si="93"/>
        <v>2</v>
      </c>
      <c r="S283" s="128" t="e">
        <f t="shared" si="94"/>
        <v>#DIV/0!</v>
      </c>
      <c r="T283" s="77"/>
      <c r="U283" s="77"/>
      <c r="V283" s="55"/>
      <c r="W283" s="71">
        <v>0.04</v>
      </c>
      <c r="X283" s="71">
        <v>0.1</v>
      </c>
      <c r="Y283" s="71">
        <f>VLOOKUP(H283,'1_Value &amp; risk levers'!$H$9:$O$1048576,8,FALSE)</f>
        <v>0.8</v>
      </c>
      <c r="Z283" s="51">
        <f t="shared" si="95"/>
        <v>7.0000000000000007E-2</v>
      </c>
      <c r="AA283" s="51">
        <f t="shared" si="97"/>
        <v>8.5000000000000006E-2</v>
      </c>
      <c r="AB283" s="55">
        <f t="shared" ref="AB283:AB289" si="110">Y283*Z283*50000000</f>
        <v>2800000.0000000005</v>
      </c>
      <c r="AC283" s="55">
        <f t="shared" ref="AC283:AC289" si="111">Y283*AA283*50000000</f>
        <v>3400000.0000000005</v>
      </c>
      <c r="AD283" s="80">
        <f t="shared" si="98"/>
        <v>7</v>
      </c>
      <c r="AE283" s="84">
        <f t="shared" si="99"/>
        <v>0.48864540816326468</v>
      </c>
      <c r="AF283" s="71" t="str">
        <f t="shared" ref="AF283:AF289" si="112">IF(AE283&lt;0.5,"Low",IF(AE283&lt;0.75,"Medium","High"))</f>
        <v>Low</v>
      </c>
      <c r="AG283" s="84">
        <f t="shared" si="100"/>
        <v>5.9772908163265304E-2</v>
      </c>
      <c r="AH283" s="84">
        <f t="shared" si="101"/>
        <v>9.5227091836734709E-2</v>
      </c>
      <c r="AI283" s="73">
        <f t="shared" ref="AI283:AI289" si="113">Y283*AG283*50000000</f>
        <v>2390916.3265306121</v>
      </c>
      <c r="AJ283" s="73">
        <f t="shared" ref="AJ283:AJ289" si="114">Y283*AH283*50000000</f>
        <v>3809083.6734693884</v>
      </c>
      <c r="AK283" s="46">
        <f>VLOOKUP(H283,'1_Value &amp; risk levers'!$H$9:$O$1048576,6,FALSE)</f>
        <v>0.02</v>
      </c>
      <c r="AL283" s="46">
        <f>VLOOKUP(H283,'1_Value &amp; risk levers'!$H$9:$O$1048576,7,FALSE)</f>
        <v>0.03</v>
      </c>
      <c r="AM283" s="50">
        <f t="shared" si="102"/>
        <v>2.75E-2</v>
      </c>
      <c r="AN283" s="72">
        <f t="shared" si="103"/>
        <v>0.12790697674418605</v>
      </c>
      <c r="AO283" s="84">
        <f t="shared" si="104"/>
        <v>7.6453719743711434E-3</v>
      </c>
      <c r="AP283" s="84">
        <f t="shared" si="105"/>
        <v>1.2180209420977696E-2</v>
      </c>
      <c r="AQ283" s="55">
        <f t="shared" si="106"/>
        <v>358139.53488372103</v>
      </c>
      <c r="AR283" s="55">
        <f t="shared" si="107"/>
        <v>434883.72093023261</v>
      </c>
      <c r="AS283" s="83">
        <f t="shared" si="96"/>
        <v>41</v>
      </c>
      <c r="AT283" s="50">
        <f t="shared" si="108"/>
        <v>2.5</v>
      </c>
      <c r="AU283" s="55" t="str">
        <f t="shared" si="109"/>
        <v>Low</v>
      </c>
      <c r="AV283" s="34" t="s">
        <v>1517</v>
      </c>
      <c r="AW283" s="111"/>
      <c r="AX283" s="30" t="s">
        <v>1493</v>
      </c>
      <c r="AY283" s="30"/>
      <c r="AZ283" s="85" t="str">
        <f>IF(ISERROR(_xlfn.XLOOKUP(CONCATENATE(A283,"_",AV283),'Reference-Proof pt impact flag'!$I$3:$I$1048576,'Reference-Proof pt impact flag'!$G$3:$G$1048576)),"",_xlfn.XLOOKUP(CONCATENATE(A283,"_",AV283),'Reference-Proof pt impact flag'!$I$3:$I$1048576,'Reference-Proof pt impact flag'!$G$3:$G$1048576))</f>
        <v/>
      </c>
      <c r="BA283" s="74"/>
      <c r="BB283" s="74"/>
      <c r="BC283" s="74"/>
      <c r="BD283" s="74"/>
      <c r="BE283" s="74"/>
      <c r="BF283" s="74" t="e">
        <f>_xlfn.XLOOKUP(CONCATENATE(H283,"_",AV283),'Test 2 - Proof points - GPT5'!$T:$T,'Test 2 - Proof points - GPT5'!$S:$S)</f>
        <v>#N/A</v>
      </c>
      <c r="BG283" s="74" t="e">
        <f>_xlfn.XLOOKUP(CONCATENATE(H283,"_",AV283),'Test 2 -Proof points - Sonnet'!$AB:$AB,'Test 2 -Proof points - Sonnet'!$AA:$AA)</f>
        <v>#N/A</v>
      </c>
      <c r="BH283" s="74"/>
      <c r="BI283" s="74"/>
      <c r="BJ283" s="74" t="s">
        <v>1605</v>
      </c>
      <c r="BK283" s="30"/>
      <c r="BL283" s="30"/>
      <c r="BM283" s="30"/>
      <c r="BN283" s="30"/>
      <c r="BO283" s="30"/>
      <c r="BP283" s="30"/>
      <c r="BQ283" s="30"/>
      <c r="BR283" s="30"/>
      <c r="BS283" s="30"/>
      <c r="BT283" s="30"/>
      <c r="BU283" s="30"/>
      <c r="BV283" s="113"/>
    </row>
    <row r="284" spans="1:74" ht="217.5" hidden="1" x14ac:dyDescent="0.35">
      <c r="A284" s="22">
        <v>7</v>
      </c>
      <c r="B284" s="22" t="s">
        <v>1451</v>
      </c>
      <c r="C284" s="22" t="s">
        <v>1452</v>
      </c>
      <c r="D284" s="22" t="s">
        <v>1224</v>
      </c>
      <c r="E284" s="22" t="s">
        <v>1453</v>
      </c>
      <c r="F284" s="22"/>
      <c r="G284" s="22" t="s">
        <v>1274</v>
      </c>
      <c r="H284" s="21" t="s">
        <v>1278</v>
      </c>
      <c r="I284" s="22"/>
      <c r="J284" s="21" t="s">
        <v>1331</v>
      </c>
      <c r="K284" s="30"/>
      <c r="L284" s="30" t="s">
        <v>1277</v>
      </c>
      <c r="M284" s="35" t="str">
        <f>VLOOKUP(H284,'1_Value &amp; risk levers'!$H$9:$O$1048576,2,FALSE)</f>
        <v>Not considered</v>
      </c>
      <c r="N284" s="35" t="str">
        <f>VLOOKUP(H284,'1_Value &amp; risk levers'!$H$9:$O$1048576,3,FALSE)</f>
        <v>Limited exploration of alternative origins</v>
      </c>
      <c r="O284" s="35" t="str">
        <f>VLOOKUP(H284,'1_Value &amp; risk levers'!$H$9:$O$1048576,4,FALSE)</f>
        <v>Regularly sourcing from diverse origins</v>
      </c>
      <c r="P284" s="35" t="str">
        <f>VLOOKUP(H284,'1_Value &amp; risk levers'!$H$9:$O$1048576,5,FALSE)</f>
        <v>Fully optimized global sourcing with risk mitigation plans</v>
      </c>
      <c r="Q284" s="77">
        <f>IF(VLOOKUP(H284,'1_Value &amp; risk levers'!$H$9:$T$1048576,13,FALSE)=0,"",VLOOKUP(H284,'1_Value &amp; risk levers'!$H$9:$T$1048576,13,FALSE))</f>
        <v>1</v>
      </c>
      <c r="R284" s="128">
        <f t="shared" si="93"/>
        <v>2</v>
      </c>
      <c r="S284" s="128" t="e">
        <f t="shared" si="94"/>
        <v>#DIV/0!</v>
      </c>
      <c r="T284" s="77"/>
      <c r="U284" s="77"/>
      <c r="V284" s="55"/>
      <c r="W284" s="71">
        <v>0.04</v>
      </c>
      <c r="X284" s="71">
        <v>0.1</v>
      </c>
      <c r="Y284" s="71">
        <f>VLOOKUP(H284,'1_Value &amp; risk levers'!$H$9:$O$1048576,8,FALSE)</f>
        <v>0.8</v>
      </c>
      <c r="Z284" s="51">
        <f t="shared" si="95"/>
        <v>7.0000000000000007E-2</v>
      </c>
      <c r="AA284" s="51">
        <f t="shared" si="97"/>
        <v>8.5000000000000006E-2</v>
      </c>
      <c r="AB284" s="55">
        <f t="shared" si="110"/>
        <v>2800000.0000000005</v>
      </c>
      <c r="AC284" s="55">
        <f t="shared" si="111"/>
        <v>3400000.0000000005</v>
      </c>
      <c r="AD284" s="80">
        <f t="shared" si="98"/>
        <v>7</v>
      </c>
      <c r="AE284" s="84">
        <f t="shared" si="99"/>
        <v>0.48864540816326468</v>
      </c>
      <c r="AF284" s="71" t="str">
        <f t="shared" si="112"/>
        <v>Low</v>
      </c>
      <c r="AG284" s="84">
        <f t="shared" si="100"/>
        <v>5.9772908163265304E-2</v>
      </c>
      <c r="AH284" s="84">
        <f t="shared" si="101"/>
        <v>9.5227091836734709E-2</v>
      </c>
      <c r="AI284" s="73">
        <f t="shared" si="113"/>
        <v>2390916.3265306121</v>
      </c>
      <c r="AJ284" s="73">
        <f t="shared" si="114"/>
        <v>3809083.6734693884</v>
      </c>
      <c r="AK284" s="46">
        <f>VLOOKUP(H284,'1_Value &amp; risk levers'!$H$9:$O$1048576,6,FALSE)</f>
        <v>0.02</v>
      </c>
      <c r="AL284" s="46">
        <f>VLOOKUP(H284,'1_Value &amp; risk levers'!$H$9:$O$1048576,7,FALSE)</f>
        <v>0.03</v>
      </c>
      <c r="AM284" s="50">
        <f t="shared" si="102"/>
        <v>2.75E-2</v>
      </c>
      <c r="AN284" s="72">
        <f t="shared" si="103"/>
        <v>0.12790697674418605</v>
      </c>
      <c r="AO284" s="84">
        <f t="shared" si="104"/>
        <v>7.6453719743711434E-3</v>
      </c>
      <c r="AP284" s="84">
        <f t="shared" si="105"/>
        <v>1.2180209420977696E-2</v>
      </c>
      <c r="AQ284" s="55">
        <f t="shared" si="106"/>
        <v>358139.53488372103</v>
      </c>
      <c r="AR284" s="55">
        <f t="shared" si="107"/>
        <v>434883.72093023261</v>
      </c>
      <c r="AS284" s="83">
        <f t="shared" si="96"/>
        <v>41</v>
      </c>
      <c r="AT284" s="50">
        <f t="shared" si="108"/>
        <v>2.5</v>
      </c>
      <c r="AU284" s="55" t="str">
        <f t="shared" si="109"/>
        <v>Low</v>
      </c>
      <c r="AV284" s="34" t="s">
        <v>1524</v>
      </c>
      <c r="AW284" s="111"/>
      <c r="AX284" s="30" t="s">
        <v>1493</v>
      </c>
      <c r="AY284" s="30"/>
      <c r="AZ284" s="85" t="str">
        <f>IF(ISERROR(_xlfn.XLOOKUP(CONCATENATE(A284,"_",AV284),'Reference-Proof pt impact flag'!$I$3:$I$1048576,'Reference-Proof pt impact flag'!$G$3:$G$1048576)),"",_xlfn.XLOOKUP(CONCATENATE(A284,"_",AV284),'Reference-Proof pt impact flag'!$I$3:$I$1048576,'Reference-Proof pt impact flag'!$G$3:$G$1048576))</f>
        <v/>
      </c>
      <c r="BA284" s="74"/>
      <c r="BB284" s="74"/>
      <c r="BC284" s="74"/>
      <c r="BD284" s="74"/>
      <c r="BE284" s="74"/>
      <c r="BF284" s="74" t="e">
        <f>_xlfn.XLOOKUP(CONCATENATE(H284,"_",AV284),'Test 2 - Proof points - GPT5'!$T:$T,'Test 2 - Proof points - GPT5'!$S:$S)</f>
        <v>#N/A</v>
      </c>
      <c r="BG284" s="74" t="e">
        <f>_xlfn.XLOOKUP(CONCATENATE(H284,"_",AV284),'Test 2 -Proof points - Sonnet'!$AB:$AB,'Test 2 -Proof points - Sonnet'!$AA:$AA)</f>
        <v>#N/A</v>
      </c>
      <c r="BH284" s="74"/>
      <c r="BI284" s="74"/>
      <c r="BJ284" s="74" t="s">
        <v>1605</v>
      </c>
      <c r="BK284" s="30"/>
      <c r="BL284" s="30"/>
      <c r="BM284" s="30"/>
      <c r="BN284" s="30"/>
      <c r="BO284" s="30"/>
      <c r="BP284" s="30"/>
      <c r="BQ284" s="30"/>
      <c r="BR284" s="30"/>
      <c r="BS284" s="30"/>
      <c r="BT284" s="30"/>
      <c r="BU284" s="30"/>
      <c r="BV284" s="113"/>
    </row>
    <row r="285" spans="1:74" ht="217.5" hidden="1" x14ac:dyDescent="0.35">
      <c r="A285" s="22">
        <v>7</v>
      </c>
      <c r="B285" s="22" t="s">
        <v>1451</v>
      </c>
      <c r="C285" s="22" t="s">
        <v>1452</v>
      </c>
      <c r="D285" s="22" t="s">
        <v>1224</v>
      </c>
      <c r="E285" s="22" t="s">
        <v>1453</v>
      </c>
      <c r="F285" s="22"/>
      <c r="G285" s="22" t="s">
        <v>1274</v>
      </c>
      <c r="H285" s="21" t="s">
        <v>1278</v>
      </c>
      <c r="I285" s="22"/>
      <c r="J285" s="21" t="s">
        <v>1331</v>
      </c>
      <c r="K285" s="30"/>
      <c r="L285" s="30" t="s">
        <v>1277</v>
      </c>
      <c r="M285" s="35" t="str">
        <f>VLOOKUP(H285,'1_Value &amp; risk levers'!$H$9:$O$1048576,2,FALSE)</f>
        <v>Not considered</v>
      </c>
      <c r="N285" s="35" t="str">
        <f>VLOOKUP(H285,'1_Value &amp; risk levers'!$H$9:$O$1048576,3,FALSE)</f>
        <v>Limited exploration of alternative origins</v>
      </c>
      <c r="O285" s="35" t="str">
        <f>VLOOKUP(H285,'1_Value &amp; risk levers'!$H$9:$O$1048576,4,FALSE)</f>
        <v>Regularly sourcing from diverse origins</v>
      </c>
      <c r="P285" s="35" t="str">
        <f>VLOOKUP(H285,'1_Value &amp; risk levers'!$H$9:$O$1048576,5,FALSE)</f>
        <v>Fully optimized global sourcing with risk mitigation plans</v>
      </c>
      <c r="Q285" s="77">
        <f>IF(VLOOKUP(H285,'1_Value &amp; risk levers'!$H$9:$T$1048576,13,FALSE)=0,"",VLOOKUP(H285,'1_Value &amp; risk levers'!$H$9:$T$1048576,13,FALSE))</f>
        <v>1</v>
      </c>
      <c r="R285" s="128">
        <f t="shared" si="93"/>
        <v>2</v>
      </c>
      <c r="S285" s="128" t="e">
        <f t="shared" si="94"/>
        <v>#DIV/0!</v>
      </c>
      <c r="T285" s="77"/>
      <c r="U285" s="77"/>
      <c r="V285" s="55"/>
      <c r="W285" s="71">
        <v>0.04</v>
      </c>
      <c r="X285" s="71">
        <v>0.1</v>
      </c>
      <c r="Y285" s="71">
        <f>VLOOKUP(H285,'1_Value &amp; risk levers'!$H$9:$O$1048576,8,FALSE)</f>
        <v>0.8</v>
      </c>
      <c r="Z285" s="51">
        <f t="shared" si="95"/>
        <v>7.0000000000000007E-2</v>
      </c>
      <c r="AA285" s="51">
        <f t="shared" si="97"/>
        <v>8.5000000000000006E-2</v>
      </c>
      <c r="AB285" s="55">
        <f t="shared" si="110"/>
        <v>2800000.0000000005</v>
      </c>
      <c r="AC285" s="55">
        <f t="shared" si="111"/>
        <v>3400000.0000000005</v>
      </c>
      <c r="AD285" s="80">
        <f t="shared" si="98"/>
        <v>7</v>
      </c>
      <c r="AE285" s="84">
        <f t="shared" si="99"/>
        <v>0.48864540816326468</v>
      </c>
      <c r="AF285" s="71" t="str">
        <f t="shared" si="112"/>
        <v>Low</v>
      </c>
      <c r="AG285" s="84">
        <f t="shared" si="100"/>
        <v>5.9772908163265304E-2</v>
      </c>
      <c r="AH285" s="84">
        <f t="shared" si="101"/>
        <v>9.5227091836734709E-2</v>
      </c>
      <c r="AI285" s="73">
        <f t="shared" si="113"/>
        <v>2390916.3265306121</v>
      </c>
      <c r="AJ285" s="73">
        <f t="shared" si="114"/>
        <v>3809083.6734693884</v>
      </c>
      <c r="AK285" s="46">
        <f>VLOOKUP(H285,'1_Value &amp; risk levers'!$H$9:$O$1048576,6,FALSE)</f>
        <v>0.02</v>
      </c>
      <c r="AL285" s="46">
        <f>VLOOKUP(H285,'1_Value &amp; risk levers'!$H$9:$O$1048576,7,FALSE)</f>
        <v>0.03</v>
      </c>
      <c r="AM285" s="50">
        <f t="shared" si="102"/>
        <v>2.75E-2</v>
      </c>
      <c r="AN285" s="72">
        <f t="shared" si="103"/>
        <v>0.12790697674418605</v>
      </c>
      <c r="AO285" s="84">
        <f t="shared" si="104"/>
        <v>7.6453719743711434E-3</v>
      </c>
      <c r="AP285" s="84">
        <f t="shared" si="105"/>
        <v>1.2180209420977696E-2</v>
      </c>
      <c r="AQ285" s="55">
        <f t="shared" si="106"/>
        <v>358139.53488372103</v>
      </c>
      <c r="AR285" s="55">
        <f t="shared" si="107"/>
        <v>434883.72093023261</v>
      </c>
      <c r="AS285" s="83">
        <f t="shared" si="96"/>
        <v>41</v>
      </c>
      <c r="AT285" s="50">
        <f t="shared" si="108"/>
        <v>2.5</v>
      </c>
      <c r="AU285" s="55" t="str">
        <f t="shared" si="109"/>
        <v>Low</v>
      </c>
      <c r="AV285" s="34" t="s">
        <v>1528</v>
      </c>
      <c r="AW285" s="111"/>
      <c r="AX285" s="30" t="s">
        <v>1493</v>
      </c>
      <c r="AY285" s="30"/>
      <c r="AZ285" s="85" t="str">
        <f>IF(ISERROR(_xlfn.XLOOKUP(CONCATENATE(A285,"_",AV285),'Reference-Proof pt impact flag'!$I$3:$I$1048576,'Reference-Proof pt impact flag'!$G$3:$G$1048576)),"",_xlfn.XLOOKUP(CONCATENATE(A285,"_",AV285),'Reference-Proof pt impact flag'!$I$3:$I$1048576,'Reference-Proof pt impact flag'!$G$3:$G$1048576))</f>
        <v/>
      </c>
      <c r="BA285" s="74"/>
      <c r="BB285" s="74"/>
      <c r="BC285" s="74"/>
      <c r="BD285" s="74"/>
      <c r="BE285" s="74"/>
      <c r="BF285" s="74" t="e">
        <f>_xlfn.XLOOKUP(CONCATENATE(H285,"_",AV285),'Test 2 - Proof points - GPT5'!$T:$T,'Test 2 - Proof points - GPT5'!$S:$S)</f>
        <v>#N/A</v>
      </c>
      <c r="BG285" s="74" t="e">
        <f>_xlfn.XLOOKUP(CONCATENATE(H285,"_",AV285),'Test 2 -Proof points - Sonnet'!$AB:$AB,'Test 2 -Proof points - Sonnet'!$AA:$AA)</f>
        <v>#N/A</v>
      </c>
      <c r="BH285" s="74"/>
      <c r="BI285" s="74"/>
      <c r="BJ285" s="74" t="s">
        <v>1605</v>
      </c>
      <c r="BK285" s="30"/>
      <c r="BL285" s="30"/>
      <c r="BM285" s="30"/>
      <c r="BN285" s="30"/>
      <c r="BO285" s="30"/>
      <c r="BP285" s="30"/>
      <c r="BQ285" s="30"/>
      <c r="BR285" s="30"/>
      <c r="BS285" s="30"/>
      <c r="BT285" s="30"/>
      <c r="BU285" s="30"/>
      <c r="BV285" s="113"/>
    </row>
    <row r="286" spans="1:74" ht="217.5" hidden="1" x14ac:dyDescent="0.35">
      <c r="A286" s="22">
        <v>7</v>
      </c>
      <c r="B286" s="22" t="s">
        <v>1451</v>
      </c>
      <c r="C286" s="22" t="s">
        <v>1452</v>
      </c>
      <c r="D286" s="22" t="s">
        <v>1224</v>
      </c>
      <c r="E286" s="22" t="s">
        <v>1453</v>
      </c>
      <c r="F286" s="22"/>
      <c r="G286" s="22" t="s">
        <v>1274</v>
      </c>
      <c r="H286" s="21" t="s">
        <v>1278</v>
      </c>
      <c r="I286" s="22"/>
      <c r="J286" s="21" t="s">
        <v>1331</v>
      </c>
      <c r="K286" s="30"/>
      <c r="L286" s="30" t="s">
        <v>1277</v>
      </c>
      <c r="M286" s="35" t="str">
        <f>VLOOKUP(H286,'1_Value &amp; risk levers'!$H$9:$O$1048576,2,FALSE)</f>
        <v>Not considered</v>
      </c>
      <c r="N286" s="35" t="str">
        <f>VLOOKUP(H286,'1_Value &amp; risk levers'!$H$9:$O$1048576,3,FALSE)</f>
        <v>Limited exploration of alternative origins</v>
      </c>
      <c r="O286" s="35" t="str">
        <f>VLOOKUP(H286,'1_Value &amp; risk levers'!$H$9:$O$1048576,4,FALSE)</f>
        <v>Regularly sourcing from diverse origins</v>
      </c>
      <c r="P286" s="35" t="str">
        <f>VLOOKUP(H286,'1_Value &amp; risk levers'!$H$9:$O$1048576,5,FALSE)</f>
        <v>Fully optimized global sourcing with risk mitigation plans</v>
      </c>
      <c r="Q286" s="77">
        <f>IF(VLOOKUP(H286,'1_Value &amp; risk levers'!$H$9:$T$1048576,13,FALSE)=0,"",VLOOKUP(H286,'1_Value &amp; risk levers'!$H$9:$T$1048576,13,FALSE))</f>
        <v>1</v>
      </c>
      <c r="R286" s="128">
        <f t="shared" si="93"/>
        <v>2</v>
      </c>
      <c r="S286" s="128" t="e">
        <f t="shared" si="94"/>
        <v>#DIV/0!</v>
      </c>
      <c r="T286" s="77"/>
      <c r="U286" s="77"/>
      <c r="V286" s="55"/>
      <c r="W286" s="71">
        <v>0.04</v>
      </c>
      <c r="X286" s="71">
        <v>0.1</v>
      </c>
      <c r="Y286" s="71">
        <f>VLOOKUP(H286,'1_Value &amp; risk levers'!$H$9:$O$1048576,8,FALSE)</f>
        <v>0.8</v>
      </c>
      <c r="Z286" s="51">
        <f t="shared" si="95"/>
        <v>7.0000000000000007E-2</v>
      </c>
      <c r="AA286" s="51">
        <f t="shared" si="97"/>
        <v>8.5000000000000006E-2</v>
      </c>
      <c r="AB286" s="55">
        <f t="shared" si="110"/>
        <v>2800000.0000000005</v>
      </c>
      <c r="AC286" s="55">
        <f t="shared" si="111"/>
        <v>3400000.0000000005</v>
      </c>
      <c r="AD286" s="80">
        <f t="shared" si="98"/>
        <v>7</v>
      </c>
      <c r="AE286" s="84">
        <f t="shared" si="99"/>
        <v>0.48864540816326468</v>
      </c>
      <c r="AF286" s="71" t="str">
        <f t="shared" si="112"/>
        <v>Low</v>
      </c>
      <c r="AG286" s="84">
        <f t="shared" si="100"/>
        <v>5.9772908163265304E-2</v>
      </c>
      <c r="AH286" s="84">
        <f t="shared" si="101"/>
        <v>9.5227091836734709E-2</v>
      </c>
      <c r="AI286" s="73">
        <f t="shared" si="113"/>
        <v>2390916.3265306121</v>
      </c>
      <c r="AJ286" s="73">
        <f t="shared" si="114"/>
        <v>3809083.6734693884</v>
      </c>
      <c r="AK286" s="46">
        <f>VLOOKUP(H286,'1_Value &amp; risk levers'!$H$9:$O$1048576,6,FALSE)</f>
        <v>0.02</v>
      </c>
      <c r="AL286" s="46">
        <f>VLOOKUP(H286,'1_Value &amp; risk levers'!$H$9:$O$1048576,7,FALSE)</f>
        <v>0.03</v>
      </c>
      <c r="AM286" s="50">
        <f t="shared" si="102"/>
        <v>2.75E-2</v>
      </c>
      <c r="AN286" s="72">
        <f t="shared" si="103"/>
        <v>0.12790697674418605</v>
      </c>
      <c r="AO286" s="84">
        <f t="shared" si="104"/>
        <v>7.6453719743711434E-3</v>
      </c>
      <c r="AP286" s="84">
        <f t="shared" si="105"/>
        <v>1.2180209420977696E-2</v>
      </c>
      <c r="AQ286" s="55">
        <f t="shared" si="106"/>
        <v>358139.53488372103</v>
      </c>
      <c r="AR286" s="55">
        <f t="shared" si="107"/>
        <v>434883.72093023261</v>
      </c>
      <c r="AS286" s="83">
        <f t="shared" si="96"/>
        <v>41</v>
      </c>
      <c r="AT286" s="50">
        <f t="shared" si="108"/>
        <v>2.5</v>
      </c>
      <c r="AU286" s="55" t="str">
        <f t="shared" si="109"/>
        <v>Low</v>
      </c>
      <c r="AV286" s="34" t="s">
        <v>1529</v>
      </c>
      <c r="AW286" s="111"/>
      <c r="AX286" s="30" t="s">
        <v>1493</v>
      </c>
      <c r="AY286" s="30"/>
      <c r="AZ286" s="85" t="str">
        <f>IF(ISERROR(_xlfn.XLOOKUP(CONCATENATE(A286,"_",AV286),'Reference-Proof pt impact flag'!$I$3:$I$1048576,'Reference-Proof pt impact flag'!$G$3:$G$1048576)),"",_xlfn.XLOOKUP(CONCATENATE(A286,"_",AV286),'Reference-Proof pt impact flag'!$I$3:$I$1048576,'Reference-Proof pt impact flag'!$G$3:$G$1048576))</f>
        <v/>
      </c>
      <c r="BA286" s="74"/>
      <c r="BB286" s="74"/>
      <c r="BC286" s="74"/>
      <c r="BD286" s="74"/>
      <c r="BE286" s="74"/>
      <c r="BF286" s="74" t="e">
        <f>_xlfn.XLOOKUP(CONCATENATE(H286,"_",AV286),'Test 2 - Proof points - GPT5'!$T:$T,'Test 2 - Proof points - GPT5'!$S:$S)</f>
        <v>#N/A</v>
      </c>
      <c r="BG286" s="74" t="e">
        <f>_xlfn.XLOOKUP(CONCATENATE(H286,"_",AV286),'Test 2 -Proof points - Sonnet'!$AB:$AB,'Test 2 -Proof points - Sonnet'!$AA:$AA)</f>
        <v>#N/A</v>
      </c>
      <c r="BH286" s="74"/>
      <c r="BI286" s="74"/>
      <c r="BJ286" s="74" t="s">
        <v>1605</v>
      </c>
      <c r="BK286" s="30"/>
      <c r="BL286" s="30"/>
      <c r="BM286" s="30"/>
      <c r="BN286" s="30"/>
      <c r="BO286" s="30"/>
      <c r="BP286" s="30"/>
      <c r="BQ286" s="30"/>
      <c r="BR286" s="30"/>
      <c r="BS286" s="30"/>
      <c r="BT286" s="30"/>
      <c r="BU286" s="30"/>
      <c r="BV286" s="113"/>
    </row>
    <row r="287" spans="1:74" ht="217.5" hidden="1" x14ac:dyDescent="0.35">
      <c r="A287" s="22">
        <v>7</v>
      </c>
      <c r="B287" s="22" t="s">
        <v>1451</v>
      </c>
      <c r="C287" s="22" t="s">
        <v>1452</v>
      </c>
      <c r="D287" s="22" t="s">
        <v>1224</v>
      </c>
      <c r="E287" s="22" t="s">
        <v>1453</v>
      </c>
      <c r="F287" s="22"/>
      <c r="G287" s="22" t="s">
        <v>1274</v>
      </c>
      <c r="H287" s="21" t="s">
        <v>1278</v>
      </c>
      <c r="I287" s="22"/>
      <c r="J287" s="21" t="s">
        <v>1331</v>
      </c>
      <c r="K287" s="30"/>
      <c r="L287" s="30" t="s">
        <v>1277</v>
      </c>
      <c r="M287" s="35" t="str">
        <f>VLOOKUP(H287,'1_Value &amp; risk levers'!$H$9:$O$1048576,2,FALSE)</f>
        <v>Not considered</v>
      </c>
      <c r="N287" s="35" t="str">
        <f>VLOOKUP(H287,'1_Value &amp; risk levers'!$H$9:$O$1048576,3,FALSE)</f>
        <v>Limited exploration of alternative origins</v>
      </c>
      <c r="O287" s="35" t="str">
        <f>VLOOKUP(H287,'1_Value &amp; risk levers'!$H$9:$O$1048576,4,FALSE)</f>
        <v>Regularly sourcing from diverse origins</v>
      </c>
      <c r="P287" s="35" t="str">
        <f>VLOOKUP(H287,'1_Value &amp; risk levers'!$H$9:$O$1048576,5,FALSE)</f>
        <v>Fully optimized global sourcing with risk mitigation plans</v>
      </c>
      <c r="Q287" s="77">
        <f>IF(VLOOKUP(H287,'1_Value &amp; risk levers'!$H$9:$T$1048576,13,FALSE)=0,"",VLOOKUP(H287,'1_Value &amp; risk levers'!$H$9:$T$1048576,13,FALSE))</f>
        <v>1</v>
      </c>
      <c r="R287" s="128">
        <f t="shared" si="93"/>
        <v>2</v>
      </c>
      <c r="S287" s="128" t="e">
        <f t="shared" si="94"/>
        <v>#DIV/0!</v>
      </c>
      <c r="T287" s="77"/>
      <c r="U287" s="77"/>
      <c r="V287" s="55"/>
      <c r="W287" s="71">
        <v>0.04</v>
      </c>
      <c r="X287" s="71">
        <v>0.1</v>
      </c>
      <c r="Y287" s="71">
        <f>VLOOKUP(H287,'1_Value &amp; risk levers'!$H$9:$O$1048576,8,FALSE)</f>
        <v>0.8</v>
      </c>
      <c r="Z287" s="51">
        <f t="shared" si="95"/>
        <v>7.0000000000000007E-2</v>
      </c>
      <c r="AA287" s="51">
        <f t="shared" si="97"/>
        <v>8.5000000000000006E-2</v>
      </c>
      <c r="AB287" s="55">
        <f t="shared" si="110"/>
        <v>2800000.0000000005</v>
      </c>
      <c r="AC287" s="55">
        <f t="shared" si="111"/>
        <v>3400000.0000000005</v>
      </c>
      <c r="AD287" s="80">
        <f t="shared" si="98"/>
        <v>7</v>
      </c>
      <c r="AE287" s="84">
        <f t="shared" si="99"/>
        <v>0.48864540816326468</v>
      </c>
      <c r="AF287" s="71" t="str">
        <f t="shared" si="112"/>
        <v>Low</v>
      </c>
      <c r="AG287" s="84">
        <f t="shared" si="100"/>
        <v>5.9772908163265304E-2</v>
      </c>
      <c r="AH287" s="84">
        <f t="shared" si="101"/>
        <v>9.5227091836734709E-2</v>
      </c>
      <c r="AI287" s="73">
        <f t="shared" si="113"/>
        <v>2390916.3265306121</v>
      </c>
      <c r="AJ287" s="73">
        <f t="shared" si="114"/>
        <v>3809083.6734693884</v>
      </c>
      <c r="AK287" s="46">
        <f>VLOOKUP(H287,'1_Value &amp; risk levers'!$H$9:$O$1048576,6,FALSE)</f>
        <v>0.02</v>
      </c>
      <c r="AL287" s="46">
        <f>VLOOKUP(H287,'1_Value &amp; risk levers'!$H$9:$O$1048576,7,FALSE)</f>
        <v>0.03</v>
      </c>
      <c r="AM287" s="50">
        <f t="shared" si="102"/>
        <v>2.75E-2</v>
      </c>
      <c r="AN287" s="72">
        <f t="shared" si="103"/>
        <v>0.12790697674418605</v>
      </c>
      <c r="AO287" s="84">
        <f t="shared" si="104"/>
        <v>7.6453719743711434E-3</v>
      </c>
      <c r="AP287" s="84">
        <f t="shared" si="105"/>
        <v>1.2180209420977696E-2</v>
      </c>
      <c r="AQ287" s="55">
        <f t="shared" si="106"/>
        <v>358139.53488372103</v>
      </c>
      <c r="AR287" s="55">
        <f t="shared" si="107"/>
        <v>434883.72093023261</v>
      </c>
      <c r="AS287" s="83">
        <f t="shared" si="96"/>
        <v>41</v>
      </c>
      <c r="AT287" s="50">
        <f t="shared" si="108"/>
        <v>2.5</v>
      </c>
      <c r="AU287" s="55" t="str">
        <f t="shared" si="109"/>
        <v>Low</v>
      </c>
      <c r="AV287" s="34" t="s">
        <v>1530</v>
      </c>
      <c r="AW287" s="111"/>
      <c r="AX287" s="30" t="s">
        <v>1493</v>
      </c>
      <c r="AY287" s="30"/>
      <c r="AZ287" s="85" t="str">
        <f>IF(ISERROR(_xlfn.XLOOKUP(CONCATENATE(A287,"_",AV287),'Reference-Proof pt impact flag'!$I$3:$I$1048576,'Reference-Proof pt impact flag'!$G$3:$G$1048576)),"",_xlfn.XLOOKUP(CONCATENATE(A287,"_",AV287),'Reference-Proof pt impact flag'!$I$3:$I$1048576,'Reference-Proof pt impact flag'!$G$3:$G$1048576))</f>
        <v/>
      </c>
      <c r="BA287" s="74"/>
      <c r="BB287" s="74"/>
      <c r="BC287" s="74"/>
      <c r="BD287" s="74"/>
      <c r="BE287" s="74"/>
      <c r="BF287" s="74" t="e">
        <f>_xlfn.XLOOKUP(CONCATENATE(H287,"_",AV287),'Test 2 - Proof points - GPT5'!$T:$T,'Test 2 - Proof points - GPT5'!$S:$S)</f>
        <v>#N/A</v>
      </c>
      <c r="BG287" s="74" t="e">
        <f>_xlfn.XLOOKUP(CONCATENATE(H287,"_",AV287),'Test 2 -Proof points - Sonnet'!$AB:$AB,'Test 2 -Proof points - Sonnet'!$AA:$AA)</f>
        <v>#N/A</v>
      </c>
      <c r="BH287" s="74"/>
      <c r="BI287" s="74"/>
      <c r="BJ287" s="74" t="s">
        <v>1605</v>
      </c>
      <c r="BK287" s="30"/>
      <c r="BL287" s="30"/>
      <c r="BM287" s="30"/>
      <c r="BN287" s="30"/>
      <c r="BO287" s="30"/>
      <c r="BP287" s="30"/>
      <c r="BQ287" s="30"/>
      <c r="BR287" s="30"/>
      <c r="BS287" s="30"/>
      <c r="BT287" s="30"/>
      <c r="BU287" s="30"/>
      <c r="BV287" s="113"/>
    </row>
    <row r="288" spans="1:74" ht="217.5" hidden="1" x14ac:dyDescent="0.35">
      <c r="A288" s="22">
        <v>7</v>
      </c>
      <c r="B288" s="22" t="s">
        <v>1451</v>
      </c>
      <c r="C288" s="22" t="s">
        <v>1452</v>
      </c>
      <c r="D288" s="22" t="s">
        <v>1224</v>
      </c>
      <c r="E288" s="22" t="s">
        <v>1453</v>
      </c>
      <c r="F288" s="22"/>
      <c r="G288" s="22" t="s">
        <v>1274</v>
      </c>
      <c r="H288" s="21" t="s">
        <v>1278</v>
      </c>
      <c r="I288" s="22"/>
      <c r="J288" s="21" t="s">
        <v>1331</v>
      </c>
      <c r="K288" s="30"/>
      <c r="L288" s="30" t="s">
        <v>1277</v>
      </c>
      <c r="M288" s="35" t="str">
        <f>VLOOKUP(H288,'1_Value &amp; risk levers'!$H$9:$O$1048576,2,FALSE)</f>
        <v>Not considered</v>
      </c>
      <c r="N288" s="35" t="str">
        <f>VLOOKUP(H288,'1_Value &amp; risk levers'!$H$9:$O$1048576,3,FALSE)</f>
        <v>Limited exploration of alternative origins</v>
      </c>
      <c r="O288" s="35" t="str">
        <f>VLOOKUP(H288,'1_Value &amp; risk levers'!$H$9:$O$1048576,4,FALSE)</f>
        <v>Regularly sourcing from diverse origins</v>
      </c>
      <c r="P288" s="35" t="str">
        <f>VLOOKUP(H288,'1_Value &amp; risk levers'!$H$9:$O$1048576,5,FALSE)</f>
        <v>Fully optimized global sourcing with risk mitigation plans</v>
      </c>
      <c r="Q288" s="77">
        <f>IF(VLOOKUP(H288,'1_Value &amp; risk levers'!$H$9:$T$1048576,13,FALSE)=0,"",VLOOKUP(H288,'1_Value &amp; risk levers'!$H$9:$T$1048576,13,FALSE))</f>
        <v>1</v>
      </c>
      <c r="R288" s="128">
        <f t="shared" si="93"/>
        <v>2</v>
      </c>
      <c r="S288" s="128" t="e">
        <f t="shared" si="94"/>
        <v>#DIV/0!</v>
      </c>
      <c r="T288" s="77"/>
      <c r="U288" s="77"/>
      <c r="V288" s="55"/>
      <c r="W288" s="71">
        <v>0.04</v>
      </c>
      <c r="X288" s="71">
        <v>0.1</v>
      </c>
      <c r="Y288" s="71">
        <f>VLOOKUP(H288,'1_Value &amp; risk levers'!$H$9:$O$1048576,8,FALSE)</f>
        <v>0.8</v>
      </c>
      <c r="Z288" s="51">
        <f t="shared" si="95"/>
        <v>7.0000000000000007E-2</v>
      </c>
      <c r="AA288" s="51">
        <f t="shared" si="97"/>
        <v>8.5000000000000006E-2</v>
      </c>
      <c r="AB288" s="55">
        <f t="shared" si="110"/>
        <v>2800000.0000000005</v>
      </c>
      <c r="AC288" s="55">
        <f t="shared" si="111"/>
        <v>3400000.0000000005</v>
      </c>
      <c r="AD288" s="80">
        <f t="shared" si="98"/>
        <v>7</v>
      </c>
      <c r="AE288" s="84">
        <f t="shared" si="99"/>
        <v>0.48864540816326468</v>
      </c>
      <c r="AF288" s="71" t="str">
        <f t="shared" si="112"/>
        <v>Low</v>
      </c>
      <c r="AG288" s="84">
        <f t="shared" si="100"/>
        <v>5.9772908163265304E-2</v>
      </c>
      <c r="AH288" s="84">
        <f t="shared" si="101"/>
        <v>9.5227091836734709E-2</v>
      </c>
      <c r="AI288" s="73">
        <f t="shared" si="113"/>
        <v>2390916.3265306121</v>
      </c>
      <c r="AJ288" s="73">
        <f t="shared" si="114"/>
        <v>3809083.6734693884</v>
      </c>
      <c r="AK288" s="46">
        <f>VLOOKUP(H288,'1_Value &amp; risk levers'!$H$9:$O$1048576,6,FALSE)</f>
        <v>0.02</v>
      </c>
      <c r="AL288" s="46">
        <f>VLOOKUP(H288,'1_Value &amp; risk levers'!$H$9:$O$1048576,7,FALSE)</f>
        <v>0.03</v>
      </c>
      <c r="AM288" s="50">
        <f t="shared" si="102"/>
        <v>2.75E-2</v>
      </c>
      <c r="AN288" s="72">
        <f t="shared" si="103"/>
        <v>0.12790697674418605</v>
      </c>
      <c r="AO288" s="84">
        <f t="shared" si="104"/>
        <v>7.6453719743711434E-3</v>
      </c>
      <c r="AP288" s="84">
        <f t="shared" si="105"/>
        <v>1.2180209420977696E-2</v>
      </c>
      <c r="AQ288" s="55">
        <f t="shared" si="106"/>
        <v>358139.53488372103</v>
      </c>
      <c r="AR288" s="55">
        <f t="shared" si="107"/>
        <v>434883.72093023261</v>
      </c>
      <c r="AS288" s="83">
        <f t="shared" si="96"/>
        <v>41</v>
      </c>
      <c r="AT288" s="50">
        <f t="shared" si="108"/>
        <v>2.5</v>
      </c>
      <c r="AU288" s="55" t="str">
        <f t="shared" si="109"/>
        <v>Low</v>
      </c>
      <c r="AV288" s="34" t="s">
        <v>1531</v>
      </c>
      <c r="AW288" s="111"/>
      <c r="AX288" s="30" t="s">
        <v>1493</v>
      </c>
      <c r="AY288" s="30"/>
      <c r="AZ288" s="85" t="str">
        <f>IF(ISERROR(_xlfn.XLOOKUP(CONCATENATE(A288,"_",AV288),'Reference-Proof pt impact flag'!$I$3:$I$1048576,'Reference-Proof pt impact flag'!$G$3:$G$1048576)),"",_xlfn.XLOOKUP(CONCATENATE(A288,"_",AV288),'Reference-Proof pt impact flag'!$I$3:$I$1048576,'Reference-Proof pt impact flag'!$G$3:$G$1048576))</f>
        <v/>
      </c>
      <c r="BA288" s="74"/>
      <c r="BB288" s="74"/>
      <c r="BC288" s="74"/>
      <c r="BD288" s="74"/>
      <c r="BE288" s="74"/>
      <c r="BF288" s="74" t="e">
        <f>_xlfn.XLOOKUP(CONCATENATE(H288,"_",AV288),'Test 2 - Proof points - GPT5'!$T:$T,'Test 2 - Proof points - GPT5'!$S:$S)</f>
        <v>#N/A</v>
      </c>
      <c r="BG288" s="74" t="e">
        <f>_xlfn.XLOOKUP(CONCATENATE(H288,"_",AV288),'Test 2 -Proof points - Sonnet'!$AB:$AB,'Test 2 -Proof points - Sonnet'!$AA:$AA)</f>
        <v>#N/A</v>
      </c>
      <c r="BH288" s="74"/>
      <c r="BI288" s="74"/>
      <c r="BJ288" s="74" t="s">
        <v>1605</v>
      </c>
      <c r="BK288" s="30"/>
      <c r="BL288" s="30"/>
      <c r="BM288" s="30"/>
      <c r="BN288" s="30"/>
      <c r="BO288" s="30"/>
      <c r="BP288" s="30"/>
      <c r="BQ288" s="30"/>
      <c r="BR288" s="30"/>
      <c r="BS288" s="30"/>
      <c r="BT288" s="30"/>
      <c r="BU288" s="30"/>
      <c r="BV288" s="113"/>
    </row>
    <row r="289" spans="1:74" ht="217.5" hidden="1" x14ac:dyDescent="0.35">
      <c r="A289" s="22">
        <v>7</v>
      </c>
      <c r="B289" s="22" t="s">
        <v>1451</v>
      </c>
      <c r="C289" s="22" t="s">
        <v>1452</v>
      </c>
      <c r="D289" s="22" t="s">
        <v>1224</v>
      </c>
      <c r="E289" s="22" t="s">
        <v>1453</v>
      </c>
      <c r="F289" s="22"/>
      <c r="G289" s="22" t="s">
        <v>1274</v>
      </c>
      <c r="H289" s="98" t="s">
        <v>1278</v>
      </c>
      <c r="I289" s="102"/>
      <c r="J289" s="21" t="s">
        <v>1331</v>
      </c>
      <c r="K289" s="30"/>
      <c r="L289" s="30" t="s">
        <v>1277</v>
      </c>
      <c r="M289" s="35" t="str">
        <f>VLOOKUP(H289,'1_Value &amp; risk levers'!$H$9:$O$1048576,2,FALSE)</f>
        <v>Not considered</v>
      </c>
      <c r="N289" s="35" t="str">
        <f>VLOOKUP(H289,'1_Value &amp; risk levers'!$H$9:$O$1048576,3,FALSE)</f>
        <v>Limited exploration of alternative origins</v>
      </c>
      <c r="O289" s="35" t="str">
        <f>VLOOKUP(H289,'1_Value &amp; risk levers'!$H$9:$O$1048576,4,FALSE)</f>
        <v>Regularly sourcing from diverse origins</v>
      </c>
      <c r="P289" s="35" t="str">
        <f>VLOOKUP(H289,'1_Value &amp; risk levers'!$H$9:$O$1048576,5,FALSE)</f>
        <v>Fully optimized global sourcing with risk mitigation plans</v>
      </c>
      <c r="Q289" s="77">
        <f>IF(VLOOKUP(H289,'1_Value &amp; risk levers'!$H$9:$T$1048576,13,FALSE)=0,"",VLOOKUP(H289,'1_Value &amp; risk levers'!$H$9:$T$1048576,13,FALSE))</f>
        <v>1</v>
      </c>
      <c r="R289" s="128">
        <f t="shared" si="93"/>
        <v>2</v>
      </c>
      <c r="S289" s="128" t="e">
        <f t="shared" si="94"/>
        <v>#DIV/0!</v>
      </c>
      <c r="T289" s="77"/>
      <c r="U289" s="77"/>
      <c r="V289" s="55"/>
      <c r="W289" s="71">
        <v>0.04</v>
      </c>
      <c r="X289" s="71">
        <v>0.1</v>
      </c>
      <c r="Y289" s="71">
        <f>VLOOKUP(H289,'1_Value &amp; risk levers'!$H$9:$O$1048576,8,FALSE)</f>
        <v>0.8</v>
      </c>
      <c r="Z289" s="51">
        <f t="shared" si="95"/>
        <v>7.0000000000000007E-2</v>
      </c>
      <c r="AA289" s="51">
        <f t="shared" si="97"/>
        <v>8.5000000000000006E-2</v>
      </c>
      <c r="AB289" s="55">
        <f t="shared" si="110"/>
        <v>2800000.0000000005</v>
      </c>
      <c r="AC289" s="55">
        <f t="shared" si="111"/>
        <v>3400000.0000000005</v>
      </c>
      <c r="AD289" s="80">
        <f t="shared" si="98"/>
        <v>7</v>
      </c>
      <c r="AE289" s="84">
        <f t="shared" si="99"/>
        <v>0.48864540816326468</v>
      </c>
      <c r="AF289" s="71" t="str">
        <f t="shared" si="112"/>
        <v>Low</v>
      </c>
      <c r="AG289" s="84">
        <f t="shared" si="100"/>
        <v>5.9772908163265304E-2</v>
      </c>
      <c r="AH289" s="84">
        <f t="shared" si="101"/>
        <v>9.5227091836734709E-2</v>
      </c>
      <c r="AI289" s="73">
        <f t="shared" si="113"/>
        <v>2390916.3265306121</v>
      </c>
      <c r="AJ289" s="73">
        <f t="shared" si="114"/>
        <v>3809083.6734693884</v>
      </c>
      <c r="AK289" s="46">
        <f>VLOOKUP(H289,'1_Value &amp; risk levers'!$H$9:$O$1048576,6,FALSE)</f>
        <v>0.02</v>
      </c>
      <c r="AL289" s="46">
        <f>VLOOKUP(H289,'1_Value &amp; risk levers'!$H$9:$O$1048576,7,FALSE)</f>
        <v>0.03</v>
      </c>
      <c r="AM289" s="50">
        <f t="shared" si="102"/>
        <v>2.75E-2</v>
      </c>
      <c r="AN289" s="72">
        <f t="shared" si="103"/>
        <v>0.12790697674418605</v>
      </c>
      <c r="AO289" s="84">
        <f t="shared" si="104"/>
        <v>7.6453719743711434E-3</v>
      </c>
      <c r="AP289" s="84">
        <f t="shared" si="105"/>
        <v>1.2180209420977696E-2</v>
      </c>
      <c r="AQ289" s="55">
        <f t="shared" si="106"/>
        <v>358139.53488372103</v>
      </c>
      <c r="AR289" s="55">
        <f t="shared" si="107"/>
        <v>434883.72093023261</v>
      </c>
      <c r="AS289" s="83">
        <f t="shared" si="96"/>
        <v>41</v>
      </c>
      <c r="AT289" s="50">
        <f t="shared" si="108"/>
        <v>2.5</v>
      </c>
      <c r="AU289" s="55" t="str">
        <f t="shared" si="109"/>
        <v>Low</v>
      </c>
      <c r="AV289" s="34" t="s">
        <v>1532</v>
      </c>
      <c r="AW289" s="111"/>
      <c r="AX289" s="30" t="s">
        <v>1493</v>
      </c>
      <c r="AY289" s="30"/>
      <c r="AZ289" s="85" t="str">
        <f>IF(ISERROR(_xlfn.XLOOKUP(CONCATENATE(A289,"_",AV289),'Reference-Proof pt impact flag'!$I$3:$I$1048576,'Reference-Proof pt impact flag'!$G$3:$G$1048576)),"",_xlfn.XLOOKUP(CONCATENATE(A289,"_",AV289),'Reference-Proof pt impact flag'!$I$3:$I$1048576,'Reference-Proof pt impact flag'!$G$3:$G$1048576))</f>
        <v/>
      </c>
      <c r="BA289" s="74"/>
      <c r="BB289" s="74"/>
      <c r="BC289" s="74"/>
      <c r="BD289" s="74"/>
      <c r="BE289" s="74"/>
      <c r="BF289" s="74" t="e">
        <f>_xlfn.XLOOKUP(CONCATENATE(H289,"_",AV289),'Test 2 - Proof points - GPT5'!$T:$T,'Test 2 - Proof points - GPT5'!$S:$S)</f>
        <v>#N/A</v>
      </c>
      <c r="BG289" s="74" t="e">
        <f>_xlfn.XLOOKUP(CONCATENATE(H289,"_",AV289),'Test 2 -Proof points - Sonnet'!$AB:$AB,'Test 2 -Proof points - Sonnet'!$AA:$AA)</f>
        <v>#N/A</v>
      </c>
      <c r="BH289" s="74"/>
      <c r="BI289" s="74"/>
      <c r="BJ289" s="74" t="s">
        <v>1605</v>
      </c>
      <c r="BK289" s="30"/>
      <c r="BL289" s="30"/>
      <c r="BM289" s="30"/>
      <c r="BN289" s="30"/>
      <c r="BO289" s="30"/>
      <c r="BP289" s="30"/>
      <c r="BQ289" s="30"/>
      <c r="BR289" s="30"/>
      <c r="BS289" s="30"/>
      <c r="BT289" s="30"/>
      <c r="BU289" s="30"/>
      <c r="BV289" s="113"/>
    </row>
    <row r="1048567" ht="23.5" customHeight="1" x14ac:dyDescent="0.35"/>
  </sheetData>
  <autoFilter ref="A2:CA289" xr:uid="{1F45318D-A2F7-44D5-93E4-AB0B02B8DD29}">
    <filterColumn colId="0">
      <filters>
        <filter val="5"/>
      </filters>
    </filterColumn>
    <filterColumn colId="50">
      <customFilters>
        <customFilter operator="notEqual" val=" "/>
      </customFilters>
    </filterColumn>
  </autoFilter>
  <mergeCells count="6">
    <mergeCell ref="BR1:BU1"/>
    <mergeCell ref="M1:Q1"/>
    <mergeCell ref="W1:AJ1"/>
    <mergeCell ref="BK1:BQ1"/>
    <mergeCell ref="AK1:AU1"/>
    <mergeCell ref="T1:V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0A401-54E3-4107-9B7A-A786A8CBE868}">
  <dimension ref="A1:AS27"/>
  <sheetViews>
    <sheetView showGridLines="0" zoomScale="57" zoomScaleNormal="80" workbookViewId="0">
      <pane xSplit="18" ySplit="2" topLeftCell="AH3" activePane="bottomRight" state="frozen"/>
      <selection pane="topRight" activeCell="S1" sqref="S1"/>
      <selection pane="bottomLeft" activeCell="A3" sqref="A3"/>
      <selection pane="bottomRight" activeCell="J3" sqref="J3"/>
    </sheetView>
  </sheetViews>
  <sheetFormatPr defaultColWidth="8.7265625" defaultRowHeight="14.5" outlineLevelCol="1" x14ac:dyDescent="0.35"/>
  <cols>
    <col min="1" max="1" width="8.7265625" style="32"/>
    <col min="2" max="2" width="14.453125" style="32" customWidth="1"/>
    <col min="3" max="3" width="12.54296875" style="32" customWidth="1"/>
    <col min="4" max="4" width="8.7265625" style="32" customWidth="1"/>
    <col min="5" max="5" width="9.453125" style="32" customWidth="1"/>
    <col min="6" max="6" width="4.7265625" style="32" customWidth="1"/>
    <col min="7" max="7" width="9.81640625" style="32" customWidth="1"/>
    <col min="8" max="8" width="24" style="28" customWidth="1"/>
    <col min="9" max="9" width="7.453125" style="32" customWidth="1"/>
    <col min="10" max="10" width="20.81640625" style="28" customWidth="1"/>
    <col min="11" max="11" width="8.7265625" style="32" customWidth="1"/>
    <col min="12" max="12" width="9.1796875" style="32" customWidth="1"/>
    <col min="13" max="13" width="23.7265625" style="32" hidden="1" customWidth="1"/>
    <col min="14" max="14" width="26.26953125" style="32" hidden="1" customWidth="1"/>
    <col min="15" max="15" width="23.26953125" style="32" hidden="1" customWidth="1"/>
    <col min="16" max="16" width="24" style="32" hidden="1" customWidth="1"/>
    <col min="17" max="17" width="13.7265625" style="78" hidden="1" customWidth="1"/>
    <col min="18" max="18" width="13.7265625" style="78" hidden="1" customWidth="1" outlineLevel="1"/>
    <col min="19" max="19" width="37.1796875" style="78" hidden="1" customWidth="1" collapsed="1"/>
    <col min="20" max="20" width="13.7265625" style="52" hidden="1" customWidth="1"/>
    <col min="21" max="21" width="16.1796875" style="52" hidden="1" customWidth="1"/>
    <col min="22" max="22" width="18.453125" style="32" customWidth="1"/>
    <col min="23" max="23" width="24.81640625" style="32" customWidth="1"/>
    <col min="24" max="24" width="42.26953125" style="32" customWidth="1" outlineLevel="1"/>
    <col min="25" max="25" width="17.81640625" style="32" customWidth="1"/>
    <col min="26" max="27" width="9.54296875" style="32" customWidth="1"/>
    <col min="28" max="28" width="10.81640625" style="32" bestFit="1" customWidth="1"/>
    <col min="29" max="29" width="8.81640625" style="32" customWidth="1"/>
    <col min="30" max="30" width="65" style="75" hidden="1" customWidth="1"/>
    <col min="31" max="31" width="19.81640625" style="75" customWidth="1"/>
    <col min="32" max="32" width="53.54296875" style="75" customWidth="1"/>
    <col min="33" max="33" width="69.54296875" style="75" hidden="1" customWidth="1"/>
    <col min="34" max="34" width="86.54296875" style="76" customWidth="1"/>
    <col min="35" max="35" width="121" style="76" customWidth="1"/>
    <col min="36" max="39" width="12.26953125" style="32" customWidth="1"/>
    <col min="40" max="16384" width="8.7265625" style="32"/>
  </cols>
  <sheetData>
    <row r="1" spans="1:45" ht="29.15" customHeight="1" x14ac:dyDescent="0.35">
      <c r="E1" s="185"/>
      <c r="J1" s="184"/>
      <c r="L1" s="185"/>
      <c r="M1" s="237" t="s">
        <v>4</v>
      </c>
      <c r="N1" s="238"/>
      <c r="O1" s="238"/>
      <c r="P1" s="238"/>
      <c r="Q1" s="239"/>
      <c r="R1" s="157"/>
      <c r="S1" s="174" t="s">
        <v>1385</v>
      </c>
      <c r="T1" s="173" t="s">
        <v>1385</v>
      </c>
      <c r="U1" s="157"/>
      <c r="V1" s="185"/>
      <c r="W1" s="185"/>
      <c r="AD1" s="32"/>
      <c r="AE1" s="32"/>
      <c r="AF1" s="185" t="s">
        <v>1616</v>
      </c>
      <c r="AG1" s="32"/>
      <c r="AH1" s="28"/>
      <c r="AI1" s="28"/>
      <c r="AJ1" s="240" t="s">
        <v>1388</v>
      </c>
      <c r="AK1" s="241"/>
      <c r="AL1" s="241"/>
      <c r="AM1" s="241"/>
      <c r="AN1" s="158"/>
      <c r="AO1" s="118"/>
      <c r="AP1" s="118"/>
      <c r="AQ1" s="118"/>
      <c r="AR1" s="118"/>
      <c r="AS1" s="119"/>
    </row>
    <row r="2" spans="1:45" ht="72.5" x14ac:dyDescent="0.35">
      <c r="A2" s="29" t="s">
        <v>1389</v>
      </c>
      <c r="B2" s="29" t="s">
        <v>1390</v>
      </c>
      <c r="C2" s="29" t="s">
        <v>1391</v>
      </c>
      <c r="D2" s="29" t="s">
        <v>7</v>
      </c>
      <c r="E2" s="29" t="s">
        <v>8</v>
      </c>
      <c r="F2" s="29" t="s">
        <v>1210</v>
      </c>
      <c r="G2" s="82" t="s">
        <v>1392</v>
      </c>
      <c r="H2" s="82" t="s">
        <v>1393</v>
      </c>
      <c r="I2" s="162" t="s">
        <v>1617</v>
      </c>
      <c r="J2" s="82" t="s">
        <v>1395</v>
      </c>
      <c r="K2" s="122" t="s">
        <v>1213</v>
      </c>
      <c r="L2" s="162" t="s">
        <v>1618</v>
      </c>
      <c r="M2" s="163" t="s">
        <v>11</v>
      </c>
      <c r="N2" s="163" t="s">
        <v>12</v>
      </c>
      <c r="O2" s="163" t="s">
        <v>13</v>
      </c>
      <c r="P2" s="163" t="s">
        <v>14</v>
      </c>
      <c r="Q2" s="163" t="s">
        <v>1619</v>
      </c>
      <c r="R2" s="127" t="s">
        <v>1398</v>
      </c>
      <c r="S2" s="175" t="s">
        <v>1399</v>
      </c>
      <c r="T2" s="103" t="s">
        <v>1401</v>
      </c>
      <c r="U2" s="162" t="s">
        <v>1620</v>
      </c>
      <c r="V2" s="33" t="s">
        <v>1424</v>
      </c>
      <c r="W2" s="33" t="s">
        <v>1621</v>
      </c>
      <c r="X2" s="168" t="s">
        <v>1622</v>
      </c>
      <c r="Y2" s="33" t="s">
        <v>1623</v>
      </c>
      <c r="Z2" s="33" t="s">
        <v>1624</v>
      </c>
      <c r="AA2" s="33" t="s">
        <v>1625</v>
      </c>
      <c r="AB2" s="33" t="s">
        <v>1626</v>
      </c>
      <c r="AC2" s="33" t="s">
        <v>1627</v>
      </c>
      <c r="AD2" s="129" t="s">
        <v>1433</v>
      </c>
      <c r="AE2" s="168" t="s">
        <v>1628</v>
      </c>
      <c r="AF2" s="129" t="s">
        <v>1434</v>
      </c>
      <c r="AG2" s="129" t="s">
        <v>1435</v>
      </c>
      <c r="AH2" s="159" t="s">
        <v>1629</v>
      </c>
      <c r="AI2" s="33" t="s">
        <v>1438</v>
      </c>
      <c r="AJ2" s="160" t="s">
        <v>1446</v>
      </c>
      <c r="AK2" s="160" t="s">
        <v>1447</v>
      </c>
      <c r="AL2" s="160" t="s">
        <v>1448</v>
      </c>
      <c r="AM2" s="160" t="s">
        <v>1449</v>
      </c>
      <c r="AN2" s="161" t="s">
        <v>1450</v>
      </c>
    </row>
    <row r="3" spans="1:45" ht="290" x14ac:dyDescent="0.35">
      <c r="A3" s="22">
        <v>8</v>
      </c>
      <c r="B3" s="22" t="s">
        <v>1451</v>
      </c>
      <c r="C3" s="22" t="s">
        <v>1452</v>
      </c>
      <c r="D3" s="22" t="s">
        <v>1224</v>
      </c>
      <c r="E3" s="22" t="s">
        <v>1453</v>
      </c>
      <c r="F3" s="22"/>
      <c r="G3" s="22" t="s">
        <v>1269</v>
      </c>
      <c r="H3" s="21" t="s">
        <v>1270</v>
      </c>
      <c r="I3" s="166">
        <v>0.15</v>
      </c>
      <c r="J3" s="21" t="s">
        <v>1630</v>
      </c>
      <c r="K3" s="30"/>
      <c r="L3" s="30" t="s">
        <v>1631</v>
      </c>
      <c r="M3" s="164" t="str">
        <f>VLOOKUP(H3,'1_Value &amp; risk levers'!$H$9:$O$1048576,2,FALSE)</f>
        <v>&gt;80% of spend is with a single supplier</v>
      </c>
      <c r="N3" s="164" t="str">
        <f>VLOOKUP(H3,'1_Value &amp; risk levers'!$H$9:$O$1048576,3,FALSE)</f>
        <v>Top 2 suppliers cover &gt;80% of spend</v>
      </c>
      <c r="O3" s="164" t="str">
        <f>VLOOKUP(H3,'1_Value &amp; risk levers'!$H$9:$O$1048576,4,FALSE)</f>
        <v>Top 3-4 suppliers cover &gt;80% of spend</v>
      </c>
      <c r="P3" s="164" t="str">
        <f>VLOOKUP(H3,'1_Value &amp; risk levers'!$H$9:$O$1048576,5,FALSE)</f>
        <v>5 or more suppliers contribute to the top 80% spend</v>
      </c>
      <c r="Q3" s="165">
        <f>IF(VLOOKUP(H3,'1_Value &amp; risk levers'!$H$9:$T$1048576,13,FALSE)=0,"",VLOOKUP(H3,'1_Value &amp; risk levers'!$H$9:$T$1048576,13,FALSE))</f>
        <v>4</v>
      </c>
      <c r="R3" s="128" t="e">
        <f t="shared" ref="R3:R22" si="0">AVERAGEIFS($Q$3:$Q$1048576,$G$3:$G$1048576,"Risk")</f>
        <v>#N/A</v>
      </c>
      <c r="S3" s="104" t="s">
        <v>1632</v>
      </c>
      <c r="T3" s="125">
        <f>$U$3*$I$3+$U$5*$I$5+$U$6*$I$6+$U$11*$I$11</f>
        <v>6.1875</v>
      </c>
      <c r="U3" s="125">
        <f>SUMPRODUCT(AA3:AA4,AC3:AC4)*10</f>
        <v>8.7500000000000018</v>
      </c>
      <c r="V3" s="36" t="s">
        <v>1463</v>
      </c>
      <c r="W3" s="30" t="s">
        <v>1633</v>
      </c>
      <c r="X3" s="30" t="s">
        <v>1634</v>
      </c>
      <c r="Y3" s="30" t="s">
        <v>1635</v>
      </c>
      <c r="Z3" s="37" t="s">
        <v>1456</v>
      </c>
      <c r="AA3" s="37">
        <v>0.8</v>
      </c>
      <c r="AB3" s="85" t="s">
        <v>1636</v>
      </c>
      <c r="AC3" s="85">
        <f>IF(AB3="high",0.875,IF(AB3="medium",0.625,0.25))</f>
        <v>0.875</v>
      </c>
      <c r="AD3" s="85">
        <f>IF(AC3="high",0.875,IF(AC3="medium",0.625,0.25))</f>
        <v>0.25</v>
      </c>
      <c r="AE3" s="85"/>
      <c r="AF3" s="74" t="str">
        <f>_xlfn.XLOOKUP(CONCATENATE(H3,"_",V3),'Test 2 - Proof points - GPT5'!$T:$T,'Test 2 - Proof points - GPT5'!$S:$S)</f>
        <v>Insights: Supplier base: 87 vendors; Top-1 share 8.6%; HHI ≈ 344 → fragmented. Leverage via bundled bids and two-tiering is feasible. Actions: Set minimum 2 qualified suppliers per critical SKU/region; design dual-source splits (60/40) with quarterly price review and volume swing clauses.</v>
      </c>
      <c r="AG3" s="74" t="str">
        <f>_xlfn.XLOOKUP(CONCATENATE(H3,"_",V3),'Test 2 -Proof points - Sonnet'!$AB:$AB,'Test 2 -Proof points - Sonnet'!$AA:$AA)</f>
        <v>â€¢ **Address high supplier concentration**: Top 3 suppliers (SHIVAGANGA, SIDDAGANGA, SAKLECHA) represent ~70% of total vegetable oil spend, creating significant concentration risk that exceeds industry best practice thresholds.
â€¢ **Develop secondary supplier tiers**: Activate relationships with suppliers like M/S ABHAY SOLVENTS, UNIVERSAL AGRO FOOD INDUSTRIES to create competitive alternatives and reduce dependency on primary suppliers.
â€¢ **Future supply chain resilience**: Industry focus on supply chain risk management and business continuity will require balanced supplier portfolios, making current concentration risk mitigation essential for operational stability and competitive procurement operations.</v>
      </c>
      <c r="AH3" s="74" t="s">
        <v>1637</v>
      </c>
      <c r="AI3" s="74" t="s">
        <v>1637</v>
      </c>
      <c r="AJ3" s="30"/>
      <c r="AK3" s="30" t="s">
        <v>132</v>
      </c>
      <c r="AL3" s="30"/>
      <c r="AM3" s="30"/>
      <c r="AN3" s="113" t="s">
        <v>132</v>
      </c>
    </row>
    <row r="4" spans="1:45" ht="203" x14ac:dyDescent="0.35">
      <c r="A4" s="22">
        <v>8</v>
      </c>
      <c r="B4" s="22" t="s">
        <v>1451</v>
      </c>
      <c r="C4" s="22" t="s">
        <v>1452</v>
      </c>
      <c r="D4" s="22" t="s">
        <v>1224</v>
      </c>
      <c r="E4" s="22" t="s">
        <v>1453</v>
      </c>
      <c r="F4" s="22"/>
      <c r="G4" s="22" t="s">
        <v>1269</v>
      </c>
      <c r="H4" s="21" t="s">
        <v>1270</v>
      </c>
      <c r="I4" s="166">
        <v>0.15</v>
      </c>
      <c r="J4" s="21" t="s">
        <v>1630</v>
      </c>
      <c r="K4" s="30"/>
      <c r="L4" s="30" t="s">
        <v>1631</v>
      </c>
      <c r="M4" s="164" t="str">
        <f>VLOOKUP(H4,'1_Value &amp; risk levers'!$H$9:$O$1048576,2,FALSE)</f>
        <v>&gt;80% of spend is with a single supplier</v>
      </c>
      <c r="N4" s="164" t="str">
        <f>VLOOKUP(H4,'1_Value &amp; risk levers'!$H$9:$O$1048576,3,FALSE)</f>
        <v>Top 2 suppliers cover &gt;80% of spend</v>
      </c>
      <c r="O4" s="164" t="str">
        <f>VLOOKUP(H4,'1_Value &amp; risk levers'!$H$9:$O$1048576,4,FALSE)</f>
        <v>Top 3-4 suppliers cover &gt;80% of spend</v>
      </c>
      <c r="P4" s="164" t="str">
        <f>VLOOKUP(H4,'1_Value &amp; risk levers'!$H$9:$O$1048576,5,FALSE)</f>
        <v>5 or more suppliers contribute to the top 80% spend</v>
      </c>
      <c r="Q4" s="165">
        <f>IF(VLOOKUP(H4,'1_Value &amp; risk levers'!$H$9:$T$1048576,13,FALSE)=0,"",VLOOKUP(H4,'1_Value &amp; risk levers'!$H$9:$T$1048576,13,FALSE))</f>
        <v>4</v>
      </c>
      <c r="R4" s="128" t="e">
        <f t="shared" si="0"/>
        <v>#N/A</v>
      </c>
      <c r="S4" s="104" t="s">
        <v>1638</v>
      </c>
      <c r="T4" s="125">
        <f t="shared" ref="T4:T22" si="1">$U$3*$I$3+$U$5*$I$5+$U$6*$I$6+$U$11*$I$11</f>
        <v>6.1875</v>
      </c>
      <c r="U4" s="125">
        <f>SUMPRODUCT(AA3:AA4,AC3:AC4)*10</f>
        <v>8.7500000000000018</v>
      </c>
      <c r="V4" s="180" t="s">
        <v>1639</v>
      </c>
      <c r="W4" s="179" t="s">
        <v>1640</v>
      </c>
      <c r="X4" s="30"/>
      <c r="Y4" s="30" t="s">
        <v>1635</v>
      </c>
      <c r="Z4" s="30" t="s">
        <v>1493</v>
      </c>
      <c r="AA4" s="30">
        <v>0.2</v>
      </c>
      <c r="AB4" s="85" t="s">
        <v>1521</v>
      </c>
      <c r="AC4" s="85">
        <f t="shared" ref="AC4:AC22" si="2">IF(AB4="high",0.875,IF(AB4="medium",0.625,0.25))</f>
        <v>0.875</v>
      </c>
      <c r="AD4" s="74"/>
      <c r="AE4" s="74"/>
      <c r="AF4" s="74" t="str">
        <f>_xlfn.XLOOKUP(CONCATENATE(H4,"_",V4),'Test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4" s="74" t="e">
        <f>_xlfn.XLOOKUP(CONCATENATE(H4,"_",V4),'Test 2 -Proof points - Sonnet'!$AB:$AB,'Test 2 -Proof points - Sonnet'!$AA:$AA)</f>
        <v>#N/A</v>
      </c>
      <c r="AH4" s="74" t="s">
        <v>1637</v>
      </c>
      <c r="AI4" s="74" t="s">
        <v>1637</v>
      </c>
      <c r="AJ4" s="30"/>
      <c r="AK4" s="30" t="s">
        <v>132</v>
      </c>
      <c r="AL4" s="30"/>
      <c r="AM4" s="30"/>
      <c r="AN4" s="113" t="s">
        <v>132</v>
      </c>
    </row>
    <row r="5" spans="1:45" ht="203" x14ac:dyDescent="0.35">
      <c r="A5" s="22">
        <v>9</v>
      </c>
      <c r="B5" s="22" t="s">
        <v>1451</v>
      </c>
      <c r="C5" s="22" t="s">
        <v>1452</v>
      </c>
      <c r="D5" s="22" t="s">
        <v>1224</v>
      </c>
      <c r="E5" s="22" t="s">
        <v>1453</v>
      </c>
      <c r="F5" s="22"/>
      <c r="G5" s="22" t="s">
        <v>1269</v>
      </c>
      <c r="H5" s="21" t="s">
        <v>1272</v>
      </c>
      <c r="I5" s="166">
        <v>0.35</v>
      </c>
      <c r="J5" s="21" t="s">
        <v>1641</v>
      </c>
      <c r="K5" s="30"/>
      <c r="L5" s="30" t="s">
        <v>1642</v>
      </c>
      <c r="M5" s="164" t="str">
        <f>VLOOKUP(H5,'1_Value &amp; risk levers'!$H$9:$O$1048576,2,FALSE)</f>
        <v>&gt;75% spend is linked to high risk suppliers (risk score &lt;30)</v>
      </c>
      <c r="N5" s="164" t="str">
        <f>VLOOKUP(H5,'1_Value &amp; risk levers'!$H$9:$O$1048576,3,FALSE)</f>
        <v>50-75% spend is linked to high risk suppliers (risk score &lt;30)</v>
      </c>
      <c r="O5" s="164" t="str">
        <f>VLOOKUP(H5,'1_Value &amp; risk levers'!$H$9:$O$1048576,4,FALSE)</f>
        <v>30-50% spend is linked to high risk suppliers (risk score &lt;30)</v>
      </c>
      <c r="P5" s="164" t="str">
        <f>VLOOKUP(H5,'1_Value &amp; risk levers'!$H$9:$O$1048576,5,FALSE)</f>
        <v>&lt;30% spend is linked to high risk suppliers (risk score &lt;30)</v>
      </c>
      <c r="Q5" s="165">
        <f>IF(VLOOKUP(H5,'1_Value &amp; risk levers'!$H$9:$T$1048576,13,FALSE)=0,"",VLOOKUP(H5,'1_Value &amp; risk levers'!$H$9:$T$1048576,13,FALSE))</f>
        <v>2</v>
      </c>
      <c r="R5" s="128" t="e">
        <f t="shared" si="0"/>
        <v>#N/A</v>
      </c>
      <c r="S5" s="104" t="s">
        <v>1643</v>
      </c>
      <c r="T5" s="125">
        <f t="shared" si="1"/>
        <v>6.1875</v>
      </c>
      <c r="U5" s="125">
        <f>SUMPRODUCT(AA5,AC5)*10</f>
        <v>6.25</v>
      </c>
      <c r="V5" s="36" t="s">
        <v>1524</v>
      </c>
      <c r="W5" s="30" t="s">
        <v>1644</v>
      </c>
      <c r="X5" s="30"/>
      <c r="Y5" s="30" t="s">
        <v>1645</v>
      </c>
      <c r="Z5" s="37" t="s">
        <v>1456</v>
      </c>
      <c r="AA5" s="37">
        <v>1</v>
      </c>
      <c r="AB5" s="85" t="s">
        <v>1584</v>
      </c>
      <c r="AC5" s="85">
        <f t="shared" si="2"/>
        <v>0.625</v>
      </c>
      <c r="AD5" s="99"/>
      <c r="AE5" s="99"/>
      <c r="AF5" s="74" t="str">
        <f>_xlfn.XLOOKUP(CONCATENATE(H5,"_",V5),'Test 2 - Proof points - GPT5'!$T:$T,'Test 2 - Proof points - GPT5'!$S:$S)</f>
        <v>Approach: Enrich vendor master with financial health, sanctions, ESG, and delivery performance scores; apply dual-trigger risk limits by spend and criticality. Actions: offboard any vendor below threshold; substitute with pre-qualified alternates; put CapEx-dependent suppliers under quarterly monitoring.</v>
      </c>
      <c r="AG5" s="74" t="str">
        <f>_xlfn.XLOOKUP(CONCATENATE(H5,"_",V5),'Test 2 -Proof points - Sonnet'!$AB:$AB,'Test 2 -Proof points - Sonnet'!$AA:$AA)</f>
        <v>â€¢ **Evaluate supplier financial stability**: Key suppliers like SHIVAGANGA FOOD OIL EXTRACTIONS and SIDDAGANGA OIL &amp; BIO INDUSTRIES demonstrate stable financial profiles based on consistent supply performance and market presence.
â€¢ **Monitor emerging financial risks**: Smaller suppliers in portfolio may carry higher financial volatility - implement regular financial health assessments and develop contingency sourcing plans for critical materials.
â€¢ **Future financial risk management**: Increasing focus on supplier financial stability and supply chain continuity will require sophisticated financial risk monitoring and proactive supplier financial health management for competitive procurement operations.</v>
      </c>
      <c r="AH5" s="74" t="s">
        <v>1646</v>
      </c>
      <c r="AI5" s="74" t="s">
        <v>1646</v>
      </c>
      <c r="AJ5" s="30"/>
      <c r="AK5" s="30"/>
      <c r="AL5" s="30" t="s">
        <v>132</v>
      </c>
      <c r="AM5" s="30"/>
      <c r="AN5" s="113" t="s">
        <v>132</v>
      </c>
    </row>
    <row r="6" spans="1:45" ht="217.5" x14ac:dyDescent="0.35">
      <c r="A6" s="22">
        <v>10</v>
      </c>
      <c r="B6" s="22" t="s">
        <v>1451</v>
      </c>
      <c r="C6" s="22" t="s">
        <v>1452</v>
      </c>
      <c r="D6" s="22" t="s">
        <v>1224</v>
      </c>
      <c r="E6" s="22" t="s">
        <v>1453</v>
      </c>
      <c r="F6" s="22"/>
      <c r="G6" s="22" t="s">
        <v>1269</v>
      </c>
      <c r="H6" s="21" t="s">
        <v>1647</v>
      </c>
      <c r="I6" s="166">
        <v>0.25</v>
      </c>
      <c r="J6" s="21" t="s">
        <v>1641</v>
      </c>
      <c r="K6" s="30"/>
      <c r="L6" s="30" t="s">
        <v>1648</v>
      </c>
      <c r="M6" s="164" t="e">
        <f>VLOOKUP(H6,'1_Value &amp; risk levers'!$H$9:$O$1048576,2,FALSE)</f>
        <v>#N/A</v>
      </c>
      <c r="N6" s="164" t="e">
        <f>VLOOKUP(H6,'1_Value &amp; risk levers'!$H$9:$O$1048576,3,FALSE)</f>
        <v>#N/A</v>
      </c>
      <c r="O6" s="164" t="e">
        <f>VLOOKUP(H6,'1_Value &amp; risk levers'!$H$9:$O$1048576,4,FALSE)</f>
        <v>#N/A</v>
      </c>
      <c r="P6" s="164" t="e">
        <f>VLOOKUP(H6,'1_Value &amp; risk levers'!$H$9:$O$1048576,5,FALSE)</f>
        <v>#N/A</v>
      </c>
      <c r="Q6" s="165" t="e">
        <f>IF(VLOOKUP(H6,'1_Value &amp; risk levers'!$H$9:$T$1048576,13,FALSE)=0,"",VLOOKUP(H6,'1_Value &amp; risk levers'!$H$9:$T$1048576,13,FALSE))</f>
        <v>#N/A</v>
      </c>
      <c r="R6" s="128" t="e">
        <f t="shared" si="0"/>
        <v>#N/A</v>
      </c>
      <c r="S6" s="104" t="s">
        <v>1649</v>
      </c>
      <c r="T6" s="125">
        <f t="shared" si="1"/>
        <v>6.1875</v>
      </c>
      <c r="U6" s="125">
        <f>SUMPRODUCT(AA6:AA10,AC6:AC10)*10</f>
        <v>4.1875</v>
      </c>
      <c r="V6" s="180" t="s">
        <v>1512</v>
      </c>
      <c r="W6" s="30" t="s">
        <v>1650</v>
      </c>
      <c r="X6" s="30"/>
      <c r="Y6" s="30" t="s">
        <v>1645</v>
      </c>
      <c r="Z6" s="30" t="s">
        <v>1493</v>
      </c>
      <c r="AA6" s="30">
        <v>0.4</v>
      </c>
      <c r="AB6" s="85" t="s">
        <v>1651</v>
      </c>
      <c r="AC6" s="85">
        <f t="shared" si="2"/>
        <v>0.25</v>
      </c>
      <c r="AD6" s="99"/>
      <c r="AE6" s="99"/>
      <c r="AF6" s="74" t="e">
        <f>_xlfn.XLOOKUP(CONCATENATE(H6,"_",V6),'Test 2 - Proof points - GPT5'!$T:$T,'Test 2 - Proof points - GPT5'!$S:$S)</f>
        <v>#N/A</v>
      </c>
      <c r="AG6" s="74" t="e">
        <f>_xlfn.XLOOKUP(CONCATENATE(H6,"_",V6),'Test 2 -Proof points - Sonnet'!$AB:$AB,'Test 2 -Proof points - Sonnet'!$AA:$AA)</f>
        <v>#N/A</v>
      </c>
      <c r="AH6" s="74" t="s">
        <v>1652</v>
      </c>
      <c r="AI6" s="74" t="s">
        <v>1652</v>
      </c>
      <c r="AJ6" s="30"/>
      <c r="AK6" s="30"/>
      <c r="AL6" s="30"/>
      <c r="AM6" s="30" t="s">
        <v>132</v>
      </c>
      <c r="AN6" s="113" t="s">
        <v>132</v>
      </c>
    </row>
    <row r="7" spans="1:45" ht="203" x14ac:dyDescent="0.35">
      <c r="A7" s="22">
        <v>10</v>
      </c>
      <c r="B7" s="22" t="s">
        <v>1451</v>
      </c>
      <c r="C7" s="22" t="s">
        <v>1452</v>
      </c>
      <c r="D7" s="22" t="s">
        <v>1224</v>
      </c>
      <c r="E7" s="22" t="s">
        <v>1453</v>
      </c>
      <c r="F7" s="22"/>
      <c r="G7" s="22" t="s">
        <v>1269</v>
      </c>
      <c r="H7" s="21" t="s">
        <v>1647</v>
      </c>
      <c r="I7" s="166">
        <v>0.25</v>
      </c>
      <c r="J7" s="21" t="s">
        <v>1641</v>
      </c>
      <c r="K7" s="30"/>
      <c r="L7" s="30" t="s">
        <v>1648</v>
      </c>
      <c r="M7" s="164" t="e">
        <f>VLOOKUP(H7,'1_Value &amp; risk levers'!$H$9:$O$1048576,2,FALSE)</f>
        <v>#N/A</v>
      </c>
      <c r="N7" s="164" t="e">
        <f>VLOOKUP(H7,'1_Value &amp; risk levers'!$H$9:$O$1048576,3,FALSE)</f>
        <v>#N/A</v>
      </c>
      <c r="O7" s="164" t="e">
        <f>VLOOKUP(H7,'1_Value &amp; risk levers'!$H$9:$O$1048576,4,FALSE)</f>
        <v>#N/A</v>
      </c>
      <c r="P7" s="164" t="e">
        <f>VLOOKUP(H7,'1_Value &amp; risk levers'!$H$9:$O$1048576,5,FALSE)</f>
        <v>#N/A</v>
      </c>
      <c r="Q7" s="163" t="e">
        <f>IF(VLOOKUP(H7,'1_Value &amp; risk levers'!$H$9:$T$1048576,13,FALSE)=0,"",VLOOKUP(H7,'1_Value &amp; risk levers'!$H$9:$T$1048576,13,FALSE))</f>
        <v>#N/A</v>
      </c>
      <c r="R7" s="138" t="e">
        <f t="shared" si="0"/>
        <v>#N/A</v>
      </c>
      <c r="S7" s="104" t="s">
        <v>1649</v>
      </c>
      <c r="T7" s="125">
        <f t="shared" si="1"/>
        <v>6.1875</v>
      </c>
      <c r="U7" s="125">
        <f>SUMPRODUCT(AA6:AA10,AC6:AC10)*10</f>
        <v>4.1875</v>
      </c>
      <c r="V7" s="167" t="s">
        <v>1653</v>
      </c>
      <c r="W7" s="30" t="s">
        <v>1654</v>
      </c>
      <c r="X7" s="30"/>
      <c r="Y7" s="30" t="s">
        <v>1635</v>
      </c>
      <c r="Z7" s="30" t="s">
        <v>1493</v>
      </c>
      <c r="AA7" s="30">
        <v>0.15</v>
      </c>
      <c r="AB7" s="85" t="s">
        <v>327</v>
      </c>
      <c r="AC7" s="85">
        <f t="shared" si="2"/>
        <v>0.25</v>
      </c>
      <c r="AD7" s="99"/>
      <c r="AE7" s="99"/>
      <c r="AF7" s="99"/>
      <c r="AG7" s="99"/>
      <c r="AH7" s="74"/>
      <c r="AI7" s="74" t="s">
        <v>1652</v>
      </c>
      <c r="AJ7" s="30"/>
      <c r="AK7" s="30"/>
      <c r="AL7" s="30"/>
      <c r="AM7" s="30" t="s">
        <v>132</v>
      </c>
      <c r="AN7" s="30"/>
    </row>
    <row r="8" spans="1:45" ht="203" x14ac:dyDescent="0.35">
      <c r="A8" s="22">
        <v>10</v>
      </c>
      <c r="B8" s="22" t="s">
        <v>1451</v>
      </c>
      <c r="C8" s="22" t="s">
        <v>1452</v>
      </c>
      <c r="D8" s="22" t="s">
        <v>1224</v>
      </c>
      <c r="E8" s="22" t="s">
        <v>1453</v>
      </c>
      <c r="F8" s="22"/>
      <c r="G8" s="22" t="s">
        <v>1269</v>
      </c>
      <c r="H8" s="21" t="s">
        <v>1647</v>
      </c>
      <c r="I8" s="166">
        <v>0.25</v>
      </c>
      <c r="J8" s="21" t="s">
        <v>1641</v>
      </c>
      <c r="K8" s="30"/>
      <c r="L8" s="30" t="s">
        <v>1648</v>
      </c>
      <c r="M8" s="164" t="e">
        <f>VLOOKUP(H8,'1_Value &amp; risk levers'!$H$9:$O$1048576,2,FALSE)</f>
        <v>#N/A</v>
      </c>
      <c r="N8" s="164" t="e">
        <f>VLOOKUP(H8,'1_Value &amp; risk levers'!$H$9:$O$1048576,3,FALSE)</f>
        <v>#N/A</v>
      </c>
      <c r="O8" s="164" t="e">
        <f>VLOOKUP(H8,'1_Value &amp; risk levers'!$H$9:$O$1048576,4,FALSE)</f>
        <v>#N/A</v>
      </c>
      <c r="P8" s="164" t="e">
        <f>VLOOKUP(H8,'1_Value &amp; risk levers'!$H$9:$O$1048576,5,FALSE)</f>
        <v>#N/A</v>
      </c>
      <c r="Q8" s="163" t="e">
        <f>IF(VLOOKUP(H8,'1_Value &amp; risk levers'!$H$9:$T$1048576,13,FALSE)=0,"",VLOOKUP(H8,'1_Value &amp; risk levers'!$H$9:$T$1048576,13,FALSE))</f>
        <v>#N/A</v>
      </c>
      <c r="R8" s="138" t="e">
        <f t="shared" si="0"/>
        <v>#N/A</v>
      </c>
      <c r="S8" s="104" t="s">
        <v>1649</v>
      </c>
      <c r="T8" s="125">
        <f t="shared" si="1"/>
        <v>6.1875</v>
      </c>
      <c r="U8" s="125">
        <f>SUMPRODUCT(AA6:AA10,AC6:AC10)*10</f>
        <v>4.1875</v>
      </c>
      <c r="V8" s="167" t="s">
        <v>1655</v>
      </c>
      <c r="W8" s="30" t="s">
        <v>1656</v>
      </c>
      <c r="X8" s="30"/>
      <c r="Y8" s="30" t="s">
        <v>1635</v>
      </c>
      <c r="Z8" s="30" t="s">
        <v>1493</v>
      </c>
      <c r="AA8" s="30">
        <v>0.15</v>
      </c>
      <c r="AB8" s="85" t="s">
        <v>1584</v>
      </c>
      <c r="AC8" s="85">
        <f t="shared" si="2"/>
        <v>0.625</v>
      </c>
      <c r="AD8" s="99"/>
      <c r="AE8" s="99"/>
      <c r="AF8" s="99"/>
      <c r="AG8" s="99"/>
      <c r="AH8" s="74"/>
      <c r="AI8" s="74" t="s">
        <v>1652</v>
      </c>
      <c r="AJ8" s="30"/>
      <c r="AK8" s="30"/>
      <c r="AL8" s="30"/>
      <c r="AM8" s="30" t="s">
        <v>132</v>
      </c>
      <c r="AN8" s="30"/>
    </row>
    <row r="9" spans="1:45" ht="116" x14ac:dyDescent="0.35">
      <c r="A9" s="22">
        <v>10</v>
      </c>
      <c r="B9" s="22" t="s">
        <v>1451</v>
      </c>
      <c r="C9" s="22" t="s">
        <v>1452</v>
      </c>
      <c r="D9" s="22" t="s">
        <v>1224</v>
      </c>
      <c r="E9" s="22" t="s">
        <v>1453</v>
      </c>
      <c r="F9" s="22"/>
      <c r="G9" s="22" t="s">
        <v>1269</v>
      </c>
      <c r="H9" s="21" t="s">
        <v>1647</v>
      </c>
      <c r="I9" s="166">
        <v>0.25</v>
      </c>
      <c r="J9" s="21" t="s">
        <v>1641</v>
      </c>
      <c r="K9" s="30"/>
      <c r="L9" s="30" t="s">
        <v>1648</v>
      </c>
      <c r="M9" s="164" t="e">
        <f>VLOOKUP(H9,'1_Value &amp; risk levers'!$H$9:$O$1048576,2,FALSE)</f>
        <v>#N/A</v>
      </c>
      <c r="N9" s="164" t="e">
        <f>VLOOKUP(H9,'1_Value &amp; risk levers'!$H$9:$O$1048576,3,FALSE)</f>
        <v>#N/A</v>
      </c>
      <c r="O9" s="164" t="e">
        <f>VLOOKUP(H9,'1_Value &amp; risk levers'!$H$9:$O$1048576,4,FALSE)</f>
        <v>#N/A</v>
      </c>
      <c r="P9" s="164" t="e">
        <f>VLOOKUP(H9,'1_Value &amp; risk levers'!$H$9:$O$1048576,5,FALSE)</f>
        <v>#N/A</v>
      </c>
      <c r="Q9" s="163" t="e">
        <f>IF(VLOOKUP(H9,'1_Value &amp; risk levers'!$H$9:$T$1048576,13,FALSE)=0,"",VLOOKUP(H9,'1_Value &amp; risk levers'!$H$9:$T$1048576,13,FALSE))</f>
        <v>#N/A</v>
      </c>
      <c r="R9" s="138" t="e">
        <f t="shared" si="0"/>
        <v>#N/A</v>
      </c>
      <c r="S9" s="104" t="s">
        <v>1649</v>
      </c>
      <c r="T9" s="125">
        <f t="shared" si="1"/>
        <v>6.1875</v>
      </c>
      <c r="U9" s="125">
        <f>SUMPRODUCT(AA6:AA10,AC6:AC10)*10</f>
        <v>4.1875</v>
      </c>
      <c r="V9" s="167" t="s">
        <v>1657</v>
      </c>
      <c r="W9" s="30" t="s">
        <v>1658</v>
      </c>
      <c r="X9" s="30"/>
      <c r="Y9" s="30" t="s">
        <v>1645</v>
      </c>
      <c r="Z9" s="30"/>
      <c r="AA9" s="30">
        <v>0.1</v>
      </c>
      <c r="AB9" s="85" t="s">
        <v>1584</v>
      </c>
      <c r="AC9" s="85">
        <f t="shared" si="2"/>
        <v>0.625</v>
      </c>
      <c r="AD9" s="99"/>
      <c r="AE9" s="99"/>
      <c r="AF9" s="99"/>
      <c r="AG9" s="99"/>
      <c r="AH9" s="74"/>
      <c r="AI9" s="74"/>
      <c r="AJ9" s="30"/>
      <c r="AK9" s="30"/>
      <c r="AL9" s="30"/>
      <c r="AM9" s="30"/>
      <c r="AN9" s="30"/>
    </row>
    <row r="10" spans="1:45" ht="116" x14ac:dyDescent="0.35">
      <c r="A10" s="22">
        <v>10</v>
      </c>
      <c r="B10" s="22" t="s">
        <v>1451</v>
      </c>
      <c r="C10" s="22" t="s">
        <v>1452</v>
      </c>
      <c r="D10" s="22" t="s">
        <v>1224</v>
      </c>
      <c r="E10" s="22" t="s">
        <v>1453</v>
      </c>
      <c r="F10" s="22"/>
      <c r="G10" s="22" t="s">
        <v>1269</v>
      </c>
      <c r="H10" s="21" t="s">
        <v>1647</v>
      </c>
      <c r="I10" s="166">
        <v>0.25</v>
      </c>
      <c r="J10" s="21" t="s">
        <v>1641</v>
      </c>
      <c r="K10" s="30"/>
      <c r="L10" s="30" t="s">
        <v>1648</v>
      </c>
      <c r="M10" s="164" t="e">
        <f>VLOOKUP(H10,'1_Value &amp; risk levers'!$H$9:$O$1048576,2,FALSE)</f>
        <v>#N/A</v>
      </c>
      <c r="N10" s="164" t="e">
        <f>VLOOKUP(H10,'1_Value &amp; risk levers'!$H$9:$O$1048576,3,FALSE)</f>
        <v>#N/A</v>
      </c>
      <c r="O10" s="164" t="e">
        <f>VLOOKUP(H10,'1_Value &amp; risk levers'!$H$9:$O$1048576,4,FALSE)</f>
        <v>#N/A</v>
      </c>
      <c r="P10" s="164" t="e">
        <f>VLOOKUP(H10,'1_Value &amp; risk levers'!$H$9:$O$1048576,5,FALSE)</f>
        <v>#N/A</v>
      </c>
      <c r="Q10" s="163" t="e">
        <f>IF(VLOOKUP(H10,'1_Value &amp; risk levers'!$H$9:$T$1048576,13,FALSE)=0,"",VLOOKUP(H10,'1_Value &amp; risk levers'!$H$9:$T$1048576,13,FALSE))</f>
        <v>#N/A</v>
      </c>
      <c r="R10" s="138" t="e">
        <f t="shared" si="0"/>
        <v>#N/A</v>
      </c>
      <c r="S10" s="104" t="s">
        <v>1649</v>
      </c>
      <c r="T10" s="125">
        <f t="shared" si="1"/>
        <v>6.1875</v>
      </c>
      <c r="U10" s="125">
        <f>SUMPRODUCT(AA6:AA10,AC6:AC10)*10</f>
        <v>4.1875</v>
      </c>
      <c r="V10" s="167" t="s">
        <v>1659</v>
      </c>
      <c r="W10" s="30" t="s">
        <v>1660</v>
      </c>
      <c r="X10" s="30"/>
      <c r="Y10" s="30" t="s">
        <v>1645</v>
      </c>
      <c r="Z10" s="30"/>
      <c r="AA10" s="30">
        <v>0.2</v>
      </c>
      <c r="AB10" s="85" t="s">
        <v>1584</v>
      </c>
      <c r="AC10" s="85">
        <f t="shared" si="2"/>
        <v>0.625</v>
      </c>
      <c r="AD10" s="99"/>
      <c r="AE10" s="99"/>
      <c r="AF10" s="99"/>
      <c r="AG10" s="99"/>
      <c r="AH10" s="74"/>
      <c r="AI10" s="74"/>
      <c r="AJ10" s="30"/>
      <c r="AK10" s="30"/>
      <c r="AL10" s="30"/>
      <c r="AM10" s="30"/>
      <c r="AN10" s="30"/>
    </row>
    <row r="11" spans="1:45" ht="188.5" x14ac:dyDescent="0.35">
      <c r="A11" s="22">
        <v>11</v>
      </c>
      <c r="B11" s="22" t="s">
        <v>1451</v>
      </c>
      <c r="C11" s="22" t="s">
        <v>1452</v>
      </c>
      <c r="D11" s="22" t="s">
        <v>1224</v>
      </c>
      <c r="E11" s="22" t="s">
        <v>1453</v>
      </c>
      <c r="F11" s="22"/>
      <c r="G11" s="22" t="s">
        <v>1269</v>
      </c>
      <c r="H11" s="21" t="s">
        <v>1271</v>
      </c>
      <c r="I11" s="166">
        <v>0.25</v>
      </c>
      <c r="J11" s="21"/>
      <c r="K11" s="30"/>
      <c r="L11" s="30" t="s">
        <v>1661</v>
      </c>
      <c r="M11" s="164" t="str">
        <f>VLOOKUP(H11,'1_Value &amp; risk levers'!$H$9:$O$1048576,2,FALSE)</f>
        <v>&gt;75% spend is linked to regions witnessing price inflation due to cost driver inflation, tariffs, demand / supply imbalance etc.</v>
      </c>
      <c r="N11" s="164" t="str">
        <f>VLOOKUP(H11,'1_Value &amp; risk levers'!$H$9:$O$1048576,3,FALSE)</f>
        <v>50-75% spend is linked to regions witnessing price inflation due to cost driver inflation, tariffs, demand / supply imbalance etc.</v>
      </c>
      <c r="O11" s="164" t="str">
        <f>VLOOKUP(H11,'1_Value &amp; risk levers'!$H$9:$O$1048576,4,FALSE)</f>
        <v>30-50% spend is linked to regions witnessing price inflation due to cost driver inflation, tariffs, demand / supply imbalance etc.</v>
      </c>
      <c r="P11" s="164" t="str">
        <f>VLOOKUP(H11,'1_Value &amp; risk levers'!$H$9:$O$1048576,5,FALSE)</f>
        <v>&lt;30% spend is linked to regions witnessing price inflation due to cost driver inflation, tariffs, demand / supply imbalance etc.</v>
      </c>
      <c r="Q11" s="165">
        <f>IF(VLOOKUP(H11,'1_Value &amp; risk levers'!$H$9:$T$1048576,13,FALSE)=0,"",VLOOKUP(H11,'1_Value &amp; risk levers'!$H$9:$T$1048576,13,FALSE))</f>
        <v>2</v>
      </c>
      <c r="R11" s="128" t="e">
        <f t="shared" si="0"/>
        <v>#N/A</v>
      </c>
      <c r="S11" s="104" t="s">
        <v>1638</v>
      </c>
      <c r="T11" s="125">
        <f t="shared" si="1"/>
        <v>6.1875</v>
      </c>
      <c r="U11" s="125">
        <f>SUMPRODUCT(AA11:AA22,AC11:AC22)*10</f>
        <v>6.5625</v>
      </c>
      <c r="V11" s="36" t="s">
        <v>1477</v>
      </c>
      <c r="W11" s="30" t="s">
        <v>1662</v>
      </c>
      <c r="X11" s="30"/>
      <c r="Y11" s="30" t="s">
        <v>1663</v>
      </c>
      <c r="Z11" s="30" t="s">
        <v>1456</v>
      </c>
      <c r="AA11" s="30">
        <v>0.05</v>
      </c>
      <c r="AB11" s="85" t="s">
        <v>1584</v>
      </c>
      <c r="AC11" s="85">
        <f t="shared" si="2"/>
        <v>0.625</v>
      </c>
      <c r="AD11" s="99"/>
      <c r="AE11" s="99"/>
      <c r="AF11" s="74" t="str">
        <f>_xlfn.XLOOKUP(CONCATENATE(H11,"_",V11),'Test 2 - Proof points - GPT5'!$T:$T,'Test 2 - Proof points - GPT5'!$S:$S)</f>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 REFINED SUNFLOWER OIL EDIBLE (suppliers: 13, plants: 2) — price/kg 1.65-2.09 (median 1.86; spread 24%). Potential value ≈ $1,565,056 by aligning 50% volume to P25–P10 pricing. Actions: Run competitive re-bids on the cited SKUs, standardize specs, and lock indexed contracts where volatility is high. Prioritize suppliers with proven capability across Malaysia/Australia plants to converge to best-in-class pricing.</v>
      </c>
      <c r="AG11" s="74" t="e">
        <f>_xlfn.XLOOKUP(CONCATENATE(H11,"_",V11),'Test 2 -Proof points - Sonnet'!$AB:$AB,'Test 2 -Proof points - Sonnet'!$AA:$AA)</f>
        <v>#N/A</v>
      </c>
      <c r="AH11" s="74"/>
      <c r="AI11" s="74"/>
      <c r="AJ11" s="30" t="s">
        <v>132</v>
      </c>
      <c r="AK11" s="30"/>
      <c r="AL11" s="30"/>
      <c r="AM11" s="30"/>
      <c r="AN11" s="113" t="s">
        <v>132</v>
      </c>
    </row>
    <row r="12" spans="1:45" ht="101.5" x14ac:dyDescent="0.35">
      <c r="A12" s="22">
        <v>11</v>
      </c>
      <c r="B12" s="22" t="s">
        <v>1451</v>
      </c>
      <c r="C12" s="22" t="s">
        <v>1452</v>
      </c>
      <c r="D12" s="22" t="s">
        <v>1224</v>
      </c>
      <c r="E12" s="22" t="s">
        <v>1453</v>
      </c>
      <c r="F12" s="22"/>
      <c r="G12" s="22" t="s">
        <v>1269</v>
      </c>
      <c r="H12" s="21" t="s">
        <v>1271</v>
      </c>
      <c r="I12" s="166">
        <v>0.25</v>
      </c>
      <c r="J12" s="21"/>
      <c r="K12" s="30"/>
      <c r="L12" s="30" t="s">
        <v>1661</v>
      </c>
      <c r="M12" s="164" t="str">
        <f>VLOOKUP(H12,'1_Value &amp; risk levers'!$H$9:$O$1048576,2,FALSE)</f>
        <v>&gt;75% spend is linked to regions witnessing price inflation due to cost driver inflation, tariffs, demand / supply imbalance etc.</v>
      </c>
      <c r="N12" s="164" t="str">
        <f>VLOOKUP(H12,'1_Value &amp; risk levers'!$H$9:$O$1048576,3,FALSE)</f>
        <v>50-75% spend is linked to regions witnessing price inflation due to cost driver inflation, tariffs, demand / supply imbalance etc.</v>
      </c>
      <c r="O12" s="164" t="str">
        <f>VLOOKUP(H12,'1_Value &amp; risk levers'!$H$9:$O$1048576,4,FALSE)</f>
        <v>30-50% spend is linked to regions witnessing price inflation due to cost driver inflation, tariffs, demand / supply imbalance etc.</v>
      </c>
      <c r="P12" s="164" t="str">
        <f>VLOOKUP(H12,'1_Value &amp; risk levers'!$H$9:$O$1048576,5,FALSE)</f>
        <v>&lt;30% spend is linked to regions witnessing price inflation due to cost driver inflation, tariffs, demand / supply imbalance etc.</v>
      </c>
      <c r="Q12" s="165">
        <f>IF(VLOOKUP(H12,'1_Value &amp; risk levers'!$H$9:$T$1048576,13,FALSE)=0,"",VLOOKUP(H12,'1_Value &amp; risk levers'!$H$9:$T$1048576,13,FALSE))</f>
        <v>2</v>
      </c>
      <c r="R12" s="128" t="e">
        <f t="shared" si="0"/>
        <v>#N/A</v>
      </c>
      <c r="S12" s="104" t="s">
        <v>1638</v>
      </c>
      <c r="T12" s="125">
        <f t="shared" si="1"/>
        <v>6.1875</v>
      </c>
      <c r="U12" s="125">
        <f>SUMPRODUCT(AA11:AA22,AC11:AC22)*10</f>
        <v>6.5625</v>
      </c>
      <c r="V12" s="34" t="s">
        <v>1501</v>
      </c>
      <c r="W12" s="30" t="s">
        <v>1664</v>
      </c>
      <c r="X12" s="30"/>
      <c r="Y12" s="30" t="s">
        <v>1635</v>
      </c>
      <c r="Z12" s="30" t="s">
        <v>1493</v>
      </c>
      <c r="AA12" s="30">
        <v>0.1</v>
      </c>
      <c r="AB12" s="85" t="s">
        <v>1636</v>
      </c>
      <c r="AC12" s="85">
        <f t="shared" si="2"/>
        <v>0.875</v>
      </c>
      <c r="AD12" s="99"/>
      <c r="AE12" s="99"/>
      <c r="AF12" s="74" t="str">
        <f>_xlfn.XLOOKUP(CONCATENATE(H12,"_",V12),'Test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12" s="74" t="e">
        <f>_xlfn.XLOOKUP(CONCATENATE(H12,"_",V12),'Test 2 -Proof points - Sonnet'!$AB:$AB,'Test 2 -Proof points - Sonnet'!$AA:$AA)</f>
        <v>#N/A</v>
      </c>
      <c r="AH12" s="74"/>
      <c r="AI12" s="74"/>
      <c r="AJ12" s="30" t="s">
        <v>132</v>
      </c>
      <c r="AK12" s="30"/>
      <c r="AL12" s="30"/>
      <c r="AM12" s="30"/>
      <c r="AN12" s="113" t="s">
        <v>132</v>
      </c>
    </row>
    <row r="13" spans="1:45" ht="101.5" x14ac:dyDescent="0.35">
      <c r="A13" s="22">
        <v>11</v>
      </c>
      <c r="B13" s="22" t="s">
        <v>1451</v>
      </c>
      <c r="C13" s="22" t="s">
        <v>1452</v>
      </c>
      <c r="D13" s="22" t="s">
        <v>1224</v>
      </c>
      <c r="E13" s="22" t="s">
        <v>1453</v>
      </c>
      <c r="F13" s="22"/>
      <c r="G13" s="22" t="s">
        <v>1269</v>
      </c>
      <c r="H13" s="21" t="s">
        <v>1271</v>
      </c>
      <c r="I13" s="166">
        <v>0.25</v>
      </c>
      <c r="J13" s="21"/>
      <c r="K13" s="30"/>
      <c r="L13" s="30" t="s">
        <v>1661</v>
      </c>
      <c r="M13" s="164" t="str">
        <f>VLOOKUP(H13,'1_Value &amp; risk levers'!$H$9:$O$1048576,2,FALSE)</f>
        <v>&gt;75% spend is linked to regions witnessing price inflation due to cost driver inflation, tariffs, demand / supply imbalance etc.</v>
      </c>
      <c r="N13" s="164" t="str">
        <f>VLOOKUP(H13,'1_Value &amp; risk levers'!$H$9:$O$1048576,3,FALSE)</f>
        <v>50-75% spend is linked to regions witnessing price inflation due to cost driver inflation, tariffs, demand / supply imbalance etc.</v>
      </c>
      <c r="O13" s="164" t="str">
        <f>VLOOKUP(H13,'1_Value &amp; risk levers'!$H$9:$O$1048576,4,FALSE)</f>
        <v>30-50% spend is linked to regions witnessing price inflation due to cost driver inflation, tariffs, demand / supply imbalance etc.</v>
      </c>
      <c r="P13" s="164" t="str">
        <f>VLOOKUP(H13,'1_Value &amp; risk levers'!$H$9:$O$1048576,5,FALSE)</f>
        <v>&lt;30% spend is linked to regions witnessing price inflation due to cost driver inflation, tariffs, demand / supply imbalance etc.</v>
      </c>
      <c r="Q13" s="165">
        <f>IF(VLOOKUP(H13,'1_Value &amp; risk levers'!$H$9:$T$1048576,13,FALSE)=0,"",VLOOKUP(H13,'1_Value &amp; risk levers'!$H$9:$T$1048576,13,FALSE))</f>
        <v>2</v>
      </c>
      <c r="R13" s="128" t="e">
        <f t="shared" si="0"/>
        <v>#N/A</v>
      </c>
      <c r="S13" s="104" t="s">
        <v>1638</v>
      </c>
      <c r="T13" s="125">
        <f t="shared" si="1"/>
        <v>6.1875</v>
      </c>
      <c r="U13" s="125">
        <f>SUMPRODUCT(AA11:AA22,AC11:AC22)*10</f>
        <v>6.5625</v>
      </c>
      <c r="V13" s="180" t="s">
        <v>1502</v>
      </c>
      <c r="W13" s="30" t="s">
        <v>1665</v>
      </c>
      <c r="X13" s="30"/>
      <c r="Y13" s="30" t="s">
        <v>1635</v>
      </c>
      <c r="Z13" s="30" t="s">
        <v>1493</v>
      </c>
      <c r="AA13" s="30">
        <v>0.1</v>
      </c>
      <c r="AB13" s="85" t="s">
        <v>1636</v>
      </c>
      <c r="AC13" s="85">
        <f t="shared" si="2"/>
        <v>0.875</v>
      </c>
      <c r="AD13" s="99"/>
      <c r="AE13" s="99"/>
      <c r="AF13" s="74" t="str">
        <f>_xlfn.XLOOKUP(CONCATENATE(H13,"_",V13),'Test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13" s="74" t="e">
        <f>_xlfn.XLOOKUP(CONCATENATE(H13,"_",V13),'Test 2 -Proof points - Sonnet'!$AB:$AB,'Test 2 -Proof points - Sonnet'!$AA:$AA)</f>
        <v>#N/A</v>
      </c>
      <c r="AH13" s="74"/>
      <c r="AI13" s="74"/>
      <c r="AJ13" s="30" t="s">
        <v>132</v>
      </c>
      <c r="AK13" s="30"/>
      <c r="AL13" s="30"/>
      <c r="AM13" s="30"/>
      <c r="AN13" s="113" t="s">
        <v>132</v>
      </c>
    </row>
    <row r="14" spans="1:45" ht="101.5" x14ac:dyDescent="0.35">
      <c r="A14" s="22">
        <v>11</v>
      </c>
      <c r="B14" s="22" t="s">
        <v>1451</v>
      </c>
      <c r="C14" s="22" t="s">
        <v>1452</v>
      </c>
      <c r="D14" s="22" t="s">
        <v>1224</v>
      </c>
      <c r="E14" s="22" t="s">
        <v>1453</v>
      </c>
      <c r="F14" s="22"/>
      <c r="G14" s="22" t="s">
        <v>1269</v>
      </c>
      <c r="H14" s="21" t="s">
        <v>1271</v>
      </c>
      <c r="I14" s="166">
        <v>0.25</v>
      </c>
      <c r="J14" s="21"/>
      <c r="K14" s="30"/>
      <c r="L14" s="30" t="s">
        <v>1661</v>
      </c>
      <c r="M14" s="164" t="str">
        <f>VLOOKUP(H14,'1_Value &amp; risk levers'!$H$9:$O$1048576,2,FALSE)</f>
        <v>&gt;75% spend is linked to regions witnessing price inflation due to cost driver inflation, tariffs, demand / supply imbalance etc.</v>
      </c>
      <c r="N14" s="164" t="str">
        <f>VLOOKUP(H14,'1_Value &amp; risk levers'!$H$9:$O$1048576,3,FALSE)</f>
        <v>50-75% spend is linked to regions witnessing price inflation due to cost driver inflation, tariffs, demand / supply imbalance etc.</v>
      </c>
      <c r="O14" s="164" t="str">
        <f>VLOOKUP(H14,'1_Value &amp; risk levers'!$H$9:$O$1048576,4,FALSE)</f>
        <v>30-50% spend is linked to regions witnessing price inflation due to cost driver inflation, tariffs, demand / supply imbalance etc.</v>
      </c>
      <c r="P14" s="164" t="str">
        <f>VLOOKUP(H14,'1_Value &amp; risk levers'!$H$9:$O$1048576,5,FALSE)</f>
        <v>&lt;30% spend is linked to regions witnessing price inflation due to cost driver inflation, tariffs, demand / supply imbalance etc.</v>
      </c>
      <c r="Q14" s="165">
        <f>IF(VLOOKUP(H14,'1_Value &amp; risk levers'!$H$9:$T$1048576,13,FALSE)=0,"",VLOOKUP(H14,'1_Value &amp; risk levers'!$H$9:$T$1048576,13,FALSE))</f>
        <v>2</v>
      </c>
      <c r="R14" s="128" t="e">
        <f t="shared" si="0"/>
        <v>#N/A</v>
      </c>
      <c r="S14" s="104" t="s">
        <v>1638</v>
      </c>
      <c r="T14" s="125">
        <f t="shared" si="1"/>
        <v>6.1875</v>
      </c>
      <c r="U14" s="125">
        <f>SUMPRODUCT(AA11:AA22,AC11:AC22)*10</f>
        <v>6.5625</v>
      </c>
      <c r="V14" s="34" t="s">
        <v>1503</v>
      </c>
      <c r="W14" s="30" t="s">
        <v>1666</v>
      </c>
      <c r="X14" s="30"/>
      <c r="Y14" s="30" t="s">
        <v>1663</v>
      </c>
      <c r="Z14" s="30" t="s">
        <v>1493</v>
      </c>
      <c r="AA14" s="30">
        <v>0.1</v>
      </c>
      <c r="AB14" s="85" t="s">
        <v>1521</v>
      </c>
      <c r="AC14" s="85">
        <f t="shared" si="2"/>
        <v>0.875</v>
      </c>
      <c r="AD14" s="99"/>
      <c r="AE14" s="99"/>
      <c r="AF14" s="74" t="str">
        <f>_xlfn.XLOOKUP(CONCATENATE(H14,"_",V14),'Test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14" s="74" t="e">
        <f>_xlfn.XLOOKUP(CONCATENATE(H14,"_",V14),'Test 2 -Proof points - Sonnet'!$AB:$AB,'Test 2 -Proof points - Sonnet'!$AA:$AA)</f>
        <v>#N/A</v>
      </c>
      <c r="AH14" s="74"/>
      <c r="AI14" s="74"/>
      <c r="AJ14" s="30" t="s">
        <v>132</v>
      </c>
      <c r="AK14" s="30"/>
      <c r="AL14" s="30"/>
      <c r="AM14" s="30"/>
      <c r="AN14" s="113" t="s">
        <v>132</v>
      </c>
    </row>
    <row r="15" spans="1:45" ht="101.5" x14ac:dyDescent="0.35">
      <c r="A15" s="22">
        <v>11</v>
      </c>
      <c r="B15" s="22" t="s">
        <v>1451</v>
      </c>
      <c r="C15" s="22" t="s">
        <v>1452</v>
      </c>
      <c r="D15" s="22" t="s">
        <v>1224</v>
      </c>
      <c r="E15" s="22" t="s">
        <v>1453</v>
      </c>
      <c r="F15" s="22"/>
      <c r="G15" s="22" t="s">
        <v>1269</v>
      </c>
      <c r="H15" s="21" t="s">
        <v>1271</v>
      </c>
      <c r="I15" s="166">
        <v>0.25</v>
      </c>
      <c r="J15" s="21"/>
      <c r="K15" s="30"/>
      <c r="L15" s="30" t="s">
        <v>1661</v>
      </c>
      <c r="M15" s="164" t="str">
        <f>VLOOKUP(H15,'1_Value &amp; risk levers'!$H$9:$O$1048576,2,FALSE)</f>
        <v>&gt;75% spend is linked to regions witnessing price inflation due to cost driver inflation, tariffs, demand / supply imbalance etc.</v>
      </c>
      <c r="N15" s="164" t="str">
        <f>VLOOKUP(H15,'1_Value &amp; risk levers'!$H$9:$O$1048576,3,FALSE)</f>
        <v>50-75% spend is linked to regions witnessing price inflation due to cost driver inflation, tariffs, demand / supply imbalance etc.</v>
      </c>
      <c r="O15" s="164" t="str">
        <f>VLOOKUP(H15,'1_Value &amp; risk levers'!$H$9:$O$1048576,4,FALSE)</f>
        <v>30-50% spend is linked to regions witnessing price inflation due to cost driver inflation, tariffs, demand / supply imbalance etc.</v>
      </c>
      <c r="P15" s="164" t="str">
        <f>VLOOKUP(H15,'1_Value &amp; risk levers'!$H$9:$O$1048576,5,FALSE)</f>
        <v>&lt;30% spend is linked to regions witnessing price inflation due to cost driver inflation, tariffs, demand / supply imbalance etc.</v>
      </c>
      <c r="Q15" s="165">
        <f>IF(VLOOKUP(H15,'1_Value &amp; risk levers'!$H$9:$T$1048576,13,FALSE)=0,"",VLOOKUP(H15,'1_Value &amp; risk levers'!$H$9:$T$1048576,13,FALSE))</f>
        <v>2</v>
      </c>
      <c r="R15" s="128" t="e">
        <f t="shared" si="0"/>
        <v>#N/A</v>
      </c>
      <c r="S15" s="104" t="s">
        <v>1638</v>
      </c>
      <c r="T15" s="125">
        <f t="shared" si="1"/>
        <v>6.1875</v>
      </c>
      <c r="U15" s="125">
        <f>SUMPRODUCT(AA11:AA22,AC11:AC22)*10</f>
        <v>6.5625</v>
      </c>
      <c r="V15" s="180" t="s">
        <v>1506</v>
      </c>
      <c r="W15" s="30" t="s">
        <v>1667</v>
      </c>
      <c r="X15" s="30"/>
      <c r="Y15" s="30" t="s">
        <v>1663</v>
      </c>
      <c r="Z15" s="30" t="s">
        <v>1493</v>
      </c>
      <c r="AA15" s="30">
        <v>0.1</v>
      </c>
      <c r="AB15" s="85" t="s">
        <v>1584</v>
      </c>
      <c r="AC15" s="85">
        <f t="shared" si="2"/>
        <v>0.625</v>
      </c>
      <c r="AD15" s="99"/>
      <c r="AE15" s="99"/>
      <c r="AF15" s="74" t="str">
        <f>_xlfn.XLOOKUP(CONCATENATE(H15,"_",V15),'Test 2 - Proof points - GPT5'!$T:$T,'Test 2 - Proof points - GPT5'!$S:$S)</f>
        <v>Tariff sensitivity: Landed cost for imported veg oils can swing materially with duty/cess changes. Actions: monitor HS 1512/1515 lines for target lanes (Malaysia/India); design pass-through clauses and buffer stock. Where duty arbitrage exists, explore tolling or third-country transshipment in compliance with rules of origin.</v>
      </c>
      <c r="AG15" s="74" t="e">
        <f>_xlfn.XLOOKUP(CONCATENATE(H15,"_",V15),'Test 2 -Proof points - Sonnet'!$AB:$AB,'Test 2 -Proof points - Sonnet'!$AA:$AA)</f>
        <v>#N/A</v>
      </c>
      <c r="AH15" s="74"/>
      <c r="AI15" s="74"/>
      <c r="AJ15" s="30" t="s">
        <v>132</v>
      </c>
      <c r="AK15" s="30"/>
      <c r="AL15" s="30"/>
      <c r="AM15" s="30"/>
      <c r="AN15" s="113" t="s">
        <v>132</v>
      </c>
    </row>
    <row r="16" spans="1:45" ht="116" x14ac:dyDescent="0.35">
      <c r="A16" s="22">
        <v>11</v>
      </c>
      <c r="B16" s="22" t="s">
        <v>1451</v>
      </c>
      <c r="C16" s="22" t="s">
        <v>1452</v>
      </c>
      <c r="D16" s="22" t="s">
        <v>1224</v>
      </c>
      <c r="E16" s="22" t="s">
        <v>1453</v>
      </c>
      <c r="F16" s="22"/>
      <c r="G16" s="22" t="s">
        <v>1269</v>
      </c>
      <c r="H16" s="21" t="s">
        <v>1271</v>
      </c>
      <c r="I16" s="166">
        <v>0.25</v>
      </c>
      <c r="J16" s="21"/>
      <c r="K16" s="30"/>
      <c r="L16" s="30" t="s">
        <v>1661</v>
      </c>
      <c r="M16" s="164" t="str">
        <f>VLOOKUP(H16,'1_Value &amp; risk levers'!$H$9:$O$1048576,2,FALSE)</f>
        <v>&gt;75% spend is linked to regions witnessing price inflation due to cost driver inflation, tariffs, demand / supply imbalance etc.</v>
      </c>
      <c r="N16" s="164" t="str">
        <f>VLOOKUP(H16,'1_Value &amp; risk levers'!$H$9:$O$1048576,3,FALSE)</f>
        <v>50-75% spend is linked to regions witnessing price inflation due to cost driver inflation, tariffs, demand / supply imbalance etc.</v>
      </c>
      <c r="O16" s="164" t="str">
        <f>VLOOKUP(H16,'1_Value &amp; risk levers'!$H$9:$O$1048576,4,FALSE)</f>
        <v>30-50% spend is linked to regions witnessing price inflation due to cost driver inflation, tariffs, demand / supply imbalance etc.</v>
      </c>
      <c r="P16" s="164" t="str">
        <f>VLOOKUP(H16,'1_Value &amp; risk levers'!$H$9:$O$1048576,5,FALSE)</f>
        <v>&lt;30% spend is linked to regions witnessing price inflation due to cost driver inflation, tariffs, demand / supply imbalance etc.</v>
      </c>
      <c r="Q16" s="165">
        <f>IF(VLOOKUP(H16,'1_Value &amp; risk levers'!$H$9:$T$1048576,13,FALSE)=0,"",VLOOKUP(H16,'1_Value &amp; risk levers'!$H$9:$T$1048576,13,FALSE))</f>
        <v>2</v>
      </c>
      <c r="R16" s="128" t="e">
        <f t="shared" si="0"/>
        <v>#N/A</v>
      </c>
      <c r="S16" s="104" t="s">
        <v>1638</v>
      </c>
      <c r="T16" s="125">
        <f t="shared" si="1"/>
        <v>6.1875</v>
      </c>
      <c r="U16" s="125">
        <f>SUMPRODUCT(AA11:AA22,AC11:AC22)*10</f>
        <v>6.5625</v>
      </c>
      <c r="V16" s="180" t="s">
        <v>1507</v>
      </c>
      <c r="W16" s="30" t="s">
        <v>1668</v>
      </c>
      <c r="X16" s="30"/>
      <c r="Y16" s="30" t="s">
        <v>1663</v>
      </c>
      <c r="Z16" s="30" t="s">
        <v>1493</v>
      </c>
      <c r="AA16" s="30">
        <v>0.05</v>
      </c>
      <c r="AB16" s="85" t="s">
        <v>1584</v>
      </c>
      <c r="AC16" s="85">
        <f t="shared" si="2"/>
        <v>0.625</v>
      </c>
      <c r="AD16" s="99"/>
      <c r="AE16" s="99"/>
      <c r="AF16" s="74" t="str">
        <f>_xlfn.XLOOKUP(CONCATENATE(H16,"_",V16),'Test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16" s="74" t="e">
        <f>_xlfn.XLOOKUP(CONCATENATE(H16,"_",V16),'Test 2 -Proof points - Sonnet'!$AB:$AB,'Test 2 -Proof points - Sonnet'!$AA:$AA)</f>
        <v>#N/A</v>
      </c>
      <c r="AH16" s="74"/>
      <c r="AI16" s="74"/>
      <c r="AJ16" s="30" t="s">
        <v>132</v>
      </c>
      <c r="AK16" s="30"/>
      <c r="AL16" s="30"/>
      <c r="AM16" s="30"/>
      <c r="AN16" s="113" t="s">
        <v>132</v>
      </c>
    </row>
    <row r="17" spans="1:40" ht="116" x14ac:dyDescent="0.35">
      <c r="A17" s="22">
        <v>11</v>
      </c>
      <c r="B17" s="22" t="s">
        <v>1451</v>
      </c>
      <c r="C17" s="22" t="s">
        <v>1452</v>
      </c>
      <c r="D17" s="22" t="s">
        <v>1224</v>
      </c>
      <c r="E17" s="22" t="s">
        <v>1453</v>
      </c>
      <c r="F17" s="22"/>
      <c r="G17" s="22" t="s">
        <v>1269</v>
      </c>
      <c r="H17" s="21" t="s">
        <v>1271</v>
      </c>
      <c r="I17" s="166">
        <v>0.25</v>
      </c>
      <c r="J17" s="21"/>
      <c r="K17" s="30"/>
      <c r="L17" s="30" t="s">
        <v>1661</v>
      </c>
      <c r="M17" s="164" t="str">
        <f>VLOOKUP(H17,'1_Value &amp; risk levers'!$H$9:$O$1048576,2,FALSE)</f>
        <v>&gt;75% spend is linked to regions witnessing price inflation due to cost driver inflation, tariffs, demand / supply imbalance etc.</v>
      </c>
      <c r="N17" s="164" t="str">
        <f>VLOOKUP(H17,'1_Value &amp; risk levers'!$H$9:$O$1048576,3,FALSE)</f>
        <v>50-75% spend is linked to regions witnessing price inflation due to cost driver inflation, tariffs, demand / supply imbalance etc.</v>
      </c>
      <c r="O17" s="164" t="str">
        <f>VLOOKUP(H17,'1_Value &amp; risk levers'!$H$9:$O$1048576,4,FALSE)</f>
        <v>30-50% spend is linked to regions witnessing price inflation due to cost driver inflation, tariffs, demand / supply imbalance etc.</v>
      </c>
      <c r="P17" s="164" t="str">
        <f>VLOOKUP(H17,'1_Value &amp; risk levers'!$H$9:$O$1048576,5,FALSE)</f>
        <v>&lt;30% spend is linked to regions witnessing price inflation due to cost driver inflation, tariffs, demand / supply imbalance etc.</v>
      </c>
      <c r="Q17" s="165">
        <f>IF(VLOOKUP(H17,'1_Value &amp; risk levers'!$H$9:$T$1048576,13,FALSE)=0,"",VLOOKUP(H17,'1_Value &amp; risk levers'!$H$9:$T$1048576,13,FALSE))</f>
        <v>2</v>
      </c>
      <c r="R17" s="128" t="e">
        <f t="shared" si="0"/>
        <v>#N/A</v>
      </c>
      <c r="S17" s="104" t="s">
        <v>1638</v>
      </c>
      <c r="T17" s="125">
        <f t="shared" si="1"/>
        <v>6.1875</v>
      </c>
      <c r="U17" s="125">
        <f>SUMPRODUCT(AA11:AA22,AC11:AC22)*10</f>
        <v>6.5625</v>
      </c>
      <c r="V17" s="34" t="s">
        <v>1508</v>
      </c>
      <c r="W17" s="30" t="s">
        <v>1669</v>
      </c>
      <c r="X17" s="30"/>
      <c r="Y17" s="30" t="s">
        <v>1663</v>
      </c>
      <c r="Z17" s="30" t="s">
        <v>1493</v>
      </c>
      <c r="AA17" s="30">
        <v>0.1</v>
      </c>
      <c r="AB17" s="85" t="s">
        <v>1584</v>
      </c>
      <c r="AC17" s="85">
        <f t="shared" si="2"/>
        <v>0.625</v>
      </c>
      <c r="AD17" s="99"/>
      <c r="AE17" s="99"/>
      <c r="AF17" s="74" t="str">
        <f>_xlfn.XLOOKUP(CONCATENATE(H17,"_",V17),'Test 2 - Proof points - GPT5'!$T:$T,'Test 2 - Proof points - GPT5'!$S:$S)</f>
        <v>Indicative cost stack (veg oils proxy): Direct Materials or Services: 55%; Net Margin: 10%; Energy &amp; Utilities: 3%; Depreciation: 3%; Labor: 3%. Actions: Tie price formula to feedstock index + FX; negotiate energy/freight passthrough floors/ceilings to avoid overpayment when input costs soften.</v>
      </c>
      <c r="AG17" s="74" t="e">
        <f>_xlfn.XLOOKUP(CONCATENATE(H17,"_",V17),'Test 2 -Proof points - Sonnet'!$AB:$AB,'Test 2 -Proof points - Sonnet'!$AA:$AA)</f>
        <v>#N/A</v>
      </c>
      <c r="AH17" s="74"/>
      <c r="AI17" s="74"/>
      <c r="AJ17" s="30" t="s">
        <v>132</v>
      </c>
      <c r="AK17" s="30"/>
      <c r="AL17" s="30"/>
      <c r="AM17" s="30"/>
      <c r="AN17" s="113" t="s">
        <v>132</v>
      </c>
    </row>
    <row r="18" spans="1:40" ht="101.5" x14ac:dyDescent="0.35">
      <c r="A18" s="22">
        <v>11</v>
      </c>
      <c r="B18" s="22" t="s">
        <v>1451</v>
      </c>
      <c r="C18" s="22" t="s">
        <v>1452</v>
      </c>
      <c r="D18" s="22" t="s">
        <v>1224</v>
      </c>
      <c r="E18" s="22" t="s">
        <v>1453</v>
      </c>
      <c r="F18" s="22"/>
      <c r="G18" s="22" t="s">
        <v>1269</v>
      </c>
      <c r="H18" s="21" t="s">
        <v>1271</v>
      </c>
      <c r="I18" s="166">
        <v>0.25</v>
      </c>
      <c r="J18" s="21"/>
      <c r="K18" s="30"/>
      <c r="L18" s="30" t="s">
        <v>1661</v>
      </c>
      <c r="M18" s="164" t="str">
        <f>VLOOKUP(H18,'1_Value &amp; risk levers'!$H$9:$O$1048576,2,FALSE)</f>
        <v>&gt;75% spend is linked to regions witnessing price inflation due to cost driver inflation, tariffs, demand / supply imbalance etc.</v>
      </c>
      <c r="N18" s="164" t="str">
        <f>VLOOKUP(H18,'1_Value &amp; risk levers'!$H$9:$O$1048576,3,FALSE)</f>
        <v>50-75% spend is linked to regions witnessing price inflation due to cost driver inflation, tariffs, demand / supply imbalance etc.</v>
      </c>
      <c r="O18" s="164" t="str">
        <f>VLOOKUP(H18,'1_Value &amp; risk levers'!$H$9:$O$1048576,4,FALSE)</f>
        <v>30-50% spend is linked to regions witnessing price inflation due to cost driver inflation, tariffs, demand / supply imbalance etc.</v>
      </c>
      <c r="P18" s="164" t="str">
        <f>VLOOKUP(H18,'1_Value &amp; risk levers'!$H$9:$O$1048576,5,FALSE)</f>
        <v>&lt;30% spend is linked to regions witnessing price inflation due to cost driver inflation, tariffs, demand / supply imbalance etc.</v>
      </c>
      <c r="Q18" s="165">
        <f>IF(VLOOKUP(H18,'1_Value &amp; risk levers'!$H$9:$T$1048576,13,FALSE)=0,"",VLOOKUP(H18,'1_Value &amp; risk levers'!$H$9:$T$1048576,13,FALSE))</f>
        <v>2</v>
      </c>
      <c r="R18" s="128" t="e">
        <f t="shared" si="0"/>
        <v>#N/A</v>
      </c>
      <c r="S18" s="104" t="s">
        <v>1638</v>
      </c>
      <c r="T18" s="125">
        <f t="shared" si="1"/>
        <v>6.1875</v>
      </c>
      <c r="U18" s="125">
        <f>SUMPRODUCT(AA11:AA22,AC11:AC22)*10</f>
        <v>6.5625</v>
      </c>
      <c r="V18" s="34" t="s">
        <v>1510</v>
      </c>
      <c r="W18" s="30" t="s">
        <v>1670</v>
      </c>
      <c r="X18" s="30"/>
      <c r="Y18" s="30" t="s">
        <v>1663</v>
      </c>
      <c r="Z18" s="30" t="s">
        <v>1493</v>
      </c>
      <c r="AA18" s="30">
        <v>0.1</v>
      </c>
      <c r="AB18" s="85" t="s">
        <v>327</v>
      </c>
      <c r="AC18" s="85">
        <f t="shared" si="2"/>
        <v>0.25</v>
      </c>
      <c r="AD18" s="99"/>
      <c r="AE18" s="99"/>
      <c r="AF18" s="74" t="str">
        <f>_xlfn.XLOOKUP(CONCATENATE(H18,"_",V18),'Test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18" s="74" t="e">
        <f>_xlfn.XLOOKUP(CONCATENATE(H18,"_",V18),'Test 2 -Proof points - Sonnet'!$AB:$AB,'Test 2 -Proof points - Sonnet'!$AA:$AA)</f>
        <v>#N/A</v>
      </c>
      <c r="AH18" s="74"/>
      <c r="AI18" s="74"/>
      <c r="AJ18" s="30" t="s">
        <v>132</v>
      </c>
      <c r="AK18" s="30"/>
      <c r="AL18" s="30"/>
      <c r="AM18" s="30"/>
      <c r="AN18" s="113" t="s">
        <v>132</v>
      </c>
    </row>
    <row r="19" spans="1:40" ht="101.5" x14ac:dyDescent="0.35">
      <c r="A19" s="22">
        <v>11</v>
      </c>
      <c r="B19" s="22" t="s">
        <v>1451</v>
      </c>
      <c r="C19" s="22" t="s">
        <v>1452</v>
      </c>
      <c r="D19" s="22" t="s">
        <v>1224</v>
      </c>
      <c r="E19" s="22" t="s">
        <v>1453</v>
      </c>
      <c r="F19" s="22"/>
      <c r="G19" s="22" t="s">
        <v>1269</v>
      </c>
      <c r="H19" s="21" t="s">
        <v>1271</v>
      </c>
      <c r="I19" s="166">
        <v>0.25</v>
      </c>
      <c r="J19" s="21"/>
      <c r="K19" s="30"/>
      <c r="L19" s="30" t="s">
        <v>1661</v>
      </c>
      <c r="M19" s="164" t="str">
        <f>VLOOKUP(H19,'1_Value &amp; risk levers'!$H$9:$O$1048576,2,FALSE)</f>
        <v>&gt;75% spend is linked to regions witnessing price inflation due to cost driver inflation, tariffs, demand / supply imbalance etc.</v>
      </c>
      <c r="N19" s="164" t="str">
        <f>VLOOKUP(H19,'1_Value &amp; risk levers'!$H$9:$O$1048576,3,FALSE)</f>
        <v>50-75% spend is linked to regions witnessing price inflation due to cost driver inflation, tariffs, demand / supply imbalance etc.</v>
      </c>
      <c r="O19" s="164" t="str">
        <f>VLOOKUP(H19,'1_Value &amp; risk levers'!$H$9:$O$1048576,4,FALSE)</f>
        <v>30-50% spend is linked to regions witnessing price inflation due to cost driver inflation, tariffs, demand / supply imbalance etc.</v>
      </c>
      <c r="P19" s="164" t="str">
        <f>VLOOKUP(H19,'1_Value &amp; risk levers'!$H$9:$O$1048576,5,FALSE)</f>
        <v>&lt;30% spend is linked to regions witnessing price inflation due to cost driver inflation, tariffs, demand / supply imbalance etc.</v>
      </c>
      <c r="Q19" s="165">
        <f>IF(VLOOKUP(H19,'1_Value &amp; risk levers'!$H$9:$T$1048576,13,FALSE)=0,"",VLOOKUP(H19,'1_Value &amp; risk levers'!$H$9:$T$1048576,13,FALSE))</f>
        <v>2</v>
      </c>
      <c r="R19" s="128" t="e">
        <f t="shared" si="0"/>
        <v>#N/A</v>
      </c>
      <c r="S19" s="104" t="s">
        <v>1638</v>
      </c>
      <c r="T19" s="125">
        <f t="shared" si="1"/>
        <v>6.1875</v>
      </c>
      <c r="U19" s="125">
        <f>SUMPRODUCT(AA11:AA22,AC11:AC22)*10</f>
        <v>6.5625</v>
      </c>
      <c r="V19" s="180" t="s">
        <v>1671</v>
      </c>
      <c r="W19" s="30" t="s">
        <v>1672</v>
      </c>
      <c r="X19" s="30"/>
      <c r="Y19" s="30" t="s">
        <v>1663</v>
      </c>
      <c r="Z19" s="30" t="s">
        <v>1493</v>
      </c>
      <c r="AA19" s="30">
        <v>0.1</v>
      </c>
      <c r="AB19" s="85" t="s">
        <v>1521</v>
      </c>
      <c r="AC19" s="85">
        <f t="shared" si="2"/>
        <v>0.875</v>
      </c>
      <c r="AD19" s="99"/>
      <c r="AE19" s="99"/>
      <c r="AF19" s="74" t="str">
        <f>_xlfn.XLOOKUP(CONCATENATE(H19,"_",V19),'Test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19" s="74" t="e">
        <f>_xlfn.XLOOKUP(CONCATENATE(H19,"_",V19),'Test 2 -Proof points - Sonnet'!$AB:$AB,'Test 2 -Proof points - Sonnet'!$AA:$AA)</f>
        <v>#N/A</v>
      </c>
      <c r="AH19" s="74"/>
      <c r="AI19" s="74"/>
      <c r="AJ19" s="30" t="s">
        <v>132</v>
      </c>
      <c r="AK19" s="30"/>
      <c r="AL19" s="30"/>
      <c r="AM19" s="30"/>
      <c r="AN19" s="113" t="s">
        <v>132</v>
      </c>
    </row>
    <row r="20" spans="1:40" ht="72.5" x14ac:dyDescent="0.35">
      <c r="A20" s="22">
        <v>11</v>
      </c>
      <c r="B20" s="22" t="s">
        <v>1451</v>
      </c>
      <c r="C20" s="22" t="s">
        <v>1452</v>
      </c>
      <c r="D20" s="22" t="s">
        <v>1224</v>
      </c>
      <c r="E20" s="22" t="s">
        <v>1453</v>
      </c>
      <c r="F20" s="22"/>
      <c r="G20" s="22" t="s">
        <v>1269</v>
      </c>
      <c r="H20" s="21" t="s">
        <v>1271</v>
      </c>
      <c r="I20" s="166">
        <v>0.25</v>
      </c>
      <c r="J20" s="21"/>
      <c r="K20" s="30"/>
      <c r="L20" s="30" t="s">
        <v>1661</v>
      </c>
      <c r="M20" s="164" t="s">
        <v>1349</v>
      </c>
      <c r="N20" s="164" t="s">
        <v>1350</v>
      </c>
      <c r="O20" s="164" t="s">
        <v>1351</v>
      </c>
      <c r="P20" s="164" t="s">
        <v>1352</v>
      </c>
      <c r="Q20" s="163">
        <f>IF(VLOOKUP(H20,'1_Value &amp; risk levers'!$H$9:$T$1048576,13,FALSE)=0,"",VLOOKUP(H20,'1_Value &amp; risk levers'!$H$9:$T$1048576,13,FALSE))</f>
        <v>2</v>
      </c>
      <c r="R20" s="138" t="e">
        <f t="shared" si="0"/>
        <v>#N/A</v>
      </c>
      <c r="S20" s="104" t="s">
        <v>1638</v>
      </c>
      <c r="T20" s="125">
        <f t="shared" si="1"/>
        <v>6.1875</v>
      </c>
      <c r="U20" s="125">
        <f>SUMPRODUCT(AA11:AA22,AC11:AC22)*10</f>
        <v>6.5625</v>
      </c>
      <c r="V20" s="180" t="s">
        <v>1509</v>
      </c>
      <c r="W20" s="30" t="s">
        <v>1673</v>
      </c>
      <c r="X20" s="30"/>
      <c r="Y20" s="30" t="s">
        <v>1663</v>
      </c>
      <c r="Z20" s="30" t="s">
        <v>1493</v>
      </c>
      <c r="AA20" s="30">
        <v>0.05</v>
      </c>
      <c r="AB20" s="85" t="s">
        <v>1584</v>
      </c>
      <c r="AC20" s="85">
        <f t="shared" si="2"/>
        <v>0.625</v>
      </c>
      <c r="AD20" s="99"/>
      <c r="AE20" s="99"/>
      <c r="AF20" s="99"/>
      <c r="AG20" s="99"/>
      <c r="AH20" s="74"/>
      <c r="AI20" s="74"/>
      <c r="AJ20" s="30" t="s">
        <v>132</v>
      </c>
      <c r="AK20" s="30"/>
      <c r="AL20" s="30"/>
      <c r="AM20" s="30"/>
      <c r="AN20" s="30"/>
    </row>
    <row r="21" spans="1:40" ht="101.5" x14ac:dyDescent="0.35">
      <c r="A21" s="22">
        <v>11</v>
      </c>
      <c r="B21" s="22" t="s">
        <v>1451</v>
      </c>
      <c r="C21" s="22" t="s">
        <v>1452</v>
      </c>
      <c r="D21" s="22" t="s">
        <v>1224</v>
      </c>
      <c r="E21" s="22" t="s">
        <v>1453</v>
      </c>
      <c r="F21" s="22"/>
      <c r="G21" s="22" t="s">
        <v>1269</v>
      </c>
      <c r="H21" s="21" t="s">
        <v>1271</v>
      </c>
      <c r="I21" s="166">
        <v>0.25</v>
      </c>
      <c r="J21" s="21"/>
      <c r="K21" s="30"/>
      <c r="L21" s="30" t="s">
        <v>1661</v>
      </c>
      <c r="M21" s="164" t="s">
        <v>1349</v>
      </c>
      <c r="N21" s="164" t="s">
        <v>1350</v>
      </c>
      <c r="O21" s="164" t="s">
        <v>1351</v>
      </c>
      <c r="P21" s="164" t="s">
        <v>1352</v>
      </c>
      <c r="Q21" s="163">
        <f>IF(VLOOKUP(H21,'1_Value &amp; risk levers'!$H$9:$T$1048576,13,FALSE)=0,"",VLOOKUP(H21,'1_Value &amp; risk levers'!$H$9:$T$1048576,13,FALSE))</f>
        <v>2</v>
      </c>
      <c r="R21" s="138" t="e">
        <f t="shared" si="0"/>
        <v>#N/A</v>
      </c>
      <c r="S21" s="104" t="s">
        <v>1638</v>
      </c>
      <c r="T21" s="125">
        <f t="shared" si="1"/>
        <v>6.1875</v>
      </c>
      <c r="U21" s="125">
        <f>SUMPRODUCT(AA11:AA22,AC11:AC22)*10</f>
        <v>6.5625</v>
      </c>
      <c r="V21" s="180" t="s">
        <v>1494</v>
      </c>
      <c r="W21" s="30" t="s">
        <v>1674</v>
      </c>
      <c r="X21" s="30"/>
      <c r="Y21" s="30" t="s">
        <v>1663</v>
      </c>
      <c r="Z21" s="30" t="s">
        <v>1493</v>
      </c>
      <c r="AA21" s="30">
        <v>0.05</v>
      </c>
      <c r="AB21" s="85" t="s">
        <v>1584</v>
      </c>
      <c r="AC21" s="85">
        <f t="shared" si="2"/>
        <v>0.625</v>
      </c>
      <c r="AD21" s="99"/>
      <c r="AE21" s="99"/>
      <c r="AF21" s="99"/>
      <c r="AG21" s="99"/>
      <c r="AH21" s="74"/>
      <c r="AI21" s="74"/>
      <c r="AJ21" s="30" t="s">
        <v>132</v>
      </c>
      <c r="AK21" s="30"/>
      <c r="AL21" s="30"/>
      <c r="AM21" s="30"/>
      <c r="AN21" s="30"/>
    </row>
    <row r="22" spans="1:40" ht="116" x14ac:dyDescent="0.35">
      <c r="A22" s="22">
        <v>11</v>
      </c>
      <c r="B22" s="22" t="s">
        <v>1451</v>
      </c>
      <c r="C22" s="22" t="s">
        <v>1452</v>
      </c>
      <c r="D22" s="22" t="s">
        <v>1224</v>
      </c>
      <c r="E22" s="22" t="s">
        <v>1453</v>
      </c>
      <c r="F22" s="22"/>
      <c r="G22" s="22" t="s">
        <v>1269</v>
      </c>
      <c r="H22" s="21" t="s">
        <v>1271</v>
      </c>
      <c r="I22" s="166">
        <v>0.25</v>
      </c>
      <c r="J22" s="21"/>
      <c r="K22" s="30"/>
      <c r="L22" s="30" t="s">
        <v>1661</v>
      </c>
      <c r="M22" s="164" t="s">
        <v>1349</v>
      </c>
      <c r="N22" s="164" t="s">
        <v>1350</v>
      </c>
      <c r="O22" s="164" t="s">
        <v>1351</v>
      </c>
      <c r="P22" s="164" t="s">
        <v>1352</v>
      </c>
      <c r="Q22" s="163">
        <f>IF(VLOOKUP(H22,'1_Value &amp; risk levers'!$H$9:$T$1048576,13,FALSE)=0,"",VLOOKUP(H22,'1_Value &amp; risk levers'!$H$9:$T$1048576,13,FALSE))</f>
        <v>2</v>
      </c>
      <c r="R22" s="138" t="e">
        <f t="shared" si="0"/>
        <v>#N/A</v>
      </c>
      <c r="S22" s="104" t="s">
        <v>1638</v>
      </c>
      <c r="T22" s="125">
        <f t="shared" si="1"/>
        <v>6.1875</v>
      </c>
      <c r="U22" s="125">
        <f>SUMPRODUCT(AA11:AA22,AC11:AC22)*10</f>
        <v>6.5625</v>
      </c>
      <c r="V22" s="34" t="s">
        <v>1511</v>
      </c>
      <c r="W22" s="30" t="s">
        <v>1675</v>
      </c>
      <c r="X22" s="30"/>
      <c r="Y22" s="30" t="s">
        <v>1663</v>
      </c>
      <c r="Z22" s="30" t="s">
        <v>1493</v>
      </c>
      <c r="AA22" s="30">
        <v>0.05</v>
      </c>
      <c r="AB22" s="85" t="s">
        <v>1584</v>
      </c>
      <c r="AC22" s="85">
        <f t="shared" si="2"/>
        <v>0.625</v>
      </c>
      <c r="AD22" s="99"/>
      <c r="AE22" s="99"/>
      <c r="AF22" s="99"/>
      <c r="AG22" s="99"/>
      <c r="AH22" s="74"/>
      <c r="AI22" s="74"/>
      <c r="AJ22" s="30" t="s">
        <v>132</v>
      </c>
      <c r="AK22" s="30"/>
      <c r="AL22" s="30"/>
      <c r="AM22" s="30"/>
      <c r="AN22" s="30"/>
    </row>
    <row r="23" spans="1:40" ht="43.5" x14ac:dyDescent="0.35">
      <c r="L23" s="30" t="s">
        <v>1631</v>
      </c>
      <c r="V23" s="183" t="s">
        <v>1676</v>
      </c>
      <c r="W23" s="181" t="s">
        <v>1677</v>
      </c>
    </row>
    <row r="24" spans="1:40" ht="43.5" x14ac:dyDescent="0.35">
      <c r="L24" s="30" t="s">
        <v>1661</v>
      </c>
      <c r="V24" s="183" t="s">
        <v>1678</v>
      </c>
      <c r="W24" s="32" t="s">
        <v>1679</v>
      </c>
    </row>
    <row r="25" spans="1:40" x14ac:dyDescent="0.35">
      <c r="L25" s="30"/>
      <c r="V25" s="32" t="s">
        <v>1680</v>
      </c>
      <c r="W25" s="32" t="s">
        <v>1681</v>
      </c>
    </row>
    <row r="26" spans="1:40" x14ac:dyDescent="0.35">
      <c r="L26" s="30"/>
      <c r="V26" s="32" t="s">
        <v>1682</v>
      </c>
      <c r="W26" s="32" t="s">
        <v>1683</v>
      </c>
    </row>
    <row r="27" spans="1:40" ht="43.5" x14ac:dyDescent="0.35">
      <c r="L27" s="30" t="s">
        <v>1631</v>
      </c>
      <c r="V27" s="32" t="s">
        <v>1684</v>
      </c>
      <c r="W27" s="32" t="s">
        <v>1685</v>
      </c>
    </row>
  </sheetData>
  <autoFilter ref="A2:AS24" xr:uid="{9D20A401-54E3-4107-9B7A-A786A8CBE868}"/>
  <sortState xmlns:xlrd2="http://schemas.microsoft.com/office/spreadsheetml/2017/richdata2" ref="A3:AN22">
    <sortCondition ref="A2:A22"/>
  </sortState>
  <mergeCells count="2">
    <mergeCell ref="M1:Q1"/>
    <mergeCell ref="AJ1:AM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3D42-7CE2-451C-A91F-6BB04720B7C9}">
  <dimension ref="A1:AS27"/>
  <sheetViews>
    <sheetView showGridLines="0" zoomScale="70" zoomScaleNormal="70" workbookViewId="0">
      <selection activeCell="F3" sqref="F3"/>
    </sheetView>
  </sheetViews>
  <sheetFormatPr defaultColWidth="8.7265625" defaultRowHeight="14.5" outlineLevelCol="2" x14ac:dyDescent="0.35"/>
  <cols>
    <col min="1" max="1" width="8.7265625" style="32" customWidth="1"/>
    <col min="2" max="2" width="14.453125" style="32" customWidth="1"/>
    <col min="3" max="3" width="12.54296875" style="32" customWidth="1"/>
    <col min="4" max="4" width="8.7265625" style="32" customWidth="1"/>
    <col min="5" max="5" width="24.453125" style="32" customWidth="1"/>
    <col min="6" max="6" width="4.7265625" style="32" customWidth="1"/>
    <col min="7" max="7" width="9.81640625" style="32" customWidth="1"/>
    <col min="8" max="8" width="24" style="28" customWidth="1"/>
    <col min="9" max="9" width="16.54296875" style="32" customWidth="1"/>
    <col min="10" max="10" width="20.81640625" style="28" customWidth="1"/>
    <col min="11" max="11" width="8.7265625" style="32" customWidth="1"/>
    <col min="12" max="12" width="24.1796875" style="32" customWidth="1"/>
    <col min="13" max="13" width="23.7265625" style="32" customWidth="1"/>
    <col min="14" max="14" width="26.26953125" style="32" customWidth="1"/>
    <col min="15" max="15" width="23.26953125" style="32" customWidth="1"/>
    <col min="16" max="16" width="24" style="32" customWidth="1"/>
    <col min="17" max="17" width="13.7265625" style="78" customWidth="1"/>
    <col min="18" max="18" width="13.7265625" style="78" customWidth="1" outlineLevel="2"/>
    <col min="19" max="19" width="37.1796875" style="78" customWidth="1" outlineLevel="1"/>
    <col min="20" max="20" width="13.7265625" style="52" customWidth="1"/>
    <col min="21" max="21" width="16.1796875" style="52" customWidth="1"/>
    <col min="22" max="22" width="18.453125" style="32" customWidth="1"/>
    <col min="23" max="23" width="50.453125" style="32" customWidth="1"/>
    <col min="24" max="24" width="42.26953125" style="32" customWidth="1" outlineLevel="1"/>
    <col min="25" max="25" width="17.81640625" style="32" customWidth="1"/>
    <col min="26" max="26" width="9.54296875" style="32" customWidth="1"/>
    <col min="27" max="27" width="13" style="32" customWidth="1"/>
    <col min="28" max="28" width="10.81640625" style="32" customWidth="1"/>
    <col min="29" max="29" width="8.81640625" style="32" customWidth="1"/>
    <col min="30" max="30" width="65" style="75" customWidth="1" outlineLevel="1"/>
    <col min="31" max="31" width="19.81640625" style="75" customWidth="1" outlineLevel="1"/>
    <col min="32" max="32" width="53.54296875" style="75" customWidth="1" outlineLevel="1"/>
    <col min="33" max="33" width="69.54296875" style="75" customWidth="1" outlineLevel="1"/>
    <col min="34" max="34" width="86.54296875" style="76" customWidth="1" outlineLevel="1"/>
    <col min="35" max="35" width="121" style="76" customWidth="1" outlineLevel="1"/>
    <col min="36" max="39" width="12.26953125" style="32" customWidth="1" outlineLevel="1"/>
    <col min="40" max="40" width="8.7265625" style="32" customWidth="1" outlineLevel="1"/>
    <col min="41" max="41" width="163.453125" style="186" customWidth="1"/>
    <col min="42" max="42" width="150.54296875" style="186" customWidth="1"/>
    <col min="43" max="16384" width="8.7265625" style="32"/>
  </cols>
  <sheetData>
    <row r="1" spans="1:45" ht="29.15" customHeight="1" thickBot="1" x14ac:dyDescent="0.4">
      <c r="M1" s="242"/>
      <c r="N1" s="243"/>
      <c r="O1" s="243"/>
      <c r="P1" s="243"/>
      <c r="Q1" s="244"/>
      <c r="R1" s="157"/>
      <c r="S1" s="206"/>
      <c r="T1" s="207"/>
      <c r="U1" s="157"/>
      <c r="AD1" s="32"/>
      <c r="AE1" s="32"/>
      <c r="AF1" s="32"/>
      <c r="AG1" s="32"/>
      <c r="AH1" s="28"/>
      <c r="AI1" s="28"/>
      <c r="AJ1" s="245"/>
      <c r="AK1" s="246"/>
      <c r="AL1" s="246"/>
      <c r="AM1" s="246"/>
      <c r="AN1" s="158"/>
      <c r="AO1" s="208"/>
      <c r="AP1" s="208"/>
      <c r="AQ1" s="118"/>
      <c r="AR1" s="118"/>
      <c r="AS1" s="119"/>
    </row>
    <row r="2" spans="1:45" ht="72.5" x14ac:dyDescent="0.35">
      <c r="A2" s="29" t="s">
        <v>1389</v>
      </c>
      <c r="B2" s="29" t="s">
        <v>1390</v>
      </c>
      <c r="C2" s="29" t="s">
        <v>1391</v>
      </c>
      <c r="D2" s="191" t="s">
        <v>7</v>
      </c>
      <c r="E2" s="187" t="s">
        <v>8</v>
      </c>
      <c r="F2" s="187" t="s">
        <v>1210</v>
      </c>
      <c r="G2" s="187" t="s">
        <v>1392</v>
      </c>
      <c r="H2" s="187" t="s">
        <v>1393</v>
      </c>
      <c r="I2" s="209" t="s">
        <v>1617</v>
      </c>
      <c r="J2" s="187" t="s">
        <v>1395</v>
      </c>
      <c r="K2" s="187" t="s">
        <v>1213</v>
      </c>
      <c r="L2" s="187" t="s">
        <v>1618</v>
      </c>
      <c r="M2" s="187" t="s">
        <v>11</v>
      </c>
      <c r="N2" s="187" t="s">
        <v>12</v>
      </c>
      <c r="O2" s="187" t="s">
        <v>13</v>
      </c>
      <c r="P2" s="187" t="s">
        <v>14</v>
      </c>
      <c r="Q2" s="187" t="s">
        <v>1619</v>
      </c>
      <c r="R2" s="187" t="s">
        <v>1398</v>
      </c>
      <c r="S2" s="187" t="s">
        <v>1399</v>
      </c>
      <c r="T2" s="187" t="s">
        <v>1401</v>
      </c>
      <c r="U2" s="187" t="s">
        <v>1620</v>
      </c>
      <c r="V2" s="187" t="s">
        <v>1424</v>
      </c>
      <c r="W2" s="187" t="s">
        <v>1621</v>
      </c>
      <c r="X2" s="187" t="s">
        <v>1622</v>
      </c>
      <c r="Y2" s="187" t="s">
        <v>1623</v>
      </c>
      <c r="Z2" s="187" t="s">
        <v>1624</v>
      </c>
      <c r="AA2" s="209" t="s">
        <v>1625</v>
      </c>
      <c r="AB2" s="187" t="s">
        <v>1626</v>
      </c>
      <c r="AC2" s="209" t="s">
        <v>1627</v>
      </c>
      <c r="AD2" s="187" t="s">
        <v>1433</v>
      </c>
      <c r="AE2" s="187" t="s">
        <v>1628</v>
      </c>
      <c r="AF2" s="187" t="s">
        <v>1434</v>
      </c>
      <c r="AG2" s="187" t="s">
        <v>1435</v>
      </c>
      <c r="AH2" s="187" t="s">
        <v>1629</v>
      </c>
      <c r="AI2" s="187" t="s">
        <v>1438</v>
      </c>
      <c r="AJ2" s="187" t="s">
        <v>1446</v>
      </c>
      <c r="AK2" s="187" t="s">
        <v>1447</v>
      </c>
      <c r="AL2" s="187" t="s">
        <v>1448</v>
      </c>
      <c r="AM2" s="187" t="s">
        <v>1449</v>
      </c>
      <c r="AN2" s="187" t="s">
        <v>1450</v>
      </c>
      <c r="AO2" s="187" t="s">
        <v>1686</v>
      </c>
      <c r="AP2" s="187" t="s">
        <v>1687</v>
      </c>
    </row>
    <row r="3" spans="1:45" ht="348" x14ac:dyDescent="0.35">
      <c r="A3" s="22">
        <v>11</v>
      </c>
      <c r="B3" s="22" t="s">
        <v>1451</v>
      </c>
      <c r="C3" s="22" t="s">
        <v>1452</v>
      </c>
      <c r="D3" s="192" t="s">
        <v>1224</v>
      </c>
      <c r="E3" s="210" t="s">
        <v>1453</v>
      </c>
      <c r="F3" s="210"/>
      <c r="G3" s="210" t="s">
        <v>1269</v>
      </c>
      <c r="H3" s="211" t="s">
        <v>1271</v>
      </c>
      <c r="I3" s="210">
        <v>0.25</v>
      </c>
      <c r="J3" s="211"/>
      <c r="K3" s="210"/>
      <c r="L3" s="210" t="s">
        <v>1661</v>
      </c>
      <c r="M3" s="193" t="str">
        <f>VLOOKUP(H3,'1_Value &amp; risk levers'!$H$9:$O$1048576,2,FALSE)</f>
        <v>&gt;75% spend is linked to regions witnessing price inflation due to cost driver inflation, tariffs, demand / supply imbalance etc.</v>
      </c>
      <c r="N3" s="193" t="str">
        <f>VLOOKUP(H3,'1_Value &amp; risk levers'!$H$9:$O$1048576,3,FALSE)</f>
        <v>50-75% spend is linked to regions witnessing price inflation due to cost driver inflation, tariffs, demand / supply imbalance etc.</v>
      </c>
      <c r="O3" s="193" t="str">
        <f>VLOOKUP(H3,'1_Value &amp; risk levers'!$H$9:$O$1048576,4,FALSE)</f>
        <v>30-50% spend is linked to regions witnessing price inflation due to cost driver inflation, tariffs, demand / supply imbalance etc.</v>
      </c>
      <c r="P3" s="193" t="str">
        <f>VLOOKUP(H3,'1_Value &amp; risk levers'!$H$9:$O$1048576,5,FALSE)</f>
        <v>&lt;30% spend is linked to regions witnessing price inflation due to cost driver inflation, tariffs, demand / supply imbalance etc.</v>
      </c>
      <c r="Q3" s="194">
        <f>IF(VLOOKUP(H3,'1_Value &amp; risk levers'!$H$9:$T$1048576,13,FALSE)=0,"",VLOOKUP(H3,'1_Value &amp; risk levers'!$H$9:$T$1048576,13,FALSE))</f>
        <v>2</v>
      </c>
      <c r="R3" s="195" t="e">
        <f t="shared" ref="R3:R14" si="0">AVERAGEIFS($Q$3:$Q$1048576,$G$3:$G$1048576,"Risk")</f>
        <v>#N/A</v>
      </c>
      <c r="S3" s="196" t="s">
        <v>1638</v>
      </c>
      <c r="T3" s="197">
        <f t="shared" ref="T3:T24" si="1">$U$3*$I$3+$U$5*$I$5+$U$6*$I$6+$U$11*$I$11</f>
        <v>6.75</v>
      </c>
      <c r="U3" s="197">
        <f>SUMPRODUCT(AA3:AA14,AC3:AC14)*10</f>
        <v>6.75</v>
      </c>
      <c r="V3" s="198" t="s">
        <v>1477</v>
      </c>
      <c r="W3" s="189" t="s">
        <v>1662</v>
      </c>
      <c r="X3" s="189"/>
      <c r="Y3" s="189" t="s">
        <v>1663</v>
      </c>
      <c r="Z3" s="189" t="s">
        <v>1456</v>
      </c>
      <c r="AA3" s="189">
        <v>0.15</v>
      </c>
      <c r="AB3" s="199" t="s">
        <v>1636</v>
      </c>
      <c r="AC3" s="199">
        <f t="shared" ref="AC3:AC24" si="2">IF(AB3="high",0.875,IF(AB3="medium",0.625,0.25))</f>
        <v>0.875</v>
      </c>
      <c r="AD3" s="200"/>
      <c r="AE3" s="200"/>
      <c r="AF3" s="201" t="str">
        <f>_xlfn.XLOOKUP(CONCATENATE(H3,"_",V3),'Test 2 - Proof points - GPT5'!$T:$T,'Test 2 - Proof points - GPT5'!$S:$S)</f>
        <v>Insights: RAW RICEBRAN OIL (suppliers: 37, plants: 1) — price/kg 0.98-1.45 (median 1.27; spread 37%). Potential value ≈ $4,918,366 by aligning 50% volume to P25–P10 pricing. | Refined RBO Hair oil (suppliers: 10, plants: 2) — price/kg 1.24-1.77 (median 1.51; spread 35%). Potential value ≈ $1,019,151 by aligning 50% volume to P25–P10 pricing. | REFINED SUNFLOWER OIL EDIBLE (suppliers: 13, plants: 2) — price/kg 1.65-2.09 (median 1.86; spread 24%). Potential value ≈ $1,565,056 by aligning 50% volume to P25–P10 pricing. Actions: Run competitive re-bids on the cited SKUs, standardize specs, and lock indexed contracts where volatility is high. Prioritize suppliers with proven capability across Malaysia/Australia plants to converge to best-in-class pricing.</v>
      </c>
      <c r="AG3" s="201" t="e">
        <f>_xlfn.XLOOKUP(CONCATENATE(H3,"_",V3),'Test 2 -Proof points - Sonnet'!$AB:$AB,'Test 2 -Proof points - Sonnet'!$AA:$AA)</f>
        <v>#N/A</v>
      </c>
      <c r="AH3" s="201"/>
      <c r="AI3" s="201"/>
      <c r="AJ3" s="189" t="s">
        <v>132</v>
      </c>
      <c r="AK3" s="189"/>
      <c r="AL3" s="189"/>
      <c r="AM3" s="189"/>
      <c r="AN3" s="189" t="s">
        <v>132</v>
      </c>
      <c r="AO3" s="188" t="s">
        <v>1688</v>
      </c>
      <c r="AP3" s="188" t="s">
        <v>1689</v>
      </c>
    </row>
    <row r="4" spans="1:45" ht="362.5" x14ac:dyDescent="0.35">
      <c r="A4" s="22">
        <v>11</v>
      </c>
      <c r="B4" s="22" t="s">
        <v>1451</v>
      </c>
      <c r="C4" s="22" t="s">
        <v>1452</v>
      </c>
      <c r="D4" s="192" t="s">
        <v>1224</v>
      </c>
      <c r="E4" s="210" t="s">
        <v>1453</v>
      </c>
      <c r="F4" s="210"/>
      <c r="G4" s="210" t="s">
        <v>1269</v>
      </c>
      <c r="H4" s="211" t="s">
        <v>1271</v>
      </c>
      <c r="I4" s="210">
        <v>0.25</v>
      </c>
      <c r="J4" s="211"/>
      <c r="K4" s="210"/>
      <c r="L4" s="210" t="s">
        <v>1661</v>
      </c>
      <c r="M4" s="193" t="str">
        <f>VLOOKUP(H4,'1_Value &amp; risk levers'!$H$9:$O$1048576,2,FALSE)</f>
        <v>&gt;75% spend is linked to regions witnessing price inflation due to cost driver inflation, tariffs, demand / supply imbalance etc.</v>
      </c>
      <c r="N4" s="193" t="str">
        <f>VLOOKUP(H4,'1_Value &amp; risk levers'!$H$9:$O$1048576,3,FALSE)</f>
        <v>50-75% spend is linked to regions witnessing price inflation due to cost driver inflation, tariffs, demand / supply imbalance etc.</v>
      </c>
      <c r="O4" s="193" t="str">
        <f>VLOOKUP(H4,'1_Value &amp; risk levers'!$H$9:$O$1048576,4,FALSE)</f>
        <v>30-50% spend is linked to regions witnessing price inflation due to cost driver inflation, tariffs, demand / supply imbalance etc.</v>
      </c>
      <c r="P4" s="193" t="str">
        <f>VLOOKUP(H4,'1_Value &amp; risk levers'!$H$9:$O$1048576,5,FALSE)</f>
        <v>&lt;30% spend is linked to regions witnessing price inflation due to cost driver inflation, tariffs, demand / supply imbalance etc.</v>
      </c>
      <c r="Q4" s="194">
        <f>IF(VLOOKUP(H4,'1_Value &amp; risk levers'!$H$9:$T$1048576,13,FALSE)=0,"",VLOOKUP(H4,'1_Value &amp; risk levers'!$H$9:$T$1048576,13,FALSE))</f>
        <v>2</v>
      </c>
      <c r="R4" s="195" t="e">
        <f t="shared" si="0"/>
        <v>#N/A</v>
      </c>
      <c r="S4" s="196" t="s">
        <v>1638</v>
      </c>
      <c r="T4" s="197">
        <f t="shared" si="1"/>
        <v>6.75</v>
      </c>
      <c r="U4" s="197">
        <f>SUMPRODUCT(AA3:AA14,AC3:AC14)*10</f>
        <v>6.75</v>
      </c>
      <c r="V4" s="202" t="s">
        <v>1501</v>
      </c>
      <c r="W4" s="189" t="s">
        <v>1664</v>
      </c>
      <c r="X4" s="189"/>
      <c r="Y4" s="189" t="s">
        <v>1635</v>
      </c>
      <c r="Z4" s="189" t="s">
        <v>1493</v>
      </c>
      <c r="AA4" s="189">
        <v>0.1</v>
      </c>
      <c r="AB4" s="199" t="s">
        <v>1636</v>
      </c>
      <c r="AC4" s="199">
        <f t="shared" si="2"/>
        <v>0.875</v>
      </c>
      <c r="AD4" s="200"/>
      <c r="AE4" s="200"/>
      <c r="AF4" s="201" t="str">
        <f>_xlfn.XLOOKUP(CONCATENATE(H4,"_",V4),'Test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4" s="201" t="e">
        <f>_xlfn.XLOOKUP(CONCATENATE(H4,"_",V4),'Test 2 -Proof points - Sonnet'!$AB:$AB,'Test 2 -Proof points - Sonnet'!$AA:$AA)</f>
        <v>#N/A</v>
      </c>
      <c r="AH4" s="201"/>
      <c r="AI4" s="201"/>
      <c r="AJ4" s="189" t="s">
        <v>132</v>
      </c>
      <c r="AK4" s="189"/>
      <c r="AL4" s="189"/>
      <c r="AM4" s="189"/>
      <c r="AN4" s="189" t="s">
        <v>132</v>
      </c>
      <c r="AO4" s="188" t="s">
        <v>1690</v>
      </c>
      <c r="AP4" s="188" t="s">
        <v>1691</v>
      </c>
    </row>
    <row r="5" spans="1:45" ht="362.5" x14ac:dyDescent="0.35">
      <c r="A5" s="22">
        <v>11</v>
      </c>
      <c r="B5" s="22" t="s">
        <v>1451</v>
      </c>
      <c r="C5" s="22" t="s">
        <v>1452</v>
      </c>
      <c r="D5" s="192" t="s">
        <v>1224</v>
      </c>
      <c r="E5" s="210" t="s">
        <v>1453</v>
      </c>
      <c r="F5" s="210"/>
      <c r="G5" s="210" t="s">
        <v>1269</v>
      </c>
      <c r="H5" s="211" t="s">
        <v>1271</v>
      </c>
      <c r="I5" s="210">
        <v>0.25</v>
      </c>
      <c r="J5" s="211"/>
      <c r="K5" s="210"/>
      <c r="L5" s="210" t="s">
        <v>1661</v>
      </c>
      <c r="M5" s="193" t="str">
        <f>VLOOKUP(H5,'1_Value &amp; risk levers'!$H$9:$O$1048576,2,FALSE)</f>
        <v>&gt;75% spend is linked to regions witnessing price inflation due to cost driver inflation, tariffs, demand / supply imbalance etc.</v>
      </c>
      <c r="N5" s="193" t="str">
        <f>VLOOKUP(H5,'1_Value &amp; risk levers'!$H$9:$O$1048576,3,FALSE)</f>
        <v>50-75% spend is linked to regions witnessing price inflation due to cost driver inflation, tariffs, demand / supply imbalance etc.</v>
      </c>
      <c r="O5" s="193" t="str">
        <f>VLOOKUP(H5,'1_Value &amp; risk levers'!$H$9:$O$1048576,4,FALSE)</f>
        <v>30-50% spend is linked to regions witnessing price inflation due to cost driver inflation, tariffs, demand / supply imbalance etc.</v>
      </c>
      <c r="P5" s="193" t="str">
        <f>VLOOKUP(H5,'1_Value &amp; risk levers'!$H$9:$O$1048576,5,FALSE)</f>
        <v>&lt;30% spend is linked to regions witnessing price inflation due to cost driver inflation, tariffs, demand / supply imbalance etc.</v>
      </c>
      <c r="Q5" s="194">
        <f>IF(VLOOKUP(H5,'1_Value &amp; risk levers'!$H$9:$T$1048576,13,FALSE)=0,"",VLOOKUP(H5,'1_Value &amp; risk levers'!$H$9:$T$1048576,13,FALSE))</f>
        <v>2</v>
      </c>
      <c r="R5" s="195" t="e">
        <f t="shared" si="0"/>
        <v>#N/A</v>
      </c>
      <c r="S5" s="196" t="s">
        <v>1638</v>
      </c>
      <c r="T5" s="197">
        <f t="shared" si="1"/>
        <v>6.75</v>
      </c>
      <c r="U5" s="197">
        <f>SUMPRODUCT(AA3:AA14,AC3:AC14)*10</f>
        <v>6.75</v>
      </c>
      <c r="V5" s="202" t="s">
        <v>1502</v>
      </c>
      <c r="W5" s="189" t="s">
        <v>1665</v>
      </c>
      <c r="X5" s="189"/>
      <c r="Y5" s="189" t="s">
        <v>1635</v>
      </c>
      <c r="Z5" s="189" t="s">
        <v>1493</v>
      </c>
      <c r="AA5" s="189">
        <v>0.1</v>
      </c>
      <c r="AB5" s="199" t="s">
        <v>1692</v>
      </c>
      <c r="AC5" s="199">
        <f t="shared" si="2"/>
        <v>0.625</v>
      </c>
      <c r="AD5" s="200"/>
      <c r="AE5" s="200"/>
      <c r="AF5" s="201" t="str">
        <f>_xlfn.XLOOKUP(CONCATENATE(H5,"_",V5),'Test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5" s="201" t="e">
        <f>_xlfn.XLOOKUP(CONCATENATE(H5,"_",V5),'Test 2 -Proof points - Sonnet'!$AB:$AB,'Test 2 -Proof points - Sonnet'!$AA:$AA)</f>
        <v>#N/A</v>
      </c>
      <c r="AH5" s="201"/>
      <c r="AI5" s="201"/>
      <c r="AJ5" s="189" t="s">
        <v>132</v>
      </c>
      <c r="AK5" s="189"/>
      <c r="AL5" s="189"/>
      <c r="AM5" s="189"/>
      <c r="AN5" s="189" t="s">
        <v>132</v>
      </c>
      <c r="AO5" s="190" t="s">
        <v>1693</v>
      </c>
      <c r="AP5" s="188" t="s">
        <v>1694</v>
      </c>
    </row>
    <row r="6" spans="1:45" ht="362.5" x14ac:dyDescent="0.35">
      <c r="A6" s="22">
        <v>11</v>
      </c>
      <c r="B6" s="22" t="s">
        <v>1451</v>
      </c>
      <c r="C6" s="22" t="s">
        <v>1452</v>
      </c>
      <c r="D6" s="192" t="s">
        <v>1224</v>
      </c>
      <c r="E6" s="210" t="s">
        <v>1453</v>
      </c>
      <c r="F6" s="210"/>
      <c r="G6" s="210" t="s">
        <v>1269</v>
      </c>
      <c r="H6" s="211" t="s">
        <v>1271</v>
      </c>
      <c r="I6" s="210">
        <v>0.25</v>
      </c>
      <c r="J6" s="211"/>
      <c r="K6" s="210"/>
      <c r="L6" s="210" t="s">
        <v>1661</v>
      </c>
      <c r="M6" s="193" t="str">
        <f>VLOOKUP(H6,'1_Value &amp; risk levers'!$H$9:$O$1048576,2,FALSE)</f>
        <v>&gt;75% spend is linked to regions witnessing price inflation due to cost driver inflation, tariffs, demand / supply imbalance etc.</v>
      </c>
      <c r="N6" s="193" t="str">
        <f>VLOOKUP(H6,'1_Value &amp; risk levers'!$H$9:$O$1048576,3,FALSE)</f>
        <v>50-75% spend is linked to regions witnessing price inflation due to cost driver inflation, tariffs, demand / supply imbalance etc.</v>
      </c>
      <c r="O6" s="193" t="str">
        <f>VLOOKUP(H6,'1_Value &amp; risk levers'!$H$9:$O$1048576,4,FALSE)</f>
        <v>30-50% spend is linked to regions witnessing price inflation due to cost driver inflation, tariffs, demand / supply imbalance etc.</v>
      </c>
      <c r="P6" s="193" t="str">
        <f>VLOOKUP(H6,'1_Value &amp; risk levers'!$H$9:$O$1048576,5,FALSE)</f>
        <v>&lt;30% spend is linked to regions witnessing price inflation due to cost driver inflation, tariffs, demand / supply imbalance etc.</v>
      </c>
      <c r="Q6" s="194">
        <f>IF(VLOOKUP(H6,'1_Value &amp; risk levers'!$H$9:$T$1048576,13,FALSE)=0,"",VLOOKUP(H6,'1_Value &amp; risk levers'!$H$9:$T$1048576,13,FALSE))</f>
        <v>2</v>
      </c>
      <c r="R6" s="195" t="e">
        <f t="shared" si="0"/>
        <v>#N/A</v>
      </c>
      <c r="S6" s="196" t="s">
        <v>1638</v>
      </c>
      <c r="T6" s="197">
        <f t="shared" si="1"/>
        <v>6.75</v>
      </c>
      <c r="U6" s="197">
        <f>SUMPRODUCT(AA3:AA14,AC3:AC14)*10</f>
        <v>6.75</v>
      </c>
      <c r="V6" s="202" t="s">
        <v>1503</v>
      </c>
      <c r="W6" s="189" t="s">
        <v>1666</v>
      </c>
      <c r="X6" s="189"/>
      <c r="Y6" s="189" t="s">
        <v>1663</v>
      </c>
      <c r="Z6" s="189" t="s">
        <v>1493</v>
      </c>
      <c r="AA6" s="189">
        <v>0.1</v>
      </c>
      <c r="AB6" s="199" t="s">
        <v>1521</v>
      </c>
      <c r="AC6" s="199">
        <f t="shared" si="2"/>
        <v>0.875</v>
      </c>
      <c r="AD6" s="200"/>
      <c r="AE6" s="200"/>
      <c r="AF6" s="201" t="str">
        <f>_xlfn.XLOOKUP(CONCATENATE(H6,"_",V6),'Test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6" s="201" t="e">
        <f>_xlfn.XLOOKUP(CONCATENATE(H6,"_",V6),'Test 2 -Proof points - Sonnet'!$AB:$AB,'Test 2 -Proof points - Sonnet'!$AA:$AA)</f>
        <v>#N/A</v>
      </c>
      <c r="AH6" s="201"/>
      <c r="AI6" s="201"/>
      <c r="AJ6" s="189" t="s">
        <v>132</v>
      </c>
      <c r="AK6" s="189"/>
      <c r="AL6" s="189"/>
      <c r="AM6" s="189"/>
      <c r="AN6" s="189" t="s">
        <v>132</v>
      </c>
      <c r="AO6" s="188" t="s">
        <v>1695</v>
      </c>
      <c r="AP6" s="188" t="s">
        <v>1696</v>
      </c>
    </row>
    <row r="7" spans="1:45" ht="362.5" x14ac:dyDescent="0.35">
      <c r="A7" s="22">
        <v>11</v>
      </c>
      <c r="B7" s="22" t="s">
        <v>1451</v>
      </c>
      <c r="C7" s="22" t="s">
        <v>1452</v>
      </c>
      <c r="D7" s="192" t="s">
        <v>1224</v>
      </c>
      <c r="E7" s="210" t="s">
        <v>1453</v>
      </c>
      <c r="F7" s="210"/>
      <c r="G7" s="210" t="s">
        <v>1269</v>
      </c>
      <c r="H7" s="211" t="s">
        <v>1271</v>
      </c>
      <c r="I7" s="210">
        <v>0.25</v>
      </c>
      <c r="J7" s="211"/>
      <c r="K7" s="210"/>
      <c r="L7" s="210" t="s">
        <v>1661</v>
      </c>
      <c r="M7" s="193" t="str">
        <f>VLOOKUP(H7,'1_Value &amp; risk levers'!$H$9:$O$1048576,2,FALSE)</f>
        <v>&gt;75% spend is linked to regions witnessing price inflation due to cost driver inflation, tariffs, demand / supply imbalance etc.</v>
      </c>
      <c r="N7" s="193" t="str">
        <f>VLOOKUP(H7,'1_Value &amp; risk levers'!$H$9:$O$1048576,3,FALSE)</f>
        <v>50-75% spend is linked to regions witnessing price inflation due to cost driver inflation, tariffs, demand / supply imbalance etc.</v>
      </c>
      <c r="O7" s="193" t="str">
        <f>VLOOKUP(H7,'1_Value &amp; risk levers'!$H$9:$O$1048576,4,FALSE)</f>
        <v>30-50% spend is linked to regions witnessing price inflation due to cost driver inflation, tariffs, demand / supply imbalance etc.</v>
      </c>
      <c r="P7" s="193" t="str">
        <f>VLOOKUP(H7,'1_Value &amp; risk levers'!$H$9:$O$1048576,5,FALSE)</f>
        <v>&lt;30% spend is linked to regions witnessing price inflation due to cost driver inflation, tariffs, demand / supply imbalance etc.</v>
      </c>
      <c r="Q7" s="194">
        <f>IF(VLOOKUP(H7,'1_Value &amp; risk levers'!$H$9:$T$1048576,13,FALSE)=0,"",VLOOKUP(H7,'1_Value &amp; risk levers'!$H$9:$T$1048576,13,FALSE))</f>
        <v>2</v>
      </c>
      <c r="R7" s="195" t="e">
        <f t="shared" si="0"/>
        <v>#N/A</v>
      </c>
      <c r="S7" s="196" t="s">
        <v>1638</v>
      </c>
      <c r="T7" s="197">
        <f t="shared" si="1"/>
        <v>6.75</v>
      </c>
      <c r="U7" s="197">
        <f>SUMPRODUCT(AA3:AA14,AC3:AC14)*10</f>
        <v>6.75</v>
      </c>
      <c r="V7" s="202" t="s">
        <v>1506</v>
      </c>
      <c r="W7" s="189" t="s">
        <v>1667</v>
      </c>
      <c r="X7" s="189"/>
      <c r="Y7" s="189" t="s">
        <v>1663</v>
      </c>
      <c r="Z7" s="189" t="s">
        <v>1493</v>
      </c>
      <c r="AA7" s="189">
        <v>0.15</v>
      </c>
      <c r="AB7" s="199" t="s">
        <v>1584</v>
      </c>
      <c r="AC7" s="199">
        <f t="shared" si="2"/>
        <v>0.625</v>
      </c>
      <c r="AD7" s="200"/>
      <c r="AE7" s="200"/>
      <c r="AF7" s="201" t="str">
        <f>_xlfn.XLOOKUP(CONCATENATE(H7,"_",V7),'Test 2 - Proof points - GPT5'!$T:$T,'Test 2 - Proof points - GPT5'!$S:$S)</f>
        <v>Tariff sensitivity: Landed cost for imported veg oils can swing materially with duty/cess changes. Actions: monitor HS 1512/1515 lines for target lanes (Malaysia/India); design pass-through clauses and buffer stock. Where duty arbitrage exists, explore tolling or third-country transshipment in compliance with rules of origin.</v>
      </c>
      <c r="AG7" s="201" t="e">
        <f>_xlfn.XLOOKUP(CONCATENATE(H7,"_",V7),'Test 2 -Proof points - Sonnet'!$AB:$AB,'Test 2 -Proof points - Sonnet'!$AA:$AA)</f>
        <v>#N/A</v>
      </c>
      <c r="AH7" s="201"/>
      <c r="AI7" s="201"/>
      <c r="AJ7" s="189" t="s">
        <v>132</v>
      </c>
      <c r="AK7" s="189"/>
      <c r="AL7" s="189"/>
      <c r="AM7" s="189"/>
      <c r="AN7" s="189" t="s">
        <v>132</v>
      </c>
      <c r="AO7" s="188" t="s">
        <v>1697</v>
      </c>
      <c r="AP7" s="188" t="s">
        <v>1698</v>
      </c>
    </row>
    <row r="8" spans="1:45" ht="362.5" x14ac:dyDescent="0.35">
      <c r="A8" s="22">
        <v>11</v>
      </c>
      <c r="B8" s="22" t="s">
        <v>1451</v>
      </c>
      <c r="C8" s="22" t="s">
        <v>1452</v>
      </c>
      <c r="D8" s="192" t="s">
        <v>1224</v>
      </c>
      <c r="E8" s="210" t="s">
        <v>1453</v>
      </c>
      <c r="F8" s="210"/>
      <c r="G8" s="210" t="s">
        <v>1269</v>
      </c>
      <c r="H8" s="211" t="s">
        <v>1271</v>
      </c>
      <c r="I8" s="210">
        <v>0.25</v>
      </c>
      <c r="J8" s="211"/>
      <c r="K8" s="210"/>
      <c r="L8" s="210" t="s">
        <v>1661</v>
      </c>
      <c r="M8" s="193" t="str">
        <f>VLOOKUP(H8,'1_Value &amp; risk levers'!$H$9:$O$1048576,2,FALSE)</f>
        <v>&gt;75% spend is linked to regions witnessing price inflation due to cost driver inflation, tariffs, demand / supply imbalance etc.</v>
      </c>
      <c r="N8" s="193" t="str">
        <f>VLOOKUP(H8,'1_Value &amp; risk levers'!$H$9:$O$1048576,3,FALSE)</f>
        <v>50-75% spend is linked to regions witnessing price inflation due to cost driver inflation, tariffs, demand / supply imbalance etc.</v>
      </c>
      <c r="O8" s="193" t="str">
        <f>VLOOKUP(H8,'1_Value &amp; risk levers'!$H$9:$O$1048576,4,FALSE)</f>
        <v>30-50% spend is linked to regions witnessing price inflation due to cost driver inflation, tariffs, demand / supply imbalance etc.</v>
      </c>
      <c r="P8" s="193" t="str">
        <f>VLOOKUP(H8,'1_Value &amp; risk levers'!$H$9:$O$1048576,5,FALSE)</f>
        <v>&lt;30% spend is linked to regions witnessing price inflation due to cost driver inflation, tariffs, demand / supply imbalance etc.</v>
      </c>
      <c r="Q8" s="194">
        <f>IF(VLOOKUP(H8,'1_Value &amp; risk levers'!$H$9:$T$1048576,13,FALSE)=0,"",VLOOKUP(H8,'1_Value &amp; risk levers'!$H$9:$T$1048576,13,FALSE))</f>
        <v>2</v>
      </c>
      <c r="R8" s="195" t="e">
        <f t="shared" si="0"/>
        <v>#N/A</v>
      </c>
      <c r="S8" s="196" t="s">
        <v>1638</v>
      </c>
      <c r="T8" s="197">
        <f t="shared" si="1"/>
        <v>6.75</v>
      </c>
      <c r="U8" s="197">
        <f>SUMPRODUCT(AA3:AA14,AC3:AC14)*10</f>
        <v>6.75</v>
      </c>
      <c r="V8" s="202" t="s">
        <v>1507</v>
      </c>
      <c r="W8" s="189" t="s">
        <v>1668</v>
      </c>
      <c r="X8" s="189"/>
      <c r="Y8" s="189" t="s">
        <v>1663</v>
      </c>
      <c r="Z8" s="189" t="s">
        <v>1493</v>
      </c>
      <c r="AA8" s="189">
        <v>0.05</v>
      </c>
      <c r="AB8" s="199" t="s">
        <v>1584</v>
      </c>
      <c r="AC8" s="199">
        <f t="shared" si="2"/>
        <v>0.625</v>
      </c>
      <c r="AD8" s="200"/>
      <c r="AE8" s="200"/>
      <c r="AF8" s="201" t="str">
        <f>_xlfn.XLOOKUP(CONCATENATE(H8,"_",V8),'Test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8" s="201" t="e">
        <f>_xlfn.XLOOKUP(CONCATENATE(H8,"_",V8),'Test 2 -Proof points - Sonnet'!$AB:$AB,'Test 2 -Proof points - Sonnet'!$AA:$AA)</f>
        <v>#N/A</v>
      </c>
      <c r="AH8" s="201"/>
      <c r="AI8" s="201"/>
      <c r="AJ8" s="189" t="s">
        <v>132</v>
      </c>
      <c r="AK8" s="189"/>
      <c r="AL8" s="189"/>
      <c r="AM8" s="189"/>
      <c r="AN8" s="189" t="s">
        <v>132</v>
      </c>
      <c r="AO8" s="188" t="s">
        <v>1699</v>
      </c>
      <c r="AP8" s="188" t="s">
        <v>1700</v>
      </c>
    </row>
    <row r="9" spans="1:45" ht="362.5" x14ac:dyDescent="0.35">
      <c r="A9" s="22">
        <v>11</v>
      </c>
      <c r="B9" s="22" t="s">
        <v>1451</v>
      </c>
      <c r="C9" s="22" t="s">
        <v>1452</v>
      </c>
      <c r="D9" s="192" t="s">
        <v>1224</v>
      </c>
      <c r="E9" s="210" t="s">
        <v>1453</v>
      </c>
      <c r="F9" s="210"/>
      <c r="G9" s="210" t="s">
        <v>1269</v>
      </c>
      <c r="H9" s="211" t="s">
        <v>1271</v>
      </c>
      <c r="I9" s="210">
        <v>0.25</v>
      </c>
      <c r="J9" s="211"/>
      <c r="K9" s="210"/>
      <c r="L9" s="210" t="s">
        <v>1661</v>
      </c>
      <c r="M9" s="193" t="str">
        <f>VLOOKUP(H9,'1_Value &amp; risk levers'!$H$9:$O$1048576,2,FALSE)</f>
        <v>&gt;75% spend is linked to regions witnessing price inflation due to cost driver inflation, tariffs, demand / supply imbalance etc.</v>
      </c>
      <c r="N9" s="193" t="str">
        <f>VLOOKUP(H9,'1_Value &amp; risk levers'!$H$9:$O$1048576,3,FALSE)</f>
        <v>50-75% spend is linked to regions witnessing price inflation due to cost driver inflation, tariffs, demand / supply imbalance etc.</v>
      </c>
      <c r="O9" s="193" t="str">
        <f>VLOOKUP(H9,'1_Value &amp; risk levers'!$H$9:$O$1048576,4,FALSE)</f>
        <v>30-50% spend is linked to regions witnessing price inflation due to cost driver inflation, tariffs, demand / supply imbalance etc.</v>
      </c>
      <c r="P9" s="193" t="str">
        <f>VLOOKUP(H9,'1_Value &amp; risk levers'!$H$9:$O$1048576,5,FALSE)</f>
        <v>&lt;30% spend is linked to regions witnessing price inflation due to cost driver inflation, tariffs, demand / supply imbalance etc.</v>
      </c>
      <c r="Q9" s="194">
        <f>IF(VLOOKUP(H9,'1_Value &amp; risk levers'!$H$9:$T$1048576,13,FALSE)=0,"",VLOOKUP(H9,'1_Value &amp; risk levers'!$H$9:$T$1048576,13,FALSE))</f>
        <v>2</v>
      </c>
      <c r="R9" s="195" t="e">
        <f t="shared" si="0"/>
        <v>#N/A</v>
      </c>
      <c r="S9" s="196" t="s">
        <v>1638</v>
      </c>
      <c r="T9" s="197">
        <f t="shared" si="1"/>
        <v>6.75</v>
      </c>
      <c r="U9" s="197">
        <f>SUMPRODUCT(AA3:AA14,AC3:AC14)*10</f>
        <v>6.75</v>
      </c>
      <c r="V9" s="202" t="s">
        <v>1508</v>
      </c>
      <c r="W9" s="189" t="s">
        <v>1669</v>
      </c>
      <c r="X9" s="189"/>
      <c r="Y9" s="189" t="s">
        <v>1663</v>
      </c>
      <c r="Z9" s="189" t="s">
        <v>1493</v>
      </c>
      <c r="AA9" s="189">
        <v>0.1</v>
      </c>
      <c r="AB9" s="199" t="s">
        <v>1636</v>
      </c>
      <c r="AC9" s="199">
        <f t="shared" si="2"/>
        <v>0.875</v>
      </c>
      <c r="AD9" s="200"/>
      <c r="AE9" s="200"/>
      <c r="AF9" s="201" t="str">
        <f>_xlfn.XLOOKUP(CONCATENATE(H9,"_",V9),'Test 2 - Proof points - GPT5'!$T:$T,'Test 2 - Proof points - GPT5'!$S:$S)</f>
        <v>Indicative cost stack (veg oils proxy): Direct Materials or Services: 55%; Net Margin: 10%; Energy &amp; Utilities: 3%; Depreciation: 3%; Labor: 3%. Actions: Tie price formula to feedstock index + FX; negotiate energy/freight passthrough floors/ceilings to avoid overpayment when input costs soften.</v>
      </c>
      <c r="AG9" s="201" t="e">
        <f>_xlfn.XLOOKUP(CONCATENATE(H9,"_",V9),'Test 2 -Proof points - Sonnet'!$AB:$AB,'Test 2 -Proof points - Sonnet'!$AA:$AA)</f>
        <v>#N/A</v>
      </c>
      <c r="AH9" s="201"/>
      <c r="AI9" s="201"/>
      <c r="AJ9" s="189" t="s">
        <v>132</v>
      </c>
      <c r="AK9" s="189"/>
      <c r="AL9" s="189"/>
      <c r="AM9" s="189"/>
      <c r="AN9" s="189" t="s">
        <v>132</v>
      </c>
      <c r="AO9" s="188" t="s">
        <v>1701</v>
      </c>
      <c r="AP9" s="188" t="s">
        <v>1702</v>
      </c>
    </row>
    <row r="10" spans="1:45" ht="362.5" x14ac:dyDescent="0.35">
      <c r="A10" s="22">
        <v>11</v>
      </c>
      <c r="B10" s="22" t="s">
        <v>1451</v>
      </c>
      <c r="C10" s="22" t="s">
        <v>1452</v>
      </c>
      <c r="D10" s="192" t="s">
        <v>1224</v>
      </c>
      <c r="E10" s="210" t="s">
        <v>1453</v>
      </c>
      <c r="F10" s="210"/>
      <c r="G10" s="210" t="s">
        <v>1269</v>
      </c>
      <c r="H10" s="211" t="s">
        <v>1271</v>
      </c>
      <c r="I10" s="210">
        <v>0.25</v>
      </c>
      <c r="J10" s="211"/>
      <c r="K10" s="210"/>
      <c r="L10" s="210" t="s">
        <v>1661</v>
      </c>
      <c r="M10" s="193" t="str">
        <f>VLOOKUP(H10,'1_Value &amp; risk levers'!$H$9:$O$1048576,2,FALSE)</f>
        <v>&gt;75% spend is linked to regions witnessing price inflation due to cost driver inflation, tariffs, demand / supply imbalance etc.</v>
      </c>
      <c r="N10" s="193" t="str">
        <f>VLOOKUP(H10,'1_Value &amp; risk levers'!$H$9:$O$1048576,3,FALSE)</f>
        <v>50-75% spend is linked to regions witnessing price inflation due to cost driver inflation, tariffs, demand / supply imbalance etc.</v>
      </c>
      <c r="O10" s="193" t="str">
        <f>VLOOKUP(H10,'1_Value &amp; risk levers'!$H$9:$O$1048576,4,FALSE)</f>
        <v>30-50% spend is linked to regions witnessing price inflation due to cost driver inflation, tariffs, demand / supply imbalance etc.</v>
      </c>
      <c r="P10" s="193" t="str">
        <f>VLOOKUP(H10,'1_Value &amp; risk levers'!$H$9:$O$1048576,5,FALSE)</f>
        <v>&lt;30% spend is linked to regions witnessing price inflation due to cost driver inflation, tariffs, demand / supply imbalance etc.</v>
      </c>
      <c r="Q10" s="194">
        <f>IF(VLOOKUP(H10,'1_Value &amp; risk levers'!$H$9:$T$1048576,13,FALSE)=0,"",VLOOKUP(H10,'1_Value &amp; risk levers'!$H$9:$T$1048576,13,FALSE))</f>
        <v>2</v>
      </c>
      <c r="R10" s="195" t="e">
        <f t="shared" si="0"/>
        <v>#N/A</v>
      </c>
      <c r="S10" s="196" t="s">
        <v>1638</v>
      </c>
      <c r="T10" s="197">
        <f t="shared" si="1"/>
        <v>6.75</v>
      </c>
      <c r="U10" s="197">
        <f>SUMPRODUCT(AA3:AA14,AC3:AC14)*10</f>
        <v>6.75</v>
      </c>
      <c r="V10" s="202" t="s">
        <v>1510</v>
      </c>
      <c r="W10" s="189" t="s">
        <v>1670</v>
      </c>
      <c r="X10" s="189"/>
      <c r="Y10" s="189" t="s">
        <v>1663</v>
      </c>
      <c r="Z10" s="189" t="s">
        <v>1493</v>
      </c>
      <c r="AA10" s="189">
        <v>0.1</v>
      </c>
      <c r="AB10" s="199" t="s">
        <v>1692</v>
      </c>
      <c r="AC10" s="199">
        <f t="shared" si="2"/>
        <v>0.625</v>
      </c>
      <c r="AD10" s="200"/>
      <c r="AE10" s="200"/>
      <c r="AF10" s="201" t="str">
        <f>_xlfn.XLOOKUP(CONCATENATE(H10,"_",V10),'Test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10" s="201" t="e">
        <f>_xlfn.XLOOKUP(CONCATENATE(H10,"_",V10),'Test 2 -Proof points - Sonnet'!$AB:$AB,'Test 2 -Proof points - Sonnet'!$AA:$AA)</f>
        <v>#N/A</v>
      </c>
      <c r="AH10" s="201"/>
      <c r="AI10" s="201"/>
      <c r="AJ10" s="189" t="s">
        <v>132</v>
      </c>
      <c r="AK10" s="189"/>
      <c r="AL10" s="189"/>
      <c r="AM10" s="189"/>
      <c r="AN10" s="189" t="s">
        <v>132</v>
      </c>
      <c r="AO10" s="188" t="s">
        <v>1703</v>
      </c>
      <c r="AP10" s="188" t="s">
        <v>1704</v>
      </c>
    </row>
    <row r="11" spans="1:45" ht="101.5" x14ac:dyDescent="0.35">
      <c r="A11" s="22">
        <v>11</v>
      </c>
      <c r="B11" s="22" t="s">
        <v>1451</v>
      </c>
      <c r="C11" s="22" t="s">
        <v>1452</v>
      </c>
      <c r="D11" s="192" t="s">
        <v>1224</v>
      </c>
      <c r="E11" s="210" t="s">
        <v>1453</v>
      </c>
      <c r="F11" s="210"/>
      <c r="G11" s="210" t="s">
        <v>1269</v>
      </c>
      <c r="H11" s="211" t="s">
        <v>1271</v>
      </c>
      <c r="I11" s="210">
        <v>0.25</v>
      </c>
      <c r="J11" s="211"/>
      <c r="K11" s="210"/>
      <c r="L11" s="210" t="s">
        <v>1661</v>
      </c>
      <c r="M11" s="193" t="str">
        <f>VLOOKUP(H11,'1_Value &amp; risk levers'!$H$9:$O$1048576,2,FALSE)</f>
        <v>&gt;75% spend is linked to regions witnessing price inflation due to cost driver inflation, tariffs, demand / supply imbalance etc.</v>
      </c>
      <c r="N11" s="193" t="str">
        <f>VLOOKUP(H11,'1_Value &amp; risk levers'!$H$9:$O$1048576,3,FALSE)</f>
        <v>50-75% spend is linked to regions witnessing price inflation due to cost driver inflation, tariffs, demand / supply imbalance etc.</v>
      </c>
      <c r="O11" s="193" t="str">
        <f>VLOOKUP(H11,'1_Value &amp; risk levers'!$H$9:$O$1048576,4,FALSE)</f>
        <v>30-50% spend is linked to regions witnessing price inflation due to cost driver inflation, tariffs, demand / supply imbalance etc.</v>
      </c>
      <c r="P11" s="193" t="str">
        <f>VLOOKUP(H11,'1_Value &amp; risk levers'!$H$9:$O$1048576,5,FALSE)</f>
        <v>&lt;30% spend is linked to regions witnessing price inflation due to cost driver inflation, tariffs, demand / supply imbalance etc.</v>
      </c>
      <c r="Q11" s="194">
        <f>IF(VLOOKUP(H11,'1_Value &amp; risk levers'!$H$9:$T$1048576,13,FALSE)=0,"",VLOOKUP(H11,'1_Value &amp; risk levers'!$H$9:$T$1048576,13,FALSE))</f>
        <v>2</v>
      </c>
      <c r="R11" s="195" t="e">
        <f t="shared" si="0"/>
        <v>#N/A</v>
      </c>
      <c r="S11" s="196" t="s">
        <v>1638</v>
      </c>
      <c r="T11" s="197">
        <f t="shared" si="1"/>
        <v>6.75</v>
      </c>
      <c r="U11" s="197">
        <f>SUMPRODUCT(AA3:AA14,AC3:AC14)*10</f>
        <v>6.75</v>
      </c>
      <c r="V11" s="202" t="s">
        <v>1671</v>
      </c>
      <c r="W11" s="189" t="s">
        <v>1672</v>
      </c>
      <c r="X11" s="189"/>
      <c r="Y11" s="189" t="s">
        <v>1663</v>
      </c>
      <c r="Z11" s="189" t="s">
        <v>1493</v>
      </c>
      <c r="AA11" s="189">
        <v>0</v>
      </c>
      <c r="AB11" s="199" t="s">
        <v>1521</v>
      </c>
      <c r="AC11" s="199">
        <f t="shared" si="2"/>
        <v>0.875</v>
      </c>
      <c r="AD11" s="200"/>
      <c r="AE11" s="200"/>
      <c r="AF11" s="201" t="str">
        <f>_xlfn.XLOOKUP(CONCATENATE(H11,"_",V11),'Test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11" s="201" t="e">
        <f>_xlfn.XLOOKUP(CONCATENATE(H11,"_",V11),'Test 2 -Proof points - Sonnet'!$AB:$AB,'Test 2 -Proof points - Sonnet'!$AA:$AA)</f>
        <v>#N/A</v>
      </c>
      <c r="AH11" s="201"/>
      <c r="AI11" s="201"/>
      <c r="AJ11" s="189" t="s">
        <v>132</v>
      </c>
      <c r="AK11" s="189"/>
      <c r="AL11" s="189"/>
      <c r="AM11" s="189"/>
      <c r="AN11" s="189" t="s">
        <v>132</v>
      </c>
      <c r="AO11" s="188" t="s">
        <v>1705</v>
      </c>
      <c r="AP11" s="188" t="s">
        <v>1706</v>
      </c>
    </row>
    <row r="12" spans="1:45" ht="72.5" x14ac:dyDescent="0.35">
      <c r="A12" s="22">
        <v>11</v>
      </c>
      <c r="B12" s="22" t="s">
        <v>1451</v>
      </c>
      <c r="C12" s="22" t="s">
        <v>1452</v>
      </c>
      <c r="D12" s="192" t="s">
        <v>1224</v>
      </c>
      <c r="E12" s="210" t="s">
        <v>1453</v>
      </c>
      <c r="F12" s="210"/>
      <c r="G12" s="210" t="s">
        <v>1269</v>
      </c>
      <c r="H12" s="211" t="s">
        <v>1271</v>
      </c>
      <c r="I12" s="210">
        <v>0.25</v>
      </c>
      <c r="J12" s="211"/>
      <c r="K12" s="210"/>
      <c r="L12" s="210" t="s">
        <v>1661</v>
      </c>
      <c r="M12" s="193" t="s">
        <v>1349</v>
      </c>
      <c r="N12" s="193" t="s">
        <v>1350</v>
      </c>
      <c r="O12" s="193" t="s">
        <v>1351</v>
      </c>
      <c r="P12" s="193" t="s">
        <v>1352</v>
      </c>
      <c r="Q12" s="203">
        <f>IF(VLOOKUP(H12,'1_Value &amp; risk levers'!$H$9:$T$1048576,13,FALSE)=0,"",VLOOKUP(H12,'1_Value &amp; risk levers'!$H$9:$T$1048576,13,FALSE))</f>
        <v>2</v>
      </c>
      <c r="R12" s="204" t="e">
        <f t="shared" si="0"/>
        <v>#N/A</v>
      </c>
      <c r="S12" s="196" t="s">
        <v>1638</v>
      </c>
      <c r="T12" s="197">
        <f t="shared" si="1"/>
        <v>6.75</v>
      </c>
      <c r="U12" s="197">
        <f>SUMPRODUCT(AA3:AA14,AC3:AC14)*10</f>
        <v>6.75</v>
      </c>
      <c r="V12" s="202" t="s">
        <v>1509</v>
      </c>
      <c r="W12" s="189" t="s">
        <v>1673</v>
      </c>
      <c r="X12" s="189"/>
      <c r="Y12" s="189" t="s">
        <v>1663</v>
      </c>
      <c r="Z12" s="189" t="s">
        <v>1493</v>
      </c>
      <c r="AA12" s="189">
        <v>0</v>
      </c>
      <c r="AB12" s="199" t="s">
        <v>1584</v>
      </c>
      <c r="AC12" s="199">
        <f t="shared" si="2"/>
        <v>0.625</v>
      </c>
      <c r="AD12" s="200"/>
      <c r="AE12" s="200"/>
      <c r="AF12" s="200"/>
      <c r="AG12" s="200"/>
      <c r="AH12" s="201"/>
      <c r="AI12" s="201"/>
      <c r="AJ12" s="189" t="s">
        <v>132</v>
      </c>
      <c r="AK12" s="189"/>
      <c r="AL12" s="189"/>
      <c r="AM12" s="189"/>
      <c r="AN12" s="189"/>
      <c r="AO12" s="188" t="s">
        <v>1705</v>
      </c>
      <c r="AP12" s="188" t="s">
        <v>1706</v>
      </c>
    </row>
    <row r="13" spans="1:45" ht="72.5" x14ac:dyDescent="0.35">
      <c r="A13" s="22">
        <v>11</v>
      </c>
      <c r="B13" s="22" t="s">
        <v>1451</v>
      </c>
      <c r="C13" s="22" t="s">
        <v>1452</v>
      </c>
      <c r="D13" s="192" t="s">
        <v>1224</v>
      </c>
      <c r="E13" s="210" t="s">
        <v>1453</v>
      </c>
      <c r="F13" s="210"/>
      <c r="G13" s="210" t="s">
        <v>1269</v>
      </c>
      <c r="H13" s="211" t="s">
        <v>1271</v>
      </c>
      <c r="I13" s="210">
        <v>0.25</v>
      </c>
      <c r="J13" s="211"/>
      <c r="K13" s="210"/>
      <c r="L13" s="210" t="s">
        <v>1661</v>
      </c>
      <c r="M13" s="193" t="s">
        <v>1349</v>
      </c>
      <c r="N13" s="193" t="s">
        <v>1350</v>
      </c>
      <c r="O13" s="193" t="s">
        <v>1351</v>
      </c>
      <c r="P13" s="193" t="s">
        <v>1352</v>
      </c>
      <c r="Q13" s="203">
        <f>IF(VLOOKUP(H13,'1_Value &amp; risk levers'!$H$9:$T$1048576,13,FALSE)=0,"",VLOOKUP(H13,'1_Value &amp; risk levers'!$H$9:$T$1048576,13,FALSE))</f>
        <v>2</v>
      </c>
      <c r="R13" s="204" t="e">
        <f t="shared" si="0"/>
        <v>#N/A</v>
      </c>
      <c r="S13" s="196" t="s">
        <v>1638</v>
      </c>
      <c r="T13" s="197">
        <f t="shared" si="1"/>
        <v>6.75</v>
      </c>
      <c r="U13" s="197">
        <f>SUMPRODUCT(AA3:AA14,AC3:AC14)*10</f>
        <v>6.75</v>
      </c>
      <c r="V13" s="202" t="s">
        <v>1494</v>
      </c>
      <c r="W13" s="189" t="s">
        <v>1674</v>
      </c>
      <c r="X13" s="189"/>
      <c r="Y13" s="189" t="s">
        <v>1663</v>
      </c>
      <c r="Z13" s="189" t="s">
        <v>1493</v>
      </c>
      <c r="AA13" s="189">
        <v>0</v>
      </c>
      <c r="AB13" s="199" t="s">
        <v>1584</v>
      </c>
      <c r="AC13" s="199">
        <f t="shared" si="2"/>
        <v>0.625</v>
      </c>
      <c r="AD13" s="200"/>
      <c r="AE13" s="200"/>
      <c r="AF13" s="200"/>
      <c r="AG13" s="200"/>
      <c r="AH13" s="201"/>
      <c r="AI13" s="201"/>
      <c r="AJ13" s="189" t="s">
        <v>132</v>
      </c>
      <c r="AK13" s="189"/>
      <c r="AL13" s="189"/>
      <c r="AM13" s="189"/>
      <c r="AN13" s="189"/>
      <c r="AO13" s="188" t="s">
        <v>1705</v>
      </c>
      <c r="AP13" s="188" t="s">
        <v>1706</v>
      </c>
    </row>
    <row r="14" spans="1:45" ht="362.5" x14ac:dyDescent="0.35">
      <c r="A14" s="22">
        <v>11</v>
      </c>
      <c r="B14" s="22" t="s">
        <v>1451</v>
      </c>
      <c r="C14" s="22" t="s">
        <v>1452</v>
      </c>
      <c r="D14" s="192" t="s">
        <v>1224</v>
      </c>
      <c r="E14" s="210" t="s">
        <v>1453</v>
      </c>
      <c r="F14" s="210"/>
      <c r="G14" s="210" t="s">
        <v>1269</v>
      </c>
      <c r="H14" s="211" t="s">
        <v>1271</v>
      </c>
      <c r="I14" s="210">
        <v>0.25</v>
      </c>
      <c r="J14" s="211"/>
      <c r="K14" s="210"/>
      <c r="L14" s="210" t="s">
        <v>1661</v>
      </c>
      <c r="M14" s="193" t="s">
        <v>1349</v>
      </c>
      <c r="N14" s="193" t="s">
        <v>1350</v>
      </c>
      <c r="O14" s="193" t="s">
        <v>1351</v>
      </c>
      <c r="P14" s="193" t="s">
        <v>1352</v>
      </c>
      <c r="Q14" s="203">
        <f>IF(VLOOKUP(H14,'1_Value &amp; risk levers'!$H$9:$T$1048576,13,FALSE)=0,"",VLOOKUP(H14,'1_Value &amp; risk levers'!$H$9:$T$1048576,13,FALSE))</f>
        <v>2</v>
      </c>
      <c r="R14" s="204" t="e">
        <f t="shared" si="0"/>
        <v>#N/A</v>
      </c>
      <c r="S14" s="196" t="s">
        <v>1638</v>
      </c>
      <c r="T14" s="197">
        <f t="shared" si="1"/>
        <v>6.75</v>
      </c>
      <c r="U14" s="197">
        <f>SUMPRODUCT(AA3:AA15,AC3:AC15)*10</f>
        <v>7.6250000000000009</v>
      </c>
      <c r="V14" s="202" t="s">
        <v>1511</v>
      </c>
      <c r="W14" s="189" t="s">
        <v>1675</v>
      </c>
      <c r="X14" s="189"/>
      <c r="Y14" s="189" t="s">
        <v>1663</v>
      </c>
      <c r="Z14" s="189" t="s">
        <v>1493</v>
      </c>
      <c r="AA14" s="189">
        <v>0.05</v>
      </c>
      <c r="AB14" s="199" t="s">
        <v>1692</v>
      </c>
      <c r="AC14" s="199">
        <f t="shared" si="2"/>
        <v>0.625</v>
      </c>
      <c r="AD14" s="200"/>
      <c r="AE14" s="200"/>
      <c r="AF14" s="200"/>
      <c r="AG14" s="200"/>
      <c r="AH14" s="201"/>
      <c r="AI14" s="201"/>
      <c r="AJ14" s="189" t="s">
        <v>132</v>
      </c>
      <c r="AK14" s="189"/>
      <c r="AL14" s="189"/>
      <c r="AM14" s="189"/>
      <c r="AN14" s="189"/>
      <c r="AO14" s="188" t="s">
        <v>1707</v>
      </c>
      <c r="AP14" s="188" t="s">
        <v>1708</v>
      </c>
    </row>
    <row r="15" spans="1:45" ht="362.5" x14ac:dyDescent="0.35">
      <c r="A15" s="22">
        <v>11</v>
      </c>
      <c r="B15" s="22" t="s">
        <v>1451</v>
      </c>
      <c r="C15" s="22" t="s">
        <v>1452</v>
      </c>
      <c r="D15" s="192" t="s">
        <v>1224</v>
      </c>
      <c r="E15" s="210" t="s">
        <v>1453</v>
      </c>
      <c r="F15" s="210"/>
      <c r="G15" s="210" t="s">
        <v>1269</v>
      </c>
      <c r="H15" s="211" t="s">
        <v>1271</v>
      </c>
      <c r="I15" s="210">
        <v>0.25</v>
      </c>
      <c r="J15" s="211"/>
      <c r="K15" s="210"/>
      <c r="L15" s="210" t="s">
        <v>1661</v>
      </c>
      <c r="M15" s="189"/>
      <c r="N15" s="189"/>
      <c r="O15" s="189"/>
      <c r="P15" s="189"/>
      <c r="Q15" s="199"/>
      <c r="R15" s="199"/>
      <c r="S15" s="199"/>
      <c r="T15" s="197">
        <f t="shared" si="1"/>
        <v>6.75</v>
      </c>
      <c r="U15" s="197">
        <f>SUMPRODUCT(AA3:AA15,AC3:AC15)*10</f>
        <v>7.6250000000000009</v>
      </c>
      <c r="V15" s="202" t="s">
        <v>1678</v>
      </c>
      <c r="W15" s="189" t="s">
        <v>1709</v>
      </c>
      <c r="X15" s="189"/>
      <c r="Y15" s="189" t="s">
        <v>1635</v>
      </c>
      <c r="Z15" s="205" t="s">
        <v>1456</v>
      </c>
      <c r="AA15" s="189">
        <v>0.1</v>
      </c>
      <c r="AB15" s="199" t="s">
        <v>1636</v>
      </c>
      <c r="AC15" s="199">
        <f t="shared" si="2"/>
        <v>0.875</v>
      </c>
      <c r="AD15" s="200"/>
      <c r="AE15" s="200"/>
      <c r="AF15" s="200"/>
      <c r="AG15" s="200"/>
      <c r="AH15" s="201"/>
      <c r="AI15" s="201"/>
      <c r="AJ15" s="189"/>
      <c r="AK15" s="189"/>
      <c r="AL15" s="189"/>
      <c r="AM15" s="189"/>
      <c r="AN15" s="189"/>
      <c r="AO15" s="188" t="s">
        <v>1710</v>
      </c>
      <c r="AP15" s="188" t="s">
        <v>1711</v>
      </c>
    </row>
    <row r="16" spans="1:45" ht="409.5" x14ac:dyDescent="0.35">
      <c r="A16" s="22">
        <v>8</v>
      </c>
      <c r="B16" s="22" t="s">
        <v>1451</v>
      </c>
      <c r="C16" s="22" t="s">
        <v>1452</v>
      </c>
      <c r="D16" s="192" t="s">
        <v>1224</v>
      </c>
      <c r="E16" s="210" t="s">
        <v>1453</v>
      </c>
      <c r="F16" s="210"/>
      <c r="G16" s="210" t="s">
        <v>1269</v>
      </c>
      <c r="H16" s="211" t="s">
        <v>1270</v>
      </c>
      <c r="I16" s="210">
        <v>0.15</v>
      </c>
      <c r="J16" s="211" t="s">
        <v>1630</v>
      </c>
      <c r="K16" s="210"/>
      <c r="L16" s="210" t="s">
        <v>1631</v>
      </c>
      <c r="M16" s="193" t="str">
        <f>VLOOKUP(H16,'1_Value &amp; risk levers'!$H$9:$O$1048576,2,FALSE)</f>
        <v>&gt;80% of spend is with a single supplier</v>
      </c>
      <c r="N16" s="193" t="str">
        <f>VLOOKUP(H16,'1_Value &amp; risk levers'!$H$9:$O$1048576,3,FALSE)</f>
        <v>Top 2 suppliers cover &gt;80% of spend</v>
      </c>
      <c r="O16" s="193" t="str">
        <f>VLOOKUP(H16,'1_Value &amp; risk levers'!$H$9:$O$1048576,4,FALSE)</f>
        <v>Top 3-4 suppliers cover &gt;80% of spend</v>
      </c>
      <c r="P16" s="193" t="str">
        <f>VLOOKUP(H16,'1_Value &amp; risk levers'!$H$9:$O$1048576,5,FALSE)</f>
        <v>5 or more suppliers contribute to the top 80% spend</v>
      </c>
      <c r="Q16" s="194">
        <f>IF(VLOOKUP(H16,'1_Value &amp; risk levers'!$H$9:$T$1048576,13,FALSE)=0,"",VLOOKUP(H16,'1_Value &amp; risk levers'!$H$9:$T$1048576,13,FALSE))</f>
        <v>4</v>
      </c>
      <c r="R16" s="195" t="e">
        <f>AVERAGEIFS($Q$3:$Q$1048576,$G$3:$G$1048576,"Risk")</f>
        <v>#N/A</v>
      </c>
      <c r="S16" s="196" t="s">
        <v>1632</v>
      </c>
      <c r="T16" s="197">
        <f t="shared" si="1"/>
        <v>6.75</v>
      </c>
      <c r="U16" s="197">
        <f>SUMPRODUCT(AA16:AA18,AC16:AC18)*10</f>
        <v>3.25</v>
      </c>
      <c r="V16" s="198" t="s">
        <v>1463</v>
      </c>
      <c r="W16" s="189" t="s">
        <v>1633</v>
      </c>
      <c r="X16" s="189" t="s">
        <v>1634</v>
      </c>
      <c r="Y16" s="189" t="s">
        <v>1635</v>
      </c>
      <c r="Z16" s="205" t="s">
        <v>1456</v>
      </c>
      <c r="AA16" s="205">
        <v>0.6</v>
      </c>
      <c r="AB16" s="199" t="s">
        <v>1651</v>
      </c>
      <c r="AC16" s="199">
        <f t="shared" si="2"/>
        <v>0.25</v>
      </c>
      <c r="AD16" s="199">
        <f>IF(AC16="high",0.875,IF(AC16="medium",0.625,0.25))</f>
        <v>0.25</v>
      </c>
      <c r="AE16" s="199"/>
      <c r="AF16" s="201" t="str">
        <f>_xlfn.XLOOKUP(CONCATENATE(H16,"_",V16),'Test 2 - Proof points - GPT5'!$T:$T,'Test 2 - Proof points - GPT5'!$S:$S)</f>
        <v>Insights: Supplier base: 87 vendors; Top-1 share 8.6%; HHI ≈ 344 → fragmented. Leverage via bundled bids and two-tiering is feasible. Actions: Set minimum 2 qualified suppliers per critical SKU/region; design dual-source splits (60/40) with quarterly price review and volume swing clauses.</v>
      </c>
      <c r="AG16" s="201" t="str">
        <f>_xlfn.XLOOKUP(CONCATENATE(H16,"_",V16),'Test 2 -Proof points - Sonnet'!$AB:$AB,'Test 2 -Proof points - Sonnet'!$AA:$AA)</f>
        <v>â€¢ **Address high supplier concentration**: Top 3 suppliers (SHIVAGANGA, SIDDAGANGA, SAKLECHA) represent ~70% of total vegetable oil spend, creating significant concentration risk that exceeds industry best practice thresholds.
â€¢ **Develop secondary supplier tiers**: Activate relationships with suppliers like M/S ABHAY SOLVENTS, UNIVERSAL AGRO FOOD INDUSTRIES to create competitive alternatives and reduce dependency on primary suppliers.
â€¢ **Future supply chain resilience**: Industry focus on supply chain risk management and business continuity will require balanced supplier portfolios, making current concentration risk mitigation essential for operational stability and competitive procurement operations.</v>
      </c>
      <c r="AH16" s="201" t="s">
        <v>1637</v>
      </c>
      <c r="AI16" s="201" t="s">
        <v>1637</v>
      </c>
      <c r="AJ16" s="189"/>
      <c r="AK16" s="189" t="s">
        <v>132</v>
      </c>
      <c r="AL16" s="189"/>
      <c r="AM16" s="189"/>
      <c r="AN16" s="189" t="s">
        <v>132</v>
      </c>
      <c r="AO16" s="188" t="s">
        <v>1712</v>
      </c>
      <c r="AP16" s="188" t="s">
        <v>1713</v>
      </c>
    </row>
    <row r="17" spans="1:42" ht="391.5" x14ac:dyDescent="0.35">
      <c r="A17" s="22">
        <v>8</v>
      </c>
      <c r="B17" s="22" t="s">
        <v>1451</v>
      </c>
      <c r="C17" s="22" t="s">
        <v>1452</v>
      </c>
      <c r="D17" s="192" t="s">
        <v>1224</v>
      </c>
      <c r="E17" s="210" t="s">
        <v>1453</v>
      </c>
      <c r="F17" s="210"/>
      <c r="G17" s="210" t="s">
        <v>1269</v>
      </c>
      <c r="H17" s="211" t="s">
        <v>1270</v>
      </c>
      <c r="I17" s="210">
        <v>0.15</v>
      </c>
      <c r="J17" s="211" t="s">
        <v>1630</v>
      </c>
      <c r="K17" s="210"/>
      <c r="L17" s="210" t="s">
        <v>1631</v>
      </c>
      <c r="M17" s="193" t="str">
        <f>VLOOKUP(H17,'1_Value &amp; risk levers'!$H$9:$O$1048576,2,FALSE)</f>
        <v>&gt;80% of spend is with a single supplier</v>
      </c>
      <c r="N17" s="193" t="str">
        <f>VLOOKUP(H17,'1_Value &amp; risk levers'!$H$9:$O$1048576,3,FALSE)</f>
        <v>Top 2 suppliers cover &gt;80% of spend</v>
      </c>
      <c r="O17" s="193" t="str">
        <f>VLOOKUP(H17,'1_Value &amp; risk levers'!$H$9:$O$1048576,4,FALSE)</f>
        <v>Top 3-4 suppliers cover &gt;80% of spend</v>
      </c>
      <c r="P17" s="193" t="str">
        <f>VLOOKUP(H17,'1_Value &amp; risk levers'!$H$9:$O$1048576,5,FALSE)</f>
        <v>5 or more suppliers contribute to the top 80% spend</v>
      </c>
      <c r="Q17" s="194">
        <f>IF(VLOOKUP(H17,'1_Value &amp; risk levers'!$H$9:$T$1048576,13,FALSE)=0,"",VLOOKUP(H17,'1_Value &amp; risk levers'!$H$9:$T$1048576,13,FALSE))</f>
        <v>4</v>
      </c>
      <c r="R17" s="195" t="e">
        <f>AVERAGEIFS($Q$3:$Q$1048576,$G$3:$G$1048576,"Risk")</f>
        <v>#N/A</v>
      </c>
      <c r="S17" s="196" t="s">
        <v>1638</v>
      </c>
      <c r="T17" s="197">
        <f t="shared" si="1"/>
        <v>6.75</v>
      </c>
      <c r="U17" s="197">
        <f>SUMPRODUCT(AA16:AA18,AC16:AC18)*10</f>
        <v>3.25</v>
      </c>
      <c r="V17" s="202" t="s">
        <v>1639</v>
      </c>
      <c r="W17" s="189" t="s">
        <v>1640</v>
      </c>
      <c r="X17" s="189"/>
      <c r="Y17" s="189" t="s">
        <v>1635</v>
      </c>
      <c r="Z17" s="189" t="s">
        <v>1493</v>
      </c>
      <c r="AA17" s="189">
        <v>0.2</v>
      </c>
      <c r="AB17" s="199" t="s">
        <v>1692</v>
      </c>
      <c r="AC17" s="199">
        <f t="shared" si="2"/>
        <v>0.625</v>
      </c>
      <c r="AD17" s="201"/>
      <c r="AE17" s="201"/>
      <c r="AF17" s="201" t="str">
        <f>_xlfn.XLOOKUP(CONCATENATE(H17,"_",V17),'Test 2 - Proof points - GPT5'!$T:$T,'Test 2 - Proof points - GPT5'!$S:$S)</f>
        <v>Insights: Supplier base: 87 vendors; Top-1 share 8.6%; HHI ≈ 344 → fragmented. Leverage via bundled bids and two-tiering is feasible. Highest-spend SKU: RAW RICEBRAN OIL with $43,995,207 across 37 suppliers and 1 plants. Actions: Run structured RFP with origin-agnostic lots, switch low performers to best-quartile pricing, and standardize specs/QA across plants.</v>
      </c>
      <c r="AG17" s="201" t="e">
        <f>_xlfn.XLOOKUP(CONCATENATE(H17,"_",V17),'Test 2 -Proof points - Sonnet'!$AB:$AB,'Test 2 -Proof points - Sonnet'!$AA:$AA)</f>
        <v>#N/A</v>
      </c>
      <c r="AH17" s="201" t="s">
        <v>1637</v>
      </c>
      <c r="AI17" s="201" t="s">
        <v>1637</v>
      </c>
      <c r="AJ17" s="189"/>
      <c r="AK17" s="189" t="s">
        <v>132</v>
      </c>
      <c r="AL17" s="189"/>
      <c r="AM17" s="189"/>
      <c r="AN17" s="189" t="s">
        <v>132</v>
      </c>
      <c r="AO17" s="188" t="s">
        <v>1714</v>
      </c>
      <c r="AP17" s="188" t="s">
        <v>1715</v>
      </c>
    </row>
    <row r="18" spans="1:42" ht="362.5" x14ac:dyDescent="0.35">
      <c r="A18" s="22">
        <v>11</v>
      </c>
      <c r="B18" s="22" t="s">
        <v>1451</v>
      </c>
      <c r="C18" s="22" t="s">
        <v>1452</v>
      </c>
      <c r="D18" s="192" t="s">
        <v>1224</v>
      </c>
      <c r="E18" s="210" t="s">
        <v>1453</v>
      </c>
      <c r="F18" s="210"/>
      <c r="G18" s="210" t="s">
        <v>1269</v>
      </c>
      <c r="H18" s="211" t="s">
        <v>1270</v>
      </c>
      <c r="I18" s="210">
        <v>0.15</v>
      </c>
      <c r="J18" s="211"/>
      <c r="K18" s="210"/>
      <c r="L18" s="210" t="s">
        <v>1631</v>
      </c>
      <c r="M18" s="189"/>
      <c r="N18" s="189"/>
      <c r="O18" s="189"/>
      <c r="P18" s="189"/>
      <c r="Q18" s="199"/>
      <c r="R18" s="199"/>
      <c r="S18" s="199"/>
      <c r="T18" s="197">
        <f t="shared" si="1"/>
        <v>6.75</v>
      </c>
      <c r="U18" s="197">
        <f>SUMPRODUCT(AA16:AA18,AC16:AC18)*10</f>
        <v>3.25</v>
      </c>
      <c r="V18" s="202" t="s">
        <v>1676</v>
      </c>
      <c r="W18" s="189" t="s">
        <v>1716</v>
      </c>
      <c r="X18" s="189"/>
      <c r="Y18" s="189" t="s">
        <v>1635</v>
      </c>
      <c r="Z18" s="189" t="s">
        <v>1493</v>
      </c>
      <c r="AA18" s="189">
        <v>0.2</v>
      </c>
      <c r="AB18" s="199" t="s">
        <v>1651</v>
      </c>
      <c r="AC18" s="199">
        <f t="shared" si="2"/>
        <v>0.25</v>
      </c>
      <c r="AD18" s="200"/>
      <c r="AE18" s="200"/>
      <c r="AF18" s="200"/>
      <c r="AG18" s="200"/>
      <c r="AH18" s="201"/>
      <c r="AI18" s="201"/>
      <c r="AJ18" s="189"/>
      <c r="AK18" s="189"/>
      <c r="AL18" s="189"/>
      <c r="AM18" s="189"/>
      <c r="AN18" s="189"/>
      <c r="AO18" s="188" t="s">
        <v>1717</v>
      </c>
      <c r="AP18" s="188" t="s">
        <v>1718</v>
      </c>
    </row>
    <row r="19" spans="1:42" ht="377" x14ac:dyDescent="0.35">
      <c r="A19" s="22">
        <v>9</v>
      </c>
      <c r="B19" s="22" t="s">
        <v>1451</v>
      </c>
      <c r="C19" s="22" t="s">
        <v>1452</v>
      </c>
      <c r="D19" s="192" t="s">
        <v>1224</v>
      </c>
      <c r="E19" s="210" t="s">
        <v>1453</v>
      </c>
      <c r="F19" s="210"/>
      <c r="G19" s="210" t="s">
        <v>1269</v>
      </c>
      <c r="H19" s="211" t="s">
        <v>1272</v>
      </c>
      <c r="I19" s="210">
        <v>0.35</v>
      </c>
      <c r="J19" s="211" t="s">
        <v>1641</v>
      </c>
      <c r="K19" s="210"/>
      <c r="L19" s="210" t="s">
        <v>1642</v>
      </c>
      <c r="M19" s="193" t="str">
        <f>VLOOKUP(H19,'1_Value &amp; risk levers'!$H$9:$O$1048576,2,FALSE)</f>
        <v>&gt;75% spend is linked to high risk suppliers (risk score &lt;30)</v>
      </c>
      <c r="N19" s="193" t="str">
        <f>VLOOKUP(H19,'1_Value &amp; risk levers'!$H$9:$O$1048576,3,FALSE)</f>
        <v>50-75% spend is linked to high risk suppliers (risk score &lt;30)</v>
      </c>
      <c r="O19" s="193" t="str">
        <f>VLOOKUP(H19,'1_Value &amp; risk levers'!$H$9:$O$1048576,4,FALSE)</f>
        <v>30-50% spend is linked to high risk suppliers (risk score &lt;30)</v>
      </c>
      <c r="P19" s="193" t="str">
        <f>VLOOKUP(H19,'1_Value &amp; risk levers'!$H$9:$O$1048576,5,FALSE)</f>
        <v>&lt;30% spend is linked to high risk suppliers (risk score &lt;30)</v>
      </c>
      <c r="Q19" s="194">
        <f>IF(VLOOKUP(H19,'1_Value &amp; risk levers'!$H$9:$T$1048576,13,FALSE)=0,"",VLOOKUP(H19,'1_Value &amp; risk levers'!$H$9:$T$1048576,13,FALSE))</f>
        <v>2</v>
      </c>
      <c r="R19" s="195" t="e">
        <f t="shared" ref="R19:R24" si="3">AVERAGEIFS($Q$3:$Q$1048576,$G$3:$G$1048576,"Risk")</f>
        <v>#N/A</v>
      </c>
      <c r="S19" s="196" t="s">
        <v>1643</v>
      </c>
      <c r="T19" s="197">
        <f t="shared" si="1"/>
        <v>6.75</v>
      </c>
      <c r="U19" s="197">
        <f>SUMPRODUCT(AA19,AC19)*10</f>
        <v>6.25</v>
      </c>
      <c r="V19" s="198" t="s">
        <v>1524</v>
      </c>
      <c r="W19" s="189" t="s">
        <v>1644</v>
      </c>
      <c r="X19" s="189"/>
      <c r="Y19" s="189" t="s">
        <v>1645</v>
      </c>
      <c r="Z19" s="205" t="s">
        <v>1456</v>
      </c>
      <c r="AA19" s="205">
        <v>1</v>
      </c>
      <c r="AB19" s="199" t="s">
        <v>1692</v>
      </c>
      <c r="AC19" s="199">
        <f t="shared" si="2"/>
        <v>0.625</v>
      </c>
      <c r="AD19" s="200"/>
      <c r="AE19" s="200"/>
      <c r="AF19" s="201" t="str">
        <f>_xlfn.XLOOKUP(CONCATENATE(H19,"_",V19),'Test 2 - Proof points - GPT5'!$T:$T,'Test 2 - Proof points - GPT5'!$S:$S)</f>
        <v>Approach: Enrich vendor master with financial health, sanctions, ESG, and delivery performance scores; apply dual-trigger risk limits by spend and criticality. Actions: offboard any vendor below threshold; substitute with pre-qualified alternates; put CapEx-dependent suppliers under quarterly monitoring.</v>
      </c>
      <c r="AG19" s="201" t="str">
        <f>_xlfn.XLOOKUP(CONCATENATE(H19,"_",V19),'Test 2 -Proof points - Sonnet'!$AB:$AB,'Test 2 -Proof points - Sonnet'!$AA:$AA)</f>
        <v>â€¢ **Evaluate supplier financial stability**: Key suppliers like SHIVAGANGA FOOD OIL EXTRACTIONS and SIDDAGANGA OIL &amp; BIO INDUSTRIES demonstrate stable financial profiles based on consistent supply performance and market presence.
â€¢ **Monitor emerging financial risks**: Smaller suppliers in portfolio may carry higher financial volatility - implement regular financial health assessments and develop contingency sourcing plans for critical materials.
â€¢ **Future financial risk management**: Increasing focus on supplier financial stability and supply chain continuity will require sophisticated financial risk monitoring and proactive supplier financial health management for competitive procurement operations.</v>
      </c>
      <c r="AH19" s="201" t="s">
        <v>1646</v>
      </c>
      <c r="AI19" s="201" t="s">
        <v>1646</v>
      </c>
      <c r="AJ19" s="189"/>
      <c r="AK19" s="189"/>
      <c r="AL19" s="189" t="s">
        <v>132</v>
      </c>
      <c r="AM19" s="189"/>
      <c r="AN19" s="189" t="s">
        <v>132</v>
      </c>
      <c r="AO19" s="188" t="s">
        <v>1719</v>
      </c>
      <c r="AP19" s="188" t="s">
        <v>1720</v>
      </c>
    </row>
    <row r="20" spans="1:42" ht="406" x14ac:dyDescent="0.35">
      <c r="A20" s="22">
        <v>10</v>
      </c>
      <c r="B20" s="22" t="s">
        <v>1451</v>
      </c>
      <c r="C20" s="22" t="s">
        <v>1452</v>
      </c>
      <c r="D20" s="192" t="s">
        <v>1224</v>
      </c>
      <c r="E20" s="210" t="s">
        <v>1453</v>
      </c>
      <c r="F20" s="210"/>
      <c r="G20" s="210" t="s">
        <v>1269</v>
      </c>
      <c r="H20" s="211" t="s">
        <v>1647</v>
      </c>
      <c r="I20" s="210">
        <v>0.25</v>
      </c>
      <c r="J20" s="211" t="s">
        <v>1641</v>
      </c>
      <c r="K20" s="210"/>
      <c r="L20" s="210" t="s">
        <v>1648</v>
      </c>
      <c r="M20" s="193" t="e">
        <f>VLOOKUP(H20,'1_Value &amp; risk levers'!$H$9:$O$1048576,2,FALSE)</f>
        <v>#N/A</v>
      </c>
      <c r="N20" s="193" t="e">
        <f>VLOOKUP(H20,'1_Value &amp; risk levers'!$H$9:$O$1048576,3,FALSE)</f>
        <v>#N/A</v>
      </c>
      <c r="O20" s="193" t="e">
        <f>VLOOKUP(H20,'1_Value &amp; risk levers'!$H$9:$O$1048576,4,FALSE)</f>
        <v>#N/A</v>
      </c>
      <c r="P20" s="193" t="e">
        <f>VLOOKUP(H20,'1_Value &amp; risk levers'!$H$9:$O$1048576,5,FALSE)</f>
        <v>#N/A</v>
      </c>
      <c r="Q20" s="194" t="e">
        <f>IF(VLOOKUP(H20,'1_Value &amp; risk levers'!$H$9:$T$1048576,13,FALSE)=0,"",VLOOKUP(H20,'1_Value &amp; risk levers'!$H$9:$T$1048576,13,FALSE))</f>
        <v>#N/A</v>
      </c>
      <c r="R20" s="195" t="e">
        <f t="shared" si="3"/>
        <v>#N/A</v>
      </c>
      <c r="S20" s="196" t="s">
        <v>1649</v>
      </c>
      <c r="T20" s="197">
        <f t="shared" si="1"/>
        <v>6.75</v>
      </c>
      <c r="U20" s="197">
        <f>SUMPRODUCT(AA20:AA24,AC20:AC24)*10</f>
        <v>6.625</v>
      </c>
      <c r="V20" s="202" t="s">
        <v>1512</v>
      </c>
      <c r="W20" s="189" t="s">
        <v>1650</v>
      </c>
      <c r="X20" s="189"/>
      <c r="Y20" s="189" t="s">
        <v>1645</v>
      </c>
      <c r="Z20" s="189" t="s">
        <v>1493</v>
      </c>
      <c r="AA20" s="189">
        <v>0.4</v>
      </c>
      <c r="AB20" s="199" t="s">
        <v>1692</v>
      </c>
      <c r="AC20" s="199">
        <f t="shared" si="2"/>
        <v>0.625</v>
      </c>
      <c r="AD20" s="200"/>
      <c r="AE20" s="200"/>
      <c r="AF20" s="201" t="e">
        <f>_xlfn.XLOOKUP(CONCATENATE(H20,"_",V20),'Test 2 - Proof points - GPT5'!$T:$T,'Test 2 - Proof points - GPT5'!$S:$S)</f>
        <v>#N/A</v>
      </c>
      <c r="AG20" s="201" t="e">
        <f>_xlfn.XLOOKUP(CONCATENATE(H20,"_",V20),'Test 2 -Proof points - Sonnet'!$AB:$AB,'Test 2 -Proof points - Sonnet'!$AA:$AA)</f>
        <v>#N/A</v>
      </c>
      <c r="AH20" s="201" t="s">
        <v>1652</v>
      </c>
      <c r="AI20" s="201" t="s">
        <v>1652</v>
      </c>
      <c r="AJ20" s="189"/>
      <c r="AK20" s="189"/>
      <c r="AL20" s="189"/>
      <c r="AM20" s="189" t="s">
        <v>132</v>
      </c>
      <c r="AN20" s="189" t="s">
        <v>132</v>
      </c>
      <c r="AO20" s="188" t="s">
        <v>1721</v>
      </c>
      <c r="AP20" s="188" t="s">
        <v>1722</v>
      </c>
    </row>
    <row r="21" spans="1:42" ht="409.5" x14ac:dyDescent="0.35">
      <c r="A21" s="22">
        <v>10</v>
      </c>
      <c r="B21" s="22" t="s">
        <v>1451</v>
      </c>
      <c r="C21" s="22" t="s">
        <v>1452</v>
      </c>
      <c r="D21" s="192" t="s">
        <v>1224</v>
      </c>
      <c r="E21" s="210" t="s">
        <v>1453</v>
      </c>
      <c r="F21" s="210"/>
      <c r="G21" s="210" t="s">
        <v>1269</v>
      </c>
      <c r="H21" s="211" t="s">
        <v>1647</v>
      </c>
      <c r="I21" s="210">
        <v>0.25</v>
      </c>
      <c r="J21" s="211" t="s">
        <v>1641</v>
      </c>
      <c r="K21" s="210"/>
      <c r="L21" s="210" t="s">
        <v>1648</v>
      </c>
      <c r="M21" s="193" t="e">
        <f>VLOOKUP(H21,'1_Value &amp; risk levers'!$H$9:$O$1048576,2,FALSE)</f>
        <v>#N/A</v>
      </c>
      <c r="N21" s="193" t="e">
        <f>VLOOKUP(H21,'1_Value &amp; risk levers'!$H$9:$O$1048576,3,FALSE)</f>
        <v>#N/A</v>
      </c>
      <c r="O21" s="193" t="e">
        <f>VLOOKUP(H21,'1_Value &amp; risk levers'!$H$9:$O$1048576,4,FALSE)</f>
        <v>#N/A</v>
      </c>
      <c r="P21" s="193" t="e">
        <f>VLOOKUP(H21,'1_Value &amp; risk levers'!$H$9:$O$1048576,5,FALSE)</f>
        <v>#N/A</v>
      </c>
      <c r="Q21" s="203" t="e">
        <f>IF(VLOOKUP(H21,'1_Value &amp; risk levers'!$H$9:$T$1048576,13,FALSE)=0,"",VLOOKUP(H21,'1_Value &amp; risk levers'!$H$9:$T$1048576,13,FALSE))</f>
        <v>#N/A</v>
      </c>
      <c r="R21" s="204" t="e">
        <f t="shared" si="3"/>
        <v>#N/A</v>
      </c>
      <c r="S21" s="196" t="s">
        <v>1649</v>
      </c>
      <c r="T21" s="197">
        <f t="shared" si="1"/>
        <v>6.75</v>
      </c>
      <c r="U21" s="197">
        <f>SUMPRODUCT(AA20:AA24,AC20:AC24)*10</f>
        <v>6.625</v>
      </c>
      <c r="V21" s="202" t="s">
        <v>1653</v>
      </c>
      <c r="W21" s="189" t="s">
        <v>1654</v>
      </c>
      <c r="X21" s="189"/>
      <c r="Y21" s="189" t="s">
        <v>1635</v>
      </c>
      <c r="Z21" s="189" t="s">
        <v>1493</v>
      </c>
      <c r="AA21" s="189">
        <v>0.15</v>
      </c>
      <c r="AB21" s="199" t="s">
        <v>1692</v>
      </c>
      <c r="AC21" s="199">
        <f t="shared" si="2"/>
        <v>0.625</v>
      </c>
      <c r="AD21" s="200"/>
      <c r="AE21" s="200"/>
      <c r="AF21" s="200"/>
      <c r="AG21" s="200"/>
      <c r="AH21" s="201"/>
      <c r="AI21" s="201" t="s">
        <v>1652</v>
      </c>
      <c r="AJ21" s="189"/>
      <c r="AK21" s="189"/>
      <c r="AL21" s="189"/>
      <c r="AM21" s="189" t="s">
        <v>132</v>
      </c>
      <c r="AN21" s="189"/>
      <c r="AO21" s="188" t="s">
        <v>1723</v>
      </c>
      <c r="AP21" s="188" t="s">
        <v>1724</v>
      </c>
    </row>
    <row r="22" spans="1:42" ht="406" x14ac:dyDescent="0.35">
      <c r="A22" s="22">
        <v>10</v>
      </c>
      <c r="B22" s="22" t="s">
        <v>1451</v>
      </c>
      <c r="C22" s="22" t="s">
        <v>1452</v>
      </c>
      <c r="D22" s="192" t="s">
        <v>1224</v>
      </c>
      <c r="E22" s="210" t="s">
        <v>1453</v>
      </c>
      <c r="F22" s="210"/>
      <c r="G22" s="210" t="s">
        <v>1269</v>
      </c>
      <c r="H22" s="211" t="s">
        <v>1647</v>
      </c>
      <c r="I22" s="210">
        <v>0.25</v>
      </c>
      <c r="J22" s="211" t="s">
        <v>1641</v>
      </c>
      <c r="K22" s="210"/>
      <c r="L22" s="210" t="s">
        <v>1648</v>
      </c>
      <c r="M22" s="193" t="e">
        <f>VLOOKUP(H22,'1_Value &amp; risk levers'!$H$9:$O$1048576,2,FALSE)</f>
        <v>#N/A</v>
      </c>
      <c r="N22" s="193" t="e">
        <f>VLOOKUP(H22,'1_Value &amp; risk levers'!$H$9:$O$1048576,3,FALSE)</f>
        <v>#N/A</v>
      </c>
      <c r="O22" s="193" t="e">
        <f>VLOOKUP(H22,'1_Value &amp; risk levers'!$H$9:$O$1048576,4,FALSE)</f>
        <v>#N/A</v>
      </c>
      <c r="P22" s="193" t="e">
        <f>VLOOKUP(H22,'1_Value &amp; risk levers'!$H$9:$O$1048576,5,FALSE)</f>
        <v>#N/A</v>
      </c>
      <c r="Q22" s="203" t="e">
        <f>IF(VLOOKUP(H22,'1_Value &amp; risk levers'!$H$9:$T$1048576,13,FALSE)=0,"",VLOOKUP(H22,'1_Value &amp; risk levers'!$H$9:$T$1048576,13,FALSE))</f>
        <v>#N/A</v>
      </c>
      <c r="R22" s="204" t="e">
        <f t="shared" si="3"/>
        <v>#N/A</v>
      </c>
      <c r="S22" s="196" t="s">
        <v>1649</v>
      </c>
      <c r="T22" s="197">
        <f t="shared" si="1"/>
        <v>6.75</v>
      </c>
      <c r="U22" s="197">
        <f>SUMPRODUCT(AA20:AA24,AC20:AC24)*10</f>
        <v>6.625</v>
      </c>
      <c r="V22" s="202" t="s">
        <v>1655</v>
      </c>
      <c r="W22" s="189" t="s">
        <v>1656</v>
      </c>
      <c r="X22" s="189"/>
      <c r="Y22" s="189" t="s">
        <v>1635</v>
      </c>
      <c r="Z22" s="189" t="s">
        <v>1493</v>
      </c>
      <c r="AA22" s="189">
        <v>0.15</v>
      </c>
      <c r="AB22" s="199" t="s">
        <v>1636</v>
      </c>
      <c r="AC22" s="199">
        <f t="shared" si="2"/>
        <v>0.875</v>
      </c>
      <c r="AD22" s="200"/>
      <c r="AE22" s="200"/>
      <c r="AF22" s="200"/>
      <c r="AG22" s="200"/>
      <c r="AH22" s="201"/>
      <c r="AI22" s="201" t="s">
        <v>1652</v>
      </c>
      <c r="AJ22" s="189"/>
      <c r="AK22" s="189"/>
      <c r="AL22" s="189"/>
      <c r="AM22" s="189" t="s">
        <v>132</v>
      </c>
      <c r="AN22" s="189"/>
      <c r="AO22" s="188" t="s">
        <v>1725</v>
      </c>
      <c r="AP22" s="188" t="s">
        <v>1726</v>
      </c>
    </row>
    <row r="23" spans="1:42" ht="391.5" x14ac:dyDescent="0.35">
      <c r="A23" s="22">
        <v>10</v>
      </c>
      <c r="B23" s="22" t="s">
        <v>1451</v>
      </c>
      <c r="C23" s="22" t="s">
        <v>1452</v>
      </c>
      <c r="D23" s="192" t="s">
        <v>1224</v>
      </c>
      <c r="E23" s="210" t="s">
        <v>1453</v>
      </c>
      <c r="F23" s="210"/>
      <c r="G23" s="210" t="s">
        <v>1269</v>
      </c>
      <c r="H23" s="211" t="s">
        <v>1647</v>
      </c>
      <c r="I23" s="210">
        <v>0.25</v>
      </c>
      <c r="J23" s="211" t="s">
        <v>1641</v>
      </c>
      <c r="K23" s="210"/>
      <c r="L23" s="210" t="s">
        <v>1648</v>
      </c>
      <c r="M23" s="193" t="e">
        <f>VLOOKUP(H23,'1_Value &amp; risk levers'!$H$9:$O$1048576,2,FALSE)</f>
        <v>#N/A</v>
      </c>
      <c r="N23" s="193" t="e">
        <f>VLOOKUP(H23,'1_Value &amp; risk levers'!$H$9:$O$1048576,3,FALSE)</f>
        <v>#N/A</v>
      </c>
      <c r="O23" s="193" t="e">
        <f>VLOOKUP(H23,'1_Value &amp; risk levers'!$H$9:$O$1048576,4,FALSE)</f>
        <v>#N/A</v>
      </c>
      <c r="P23" s="193" t="e">
        <f>VLOOKUP(H23,'1_Value &amp; risk levers'!$H$9:$O$1048576,5,FALSE)</f>
        <v>#N/A</v>
      </c>
      <c r="Q23" s="203" t="e">
        <f>IF(VLOOKUP(H23,'1_Value &amp; risk levers'!$H$9:$T$1048576,13,FALSE)=0,"",VLOOKUP(H23,'1_Value &amp; risk levers'!$H$9:$T$1048576,13,FALSE))</f>
        <v>#N/A</v>
      </c>
      <c r="R23" s="204" t="e">
        <f t="shared" si="3"/>
        <v>#N/A</v>
      </c>
      <c r="S23" s="196" t="s">
        <v>1649</v>
      </c>
      <c r="T23" s="197">
        <f t="shared" si="1"/>
        <v>6.75</v>
      </c>
      <c r="U23" s="197">
        <f>SUMPRODUCT(AA20:AA24,AC20:AC24)*10</f>
        <v>6.625</v>
      </c>
      <c r="V23" s="202" t="s">
        <v>1657</v>
      </c>
      <c r="W23" s="189" t="s">
        <v>1658</v>
      </c>
      <c r="X23" s="189"/>
      <c r="Y23" s="189" t="s">
        <v>1645</v>
      </c>
      <c r="Z23" s="189" t="s">
        <v>1493</v>
      </c>
      <c r="AA23" s="189">
        <v>0.1</v>
      </c>
      <c r="AB23" s="199" t="s">
        <v>1584</v>
      </c>
      <c r="AC23" s="199">
        <f t="shared" si="2"/>
        <v>0.625</v>
      </c>
      <c r="AD23" s="200"/>
      <c r="AE23" s="200"/>
      <c r="AF23" s="200"/>
      <c r="AG23" s="200"/>
      <c r="AH23" s="201"/>
      <c r="AI23" s="201"/>
      <c r="AJ23" s="189"/>
      <c r="AK23" s="189"/>
      <c r="AL23" s="189"/>
      <c r="AM23" s="189"/>
      <c r="AN23" s="189"/>
      <c r="AO23" s="188" t="s">
        <v>1727</v>
      </c>
      <c r="AP23" s="188" t="s">
        <v>1728</v>
      </c>
    </row>
    <row r="24" spans="1:42" ht="377" x14ac:dyDescent="0.35">
      <c r="A24" s="22">
        <v>10</v>
      </c>
      <c r="B24" s="22" t="s">
        <v>1451</v>
      </c>
      <c r="C24" s="22" t="s">
        <v>1452</v>
      </c>
      <c r="D24" s="192" t="s">
        <v>1224</v>
      </c>
      <c r="E24" s="210" t="s">
        <v>1453</v>
      </c>
      <c r="F24" s="210"/>
      <c r="G24" s="210" t="s">
        <v>1269</v>
      </c>
      <c r="H24" s="211" t="s">
        <v>1647</v>
      </c>
      <c r="I24" s="210">
        <v>0.25</v>
      </c>
      <c r="J24" s="211" t="s">
        <v>1641</v>
      </c>
      <c r="K24" s="210"/>
      <c r="L24" s="210" t="s">
        <v>1648</v>
      </c>
      <c r="M24" s="193" t="e">
        <f>VLOOKUP(H24,'1_Value &amp; risk levers'!$H$9:$O$1048576,2,FALSE)</f>
        <v>#N/A</v>
      </c>
      <c r="N24" s="193" t="e">
        <f>VLOOKUP(H24,'1_Value &amp; risk levers'!$H$9:$O$1048576,3,FALSE)</f>
        <v>#N/A</v>
      </c>
      <c r="O24" s="193" t="e">
        <f>VLOOKUP(H24,'1_Value &amp; risk levers'!$H$9:$O$1048576,4,FALSE)</f>
        <v>#N/A</v>
      </c>
      <c r="P24" s="193" t="e">
        <f>VLOOKUP(H24,'1_Value &amp; risk levers'!$H$9:$O$1048576,5,FALSE)</f>
        <v>#N/A</v>
      </c>
      <c r="Q24" s="203" t="e">
        <f>IF(VLOOKUP(H24,'1_Value &amp; risk levers'!$H$9:$T$1048576,13,FALSE)=0,"",VLOOKUP(H24,'1_Value &amp; risk levers'!$H$9:$T$1048576,13,FALSE))</f>
        <v>#N/A</v>
      </c>
      <c r="R24" s="204" t="e">
        <f t="shared" si="3"/>
        <v>#N/A</v>
      </c>
      <c r="S24" s="196" t="s">
        <v>1649</v>
      </c>
      <c r="T24" s="197">
        <f t="shared" si="1"/>
        <v>6.75</v>
      </c>
      <c r="U24" s="197">
        <f>SUMPRODUCT(AA20:AA24,AC20:AC24)*10</f>
        <v>6.625</v>
      </c>
      <c r="V24" s="202" t="s">
        <v>1659</v>
      </c>
      <c r="W24" s="189" t="s">
        <v>1660</v>
      </c>
      <c r="X24" s="189"/>
      <c r="Y24" s="189" t="s">
        <v>1645</v>
      </c>
      <c r="Z24" s="189" t="s">
        <v>1493</v>
      </c>
      <c r="AA24" s="189">
        <v>0.2</v>
      </c>
      <c r="AB24" s="199" t="s">
        <v>1584</v>
      </c>
      <c r="AC24" s="199">
        <f t="shared" si="2"/>
        <v>0.625</v>
      </c>
      <c r="AD24" s="200"/>
      <c r="AE24" s="200"/>
      <c r="AF24" s="200"/>
      <c r="AG24" s="200"/>
      <c r="AH24" s="201"/>
      <c r="AI24" s="201"/>
      <c r="AJ24" s="189"/>
      <c r="AK24" s="189"/>
      <c r="AL24" s="189"/>
      <c r="AM24" s="189"/>
      <c r="AN24" s="189"/>
      <c r="AO24" s="188" t="s">
        <v>1729</v>
      </c>
      <c r="AP24" s="188" t="s">
        <v>1730</v>
      </c>
    </row>
    <row r="25" spans="1:42" x14ac:dyDescent="0.35">
      <c r="Q25" s="32"/>
      <c r="R25" s="32"/>
      <c r="S25" s="32"/>
      <c r="T25" s="32"/>
      <c r="U25" s="32"/>
    </row>
    <row r="26" spans="1:42" x14ac:dyDescent="0.35">
      <c r="Q26" s="32"/>
      <c r="R26" s="32"/>
      <c r="S26" s="32"/>
      <c r="T26" s="32"/>
      <c r="U26" s="32"/>
    </row>
    <row r="27" spans="1:42" x14ac:dyDescent="0.35">
      <c r="Q27" s="32"/>
      <c r="R27" s="32"/>
      <c r="S27" s="32"/>
      <c r="T27" s="32"/>
      <c r="U27" s="32"/>
    </row>
  </sheetData>
  <autoFilter ref="A2:AP24" xr:uid="{27E53D42-7CE2-451C-A91F-6BB04720B7C9}"/>
  <mergeCells count="2">
    <mergeCell ref="M1:Q1"/>
    <mergeCell ref="AJ1:AM1"/>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73AFF-FFB4-4030-9D50-19668AE46DF0}">
  <dimension ref="B1:I6"/>
  <sheetViews>
    <sheetView workbookViewId="0">
      <selection activeCell="E24" sqref="E24"/>
    </sheetView>
  </sheetViews>
  <sheetFormatPr defaultRowHeight="14.5" x14ac:dyDescent="0.35"/>
  <cols>
    <col min="2" max="2" width="10.1796875" customWidth="1"/>
    <col min="7" max="7" width="9.453125" bestFit="1" customWidth="1"/>
    <col min="8" max="8" width="17.26953125" customWidth="1"/>
  </cols>
  <sheetData>
    <row r="1" spans="2:9" x14ac:dyDescent="0.35">
      <c r="B1" t="s">
        <v>1731</v>
      </c>
      <c r="G1" t="s">
        <v>1732</v>
      </c>
    </row>
    <row r="3" spans="2:9" x14ac:dyDescent="0.35">
      <c r="B3" s="177" t="s">
        <v>1733</v>
      </c>
      <c r="C3" s="177" t="s">
        <v>1734</v>
      </c>
      <c r="D3" s="177" t="s">
        <v>1735</v>
      </c>
      <c r="G3" s="177" t="s">
        <v>1733</v>
      </c>
      <c r="H3" s="177" t="s">
        <v>1734</v>
      </c>
      <c r="I3" s="177" t="s">
        <v>1735</v>
      </c>
    </row>
    <row r="4" spans="2:9" x14ac:dyDescent="0.35">
      <c r="B4" s="177">
        <v>10001</v>
      </c>
      <c r="C4" s="177" t="s">
        <v>1736</v>
      </c>
      <c r="D4" s="178">
        <v>12</v>
      </c>
      <c r="G4" s="177">
        <v>10001</v>
      </c>
      <c r="H4" s="177" t="s">
        <v>1737</v>
      </c>
      <c r="I4" s="178">
        <v>12</v>
      </c>
    </row>
    <row r="5" spans="2:9" x14ac:dyDescent="0.35">
      <c r="B5" s="177">
        <v>10002</v>
      </c>
      <c r="C5" s="177" t="s">
        <v>1736</v>
      </c>
      <c r="D5" s="178">
        <v>14</v>
      </c>
      <c r="G5" s="177">
        <v>10002</v>
      </c>
      <c r="H5" s="177" t="s">
        <v>1738</v>
      </c>
      <c r="I5" s="178">
        <v>14</v>
      </c>
    </row>
    <row r="6" spans="2:9" x14ac:dyDescent="0.35">
      <c r="B6" s="177">
        <v>10003</v>
      </c>
      <c r="C6" s="177" t="s">
        <v>1736</v>
      </c>
      <c r="D6" s="178">
        <v>35</v>
      </c>
      <c r="G6" s="177">
        <v>10003</v>
      </c>
      <c r="H6" s="177" t="s">
        <v>1739</v>
      </c>
      <c r="I6" s="178">
        <v>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5378C-DEA6-44D0-A3B9-67ED426359EF}">
  <dimension ref="A1:D6"/>
  <sheetViews>
    <sheetView showGridLines="0" zoomScale="72" zoomScaleNormal="100" workbookViewId="0">
      <pane ySplit="1" topLeftCell="A6" activePane="bottomLeft" state="frozen"/>
      <selection pane="bottomLeft" activeCell="D6" sqref="D6"/>
    </sheetView>
  </sheetViews>
  <sheetFormatPr defaultColWidth="8.7265625" defaultRowHeight="14.5" x14ac:dyDescent="0.35"/>
  <cols>
    <col min="1" max="1" width="8.7265625" style="172"/>
    <col min="2" max="2" width="60.453125" style="58" customWidth="1"/>
    <col min="3" max="3" width="11.453125" style="61" hidden="1" customWidth="1"/>
    <col min="4" max="4" width="62.1796875" style="58" customWidth="1"/>
    <col min="5" max="16384" width="8.7265625" style="58"/>
  </cols>
  <sheetData>
    <row r="1" spans="1:4" ht="31" customHeight="1" x14ac:dyDescent="0.35">
      <c r="A1" s="169" t="s">
        <v>1740</v>
      </c>
      <c r="B1" s="169" t="s">
        <v>1741</v>
      </c>
      <c r="C1" s="24" t="s">
        <v>1742</v>
      </c>
      <c r="D1" s="169" t="s">
        <v>1743</v>
      </c>
    </row>
    <row r="2" spans="1:4" ht="212.15" customHeight="1" x14ac:dyDescent="0.35">
      <c r="A2" s="170" t="s">
        <v>1744</v>
      </c>
      <c r="B2" s="171"/>
      <c r="C2" s="31" t="s">
        <v>1745</v>
      </c>
      <c r="D2" s="74" t="s">
        <v>1746</v>
      </c>
    </row>
    <row r="3" spans="1:4" ht="170.15" customHeight="1" x14ac:dyDescent="0.35">
      <c r="A3" s="170" t="s">
        <v>1747</v>
      </c>
      <c r="B3" s="171"/>
      <c r="C3" s="31" t="s">
        <v>1748</v>
      </c>
      <c r="D3" s="176" t="s">
        <v>1749</v>
      </c>
    </row>
    <row r="4" spans="1:4" ht="157" customHeight="1" x14ac:dyDescent="0.35">
      <c r="A4" s="170" t="s">
        <v>1750</v>
      </c>
      <c r="B4" s="171"/>
      <c r="C4" s="31" t="s">
        <v>1751</v>
      </c>
      <c r="D4" s="74" t="s">
        <v>1752</v>
      </c>
    </row>
    <row r="5" spans="1:4" ht="206.5" customHeight="1" x14ac:dyDescent="0.35">
      <c r="A5" s="170" t="s">
        <v>1753</v>
      </c>
      <c r="B5" s="171"/>
      <c r="C5" s="31" t="s">
        <v>1751</v>
      </c>
      <c r="D5" s="74" t="s">
        <v>1754</v>
      </c>
    </row>
    <row r="6" spans="1:4" ht="291" customHeight="1" x14ac:dyDescent="0.35">
      <c r="A6" s="170" t="s">
        <v>1755</v>
      </c>
      <c r="B6" s="171"/>
      <c r="C6" s="31" t="s">
        <v>1751</v>
      </c>
      <c r="D6" s="74" t="s">
        <v>1756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51FEA-8CBA-4092-A5A5-9EBEBE052819}">
  <dimension ref="A1:A41"/>
  <sheetViews>
    <sheetView topLeftCell="A18" workbookViewId="0"/>
  </sheetViews>
  <sheetFormatPr defaultRowHeight="14.5" x14ac:dyDescent="0.35"/>
  <cols>
    <col min="1" max="1" width="87.7265625" customWidth="1"/>
    <col min="2" max="3" width="49.81640625" customWidth="1"/>
  </cols>
  <sheetData>
    <row r="1" spans="1:1" x14ac:dyDescent="0.35">
      <c r="A1" s="36" t="s">
        <v>1454</v>
      </c>
    </row>
    <row r="2" spans="1:1" x14ac:dyDescent="0.35">
      <c r="A2" s="36" t="s">
        <v>1463</v>
      </c>
    </row>
    <row r="3" spans="1:1" x14ac:dyDescent="0.35">
      <c r="A3" s="36" t="s">
        <v>1465</v>
      </c>
    </row>
    <row r="4" spans="1:1" x14ac:dyDescent="0.35">
      <c r="A4" s="36" t="s">
        <v>1467</v>
      </c>
    </row>
    <row r="5" spans="1:1" x14ac:dyDescent="0.35">
      <c r="A5" s="36" t="s">
        <v>1471</v>
      </c>
    </row>
    <row r="6" spans="1:1" x14ac:dyDescent="0.35">
      <c r="A6" s="36" t="s">
        <v>1475</v>
      </c>
    </row>
    <row r="7" spans="1:1" x14ac:dyDescent="0.35">
      <c r="A7" s="36" t="s">
        <v>1477</v>
      </c>
    </row>
    <row r="8" spans="1:1" x14ac:dyDescent="0.35">
      <c r="A8" s="36" t="s">
        <v>1481</v>
      </c>
    </row>
    <row r="9" spans="1:1" x14ac:dyDescent="0.35">
      <c r="A9" s="36" t="s">
        <v>1483</v>
      </c>
    </row>
    <row r="10" spans="1:1" x14ac:dyDescent="0.35">
      <c r="A10" s="36" t="s">
        <v>1486</v>
      </c>
    </row>
    <row r="11" spans="1:1" x14ac:dyDescent="0.35">
      <c r="A11" s="36" t="s">
        <v>1488</v>
      </c>
    </row>
    <row r="12" spans="1:1" x14ac:dyDescent="0.35">
      <c r="A12" s="36" t="s">
        <v>1490</v>
      </c>
    </row>
    <row r="13" spans="1:1" x14ac:dyDescent="0.35">
      <c r="A13" s="34" t="s">
        <v>1492</v>
      </c>
    </row>
    <row r="14" spans="1:1" x14ac:dyDescent="0.35">
      <c r="A14" s="34" t="s">
        <v>1494</v>
      </c>
    </row>
    <row r="15" spans="1:1" x14ac:dyDescent="0.35">
      <c r="A15" s="34" t="s">
        <v>1495</v>
      </c>
    </row>
    <row r="16" spans="1:1" x14ac:dyDescent="0.35">
      <c r="A16" s="34" t="s">
        <v>1496</v>
      </c>
    </row>
    <row r="17" spans="1:1" x14ac:dyDescent="0.35">
      <c r="A17" s="34" t="s">
        <v>1499</v>
      </c>
    </row>
    <row r="18" spans="1:1" x14ac:dyDescent="0.35">
      <c r="A18" s="34" t="s">
        <v>1500</v>
      </c>
    </row>
    <row r="19" spans="1:1" x14ac:dyDescent="0.35">
      <c r="A19" s="34" t="s">
        <v>1501</v>
      </c>
    </row>
    <row r="20" spans="1:1" x14ac:dyDescent="0.35">
      <c r="A20" s="34" t="s">
        <v>1502</v>
      </c>
    </row>
    <row r="21" spans="1:1" x14ac:dyDescent="0.35">
      <c r="A21" s="34" t="s">
        <v>1503</v>
      </c>
    </row>
    <row r="22" spans="1:1" x14ac:dyDescent="0.35">
      <c r="A22" s="34" t="s">
        <v>1504</v>
      </c>
    </row>
    <row r="23" spans="1:1" x14ac:dyDescent="0.35">
      <c r="A23" s="34" t="s">
        <v>1505</v>
      </c>
    </row>
    <row r="24" spans="1:1" x14ac:dyDescent="0.35">
      <c r="A24" s="34" t="s">
        <v>1506</v>
      </c>
    </row>
    <row r="25" spans="1:1" x14ac:dyDescent="0.35">
      <c r="A25" s="34" t="s">
        <v>1507</v>
      </c>
    </row>
    <row r="26" spans="1:1" x14ac:dyDescent="0.35">
      <c r="A26" s="34" t="s">
        <v>1508</v>
      </c>
    </row>
    <row r="27" spans="1:1" x14ac:dyDescent="0.35">
      <c r="A27" s="34" t="s">
        <v>1509</v>
      </c>
    </row>
    <row r="28" spans="1:1" x14ac:dyDescent="0.35">
      <c r="A28" s="34" t="s">
        <v>1510</v>
      </c>
    </row>
    <row r="29" spans="1:1" x14ac:dyDescent="0.35">
      <c r="A29" s="34" t="s">
        <v>1511</v>
      </c>
    </row>
    <row r="30" spans="1:1" x14ac:dyDescent="0.35">
      <c r="A30" s="34" t="s">
        <v>1512</v>
      </c>
    </row>
    <row r="31" spans="1:1" x14ac:dyDescent="0.35">
      <c r="A31" s="34" t="s">
        <v>1513</v>
      </c>
    </row>
    <row r="32" spans="1:1" x14ac:dyDescent="0.35">
      <c r="A32" s="34" t="s">
        <v>1514</v>
      </c>
    </row>
    <row r="33" spans="1:1" x14ac:dyDescent="0.35">
      <c r="A33" s="34" t="s">
        <v>1515</v>
      </c>
    </row>
    <row r="34" spans="1:1" x14ac:dyDescent="0.35">
      <c r="A34" s="34" t="s">
        <v>1516</v>
      </c>
    </row>
    <row r="35" spans="1:1" x14ac:dyDescent="0.35">
      <c r="A35" s="34" t="s">
        <v>1517</v>
      </c>
    </row>
    <row r="36" spans="1:1" x14ac:dyDescent="0.35">
      <c r="A36" s="34" t="s">
        <v>1524</v>
      </c>
    </row>
    <row r="37" spans="1:1" x14ac:dyDescent="0.35">
      <c r="A37" s="34" t="s">
        <v>1528</v>
      </c>
    </row>
    <row r="38" spans="1:1" x14ac:dyDescent="0.35">
      <c r="A38" s="34" t="s">
        <v>1529</v>
      </c>
    </row>
    <row r="39" spans="1:1" x14ac:dyDescent="0.35">
      <c r="A39" s="34" t="s">
        <v>1530</v>
      </c>
    </row>
    <row r="40" spans="1:1" x14ac:dyDescent="0.35">
      <c r="A40" s="34" t="s">
        <v>1531</v>
      </c>
    </row>
    <row r="41" spans="1:1" x14ac:dyDescent="0.35">
      <c r="A41" s="34" t="s">
        <v>1532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DD231-3808-43D6-9BC0-D0B2D7D25E5F}">
  <dimension ref="G6:J6"/>
  <sheetViews>
    <sheetView workbookViewId="0"/>
  </sheetViews>
  <sheetFormatPr defaultRowHeight="14.5" x14ac:dyDescent="0.35"/>
  <sheetData>
    <row r="6" spans="7:10" x14ac:dyDescent="0.35">
      <c r="G6" s="30" t="e">
        <f>VLOOKUP(B6,'1_Value &amp; risk levers'!$H$9:$O$1048576,2,FALSE)</f>
        <v>#N/A</v>
      </c>
      <c r="H6" s="30"/>
      <c r="I6" s="30" t="e">
        <f>VLOOKUP(B6,'1_Value &amp; risk levers'!$H$9:$O$1048576,4,FALSE)</f>
        <v>#N/A</v>
      </c>
      <c r="J6" s="30" t="e">
        <f>VLOOKUP(B6,'1_Value &amp; risk levers'!$H$9:$O$1048576,5,FALSE)</f>
        <v>#N/A</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EDBEE-65DC-4E4C-8732-5AD99F1963B9}">
  <dimension ref="A1:R29"/>
  <sheetViews>
    <sheetView topLeftCell="G1" zoomScale="70" zoomScaleNormal="70" workbookViewId="0">
      <selection activeCell="H4" sqref="H4"/>
    </sheetView>
  </sheetViews>
  <sheetFormatPr defaultRowHeight="14.5" x14ac:dyDescent="0.35"/>
  <cols>
    <col min="1" max="1" width="1.7265625" customWidth="1"/>
    <col min="2" max="2" width="25.54296875" style="63" customWidth="1"/>
    <col min="3" max="3" width="32.453125" style="63" customWidth="1"/>
    <col min="4" max="4" width="19.453125" style="63" customWidth="1"/>
    <col min="5" max="5" width="25.453125" style="63" customWidth="1"/>
    <col min="6" max="6" width="17.81640625" style="130" customWidth="1"/>
    <col min="7" max="7" width="47.81640625" style="63" customWidth="1"/>
    <col min="8" max="8" width="18" style="63" customWidth="1"/>
    <col min="9" max="13" width="8.26953125" style="63" bestFit="1" customWidth="1"/>
    <col min="14" max="15" width="31.7265625" style="63" customWidth="1"/>
    <col min="16" max="18" width="25.54296875" style="63" customWidth="1"/>
  </cols>
  <sheetData>
    <row r="1" spans="1:18" x14ac:dyDescent="0.35">
      <c r="A1" s="139"/>
    </row>
    <row r="2" spans="1:18" ht="47.5" customHeight="1" x14ac:dyDescent="0.35">
      <c r="B2" s="91" t="s">
        <v>1757</v>
      </c>
      <c r="C2" s="91" t="s">
        <v>1758</v>
      </c>
      <c r="D2" s="91" t="s">
        <v>1759</v>
      </c>
      <c r="E2" s="91" t="s">
        <v>1760</v>
      </c>
      <c r="F2" s="91" t="s">
        <v>1761</v>
      </c>
      <c r="G2" s="91" t="s">
        <v>1762</v>
      </c>
      <c r="H2" s="149" t="s">
        <v>1763</v>
      </c>
      <c r="I2" s="91">
        <v>1</v>
      </c>
      <c r="J2" s="91">
        <v>2</v>
      </c>
      <c r="K2" s="91">
        <v>3</v>
      </c>
      <c r="L2" s="91">
        <v>4</v>
      </c>
      <c r="M2" s="91">
        <v>5</v>
      </c>
      <c r="N2" s="91" t="s">
        <v>1764</v>
      </c>
      <c r="O2" s="149" t="s">
        <v>1765</v>
      </c>
      <c r="P2" s="91" t="s">
        <v>1766</v>
      </c>
      <c r="Q2" s="91" t="s">
        <v>1767</v>
      </c>
      <c r="R2" s="91" t="s">
        <v>1768</v>
      </c>
    </row>
    <row r="3" spans="1:18" ht="72.5" x14ac:dyDescent="0.35">
      <c r="B3" s="66" t="s">
        <v>1642</v>
      </c>
      <c r="C3" s="31" t="s">
        <v>1769</v>
      </c>
      <c r="D3" s="31" t="s">
        <v>1770</v>
      </c>
      <c r="E3" s="31" t="s">
        <v>1771</v>
      </c>
      <c r="F3" s="30">
        <v>1</v>
      </c>
      <c r="G3" s="31" t="s">
        <v>1772</v>
      </c>
      <c r="H3" s="31"/>
      <c r="I3" s="31"/>
      <c r="J3" s="31"/>
      <c r="K3" s="31"/>
      <c r="L3" s="31"/>
      <c r="M3" s="31"/>
      <c r="N3" s="31" t="s">
        <v>1773</v>
      </c>
      <c r="O3" s="31"/>
      <c r="P3" s="93">
        <v>0.35</v>
      </c>
      <c r="Q3" s="93" t="s">
        <v>1774</v>
      </c>
      <c r="R3" s="31" t="s">
        <v>1775</v>
      </c>
    </row>
    <row r="4" spans="1:18" ht="72.5" x14ac:dyDescent="0.35">
      <c r="B4" s="253" t="s">
        <v>1648</v>
      </c>
      <c r="C4" s="250" t="s">
        <v>1776</v>
      </c>
      <c r="D4" s="31" t="s">
        <v>1777</v>
      </c>
      <c r="E4" s="31" t="s">
        <v>1778</v>
      </c>
      <c r="F4" s="30">
        <v>0.5</v>
      </c>
      <c r="G4" s="31" t="s">
        <v>1772</v>
      </c>
      <c r="H4" s="31"/>
      <c r="I4" s="31"/>
      <c r="J4" s="31"/>
      <c r="K4" s="31"/>
      <c r="L4" s="31"/>
      <c r="M4" s="31"/>
      <c r="N4" s="31" t="s">
        <v>1779</v>
      </c>
      <c r="O4" s="256"/>
      <c r="P4" s="247">
        <v>0.25</v>
      </c>
      <c r="Q4" s="247" t="s">
        <v>1774</v>
      </c>
      <c r="R4" s="250" t="s">
        <v>1780</v>
      </c>
    </row>
    <row r="5" spans="1:18" ht="116.15" customHeight="1" x14ac:dyDescent="0.35">
      <c r="B5" s="254"/>
      <c r="C5" s="251"/>
      <c r="D5" s="31" t="s">
        <v>1777</v>
      </c>
      <c r="E5" s="140" t="s">
        <v>1781</v>
      </c>
      <c r="F5" s="94">
        <v>0.5</v>
      </c>
      <c r="G5" s="31" t="s">
        <v>1772</v>
      </c>
      <c r="H5" s="31"/>
      <c r="I5" s="31"/>
      <c r="J5" s="31"/>
      <c r="K5" s="31"/>
      <c r="L5" s="31"/>
      <c r="M5" s="31"/>
      <c r="N5" s="31" t="s">
        <v>1779</v>
      </c>
      <c r="O5" s="257"/>
      <c r="P5" s="248"/>
      <c r="Q5" s="248"/>
      <c r="R5" s="251"/>
    </row>
    <row r="6" spans="1:18" ht="43.5" x14ac:dyDescent="0.35">
      <c r="B6" s="255"/>
      <c r="C6" s="252"/>
      <c r="D6" s="31" t="s">
        <v>1782</v>
      </c>
      <c r="E6" s="140" t="s">
        <v>1783</v>
      </c>
      <c r="F6" s="94"/>
      <c r="G6" s="97" t="s">
        <v>1784</v>
      </c>
      <c r="H6" s="143"/>
      <c r="I6" s="143"/>
      <c r="J6" s="143"/>
      <c r="K6" s="143"/>
      <c r="L6" s="143"/>
      <c r="M6" s="143"/>
      <c r="N6" s="31" t="s">
        <v>1779</v>
      </c>
      <c r="O6" s="258"/>
      <c r="P6" s="249"/>
      <c r="Q6" s="249"/>
      <c r="R6" s="252"/>
    </row>
    <row r="7" spans="1:18" ht="29.15" customHeight="1" x14ac:dyDescent="0.35">
      <c r="B7" s="253" t="s">
        <v>1631</v>
      </c>
      <c r="C7" s="250" t="s">
        <v>1785</v>
      </c>
      <c r="D7" s="259" t="s">
        <v>1786</v>
      </c>
      <c r="E7" s="250" t="s">
        <v>1787</v>
      </c>
      <c r="F7" s="256" t="s">
        <v>1788</v>
      </c>
      <c r="G7" s="260" t="s">
        <v>1789</v>
      </c>
      <c r="H7" s="144"/>
      <c r="I7" s="144"/>
      <c r="J7" s="144"/>
      <c r="K7" s="144"/>
      <c r="L7" s="144"/>
      <c r="M7" s="144"/>
      <c r="N7" s="250" t="s">
        <v>1790</v>
      </c>
      <c r="O7" s="256"/>
      <c r="P7" s="247">
        <v>0.15</v>
      </c>
      <c r="Q7" s="247" t="s">
        <v>1774</v>
      </c>
      <c r="R7" s="250" t="s">
        <v>1791</v>
      </c>
    </row>
    <row r="8" spans="1:18" ht="43.5" customHeight="1" x14ac:dyDescent="0.35">
      <c r="B8" s="254"/>
      <c r="C8" s="251"/>
      <c r="D8" s="259"/>
      <c r="E8" s="251"/>
      <c r="F8" s="257"/>
      <c r="G8" s="261"/>
      <c r="H8" s="142"/>
      <c r="I8" s="142"/>
      <c r="J8" s="142"/>
      <c r="K8" s="142"/>
      <c r="L8" s="142"/>
      <c r="M8" s="142"/>
      <c r="N8" s="251"/>
      <c r="O8" s="257"/>
      <c r="P8" s="248"/>
      <c r="Q8" s="248"/>
      <c r="R8" s="251"/>
    </row>
    <row r="9" spans="1:18" ht="29.15" customHeight="1" x14ac:dyDescent="0.35">
      <c r="B9" s="254"/>
      <c r="C9" s="251"/>
      <c r="D9" s="259"/>
      <c r="E9" s="251"/>
      <c r="F9" s="257"/>
      <c r="G9" s="251"/>
      <c r="H9" s="141"/>
      <c r="I9" s="141"/>
      <c r="J9" s="141"/>
      <c r="K9" s="141"/>
      <c r="L9" s="141"/>
      <c r="M9" s="141"/>
      <c r="N9" s="251"/>
      <c r="O9" s="257"/>
      <c r="P9" s="248"/>
      <c r="Q9" s="248"/>
      <c r="R9" s="251"/>
    </row>
    <row r="10" spans="1:18" ht="52.5" customHeight="1" x14ac:dyDescent="0.35">
      <c r="B10" s="254"/>
      <c r="C10" s="251"/>
      <c r="D10" s="259"/>
      <c r="E10" s="252"/>
      <c r="F10" s="258"/>
      <c r="G10" s="252"/>
      <c r="H10" s="97"/>
      <c r="I10" s="97"/>
      <c r="J10" s="97"/>
      <c r="K10" s="97"/>
      <c r="L10" s="97"/>
      <c r="M10" s="97"/>
      <c r="N10" s="252"/>
      <c r="O10" s="257"/>
      <c r="P10" s="248"/>
      <c r="Q10" s="248"/>
      <c r="R10" s="251"/>
    </row>
    <row r="11" spans="1:18" ht="52.5" customHeight="1" x14ac:dyDescent="0.35">
      <c r="B11" s="255"/>
      <c r="C11" s="252"/>
      <c r="D11" s="31" t="s">
        <v>1782</v>
      </c>
      <c r="E11" s="97" t="s">
        <v>1792</v>
      </c>
      <c r="F11" s="95">
        <v>0.3</v>
      </c>
      <c r="G11" s="97" t="s">
        <v>1793</v>
      </c>
      <c r="H11" s="143"/>
      <c r="I11" s="143"/>
      <c r="J11" s="143"/>
      <c r="K11" s="143"/>
      <c r="L11" s="143"/>
      <c r="M11" s="143"/>
      <c r="N11" s="31" t="s">
        <v>1790</v>
      </c>
      <c r="O11" s="258"/>
      <c r="P11" s="249"/>
      <c r="Q11" s="249"/>
      <c r="R11" s="252"/>
    </row>
    <row r="12" spans="1:18" ht="101.5" x14ac:dyDescent="0.35">
      <c r="B12" s="253" t="s">
        <v>1661</v>
      </c>
      <c r="C12" s="250" t="s">
        <v>1794</v>
      </c>
      <c r="D12" s="31" t="s">
        <v>1786</v>
      </c>
      <c r="E12" s="31" t="s">
        <v>1795</v>
      </c>
      <c r="F12" s="30">
        <v>0.1</v>
      </c>
      <c r="G12" s="145" t="s">
        <v>1796</v>
      </c>
      <c r="H12" s="146"/>
      <c r="I12" s="146"/>
      <c r="J12" s="146"/>
      <c r="K12" s="146"/>
      <c r="L12" s="146"/>
      <c r="M12" s="146"/>
      <c r="N12" s="96" t="s">
        <v>1797</v>
      </c>
      <c r="O12" s="256"/>
      <c r="P12" s="247">
        <v>0.25</v>
      </c>
      <c r="Q12" s="247" t="s">
        <v>1774</v>
      </c>
      <c r="R12" s="250" t="s">
        <v>1798</v>
      </c>
    </row>
    <row r="13" spans="1:18" ht="116" x14ac:dyDescent="0.35">
      <c r="B13" s="254"/>
      <c r="C13" s="251"/>
      <c r="D13" s="31" t="s">
        <v>1799</v>
      </c>
      <c r="E13" s="31" t="s">
        <v>1800</v>
      </c>
      <c r="F13" s="30">
        <v>0.1</v>
      </c>
      <c r="G13" s="145" t="s">
        <v>1801</v>
      </c>
      <c r="H13" s="147"/>
      <c r="I13" s="147"/>
      <c r="J13" s="147"/>
      <c r="K13" s="147"/>
      <c r="L13" s="147"/>
      <c r="M13" s="147"/>
      <c r="N13" s="96" t="s">
        <v>1797</v>
      </c>
      <c r="O13" s="257"/>
      <c r="P13" s="248"/>
      <c r="Q13" s="248"/>
      <c r="R13" s="251"/>
    </row>
    <row r="14" spans="1:18" ht="145" x14ac:dyDescent="0.35">
      <c r="B14" s="254"/>
      <c r="C14" s="251"/>
      <c r="D14" s="31" t="s">
        <v>1799</v>
      </c>
      <c r="E14" s="31" t="s">
        <v>1802</v>
      </c>
      <c r="F14" s="30">
        <v>0.05</v>
      </c>
      <c r="G14" s="145" t="s">
        <v>1803</v>
      </c>
      <c r="H14" s="146"/>
      <c r="I14" s="146"/>
      <c r="J14" s="146"/>
      <c r="K14" s="146"/>
      <c r="L14" s="146"/>
      <c r="M14" s="146"/>
      <c r="N14" s="96" t="s">
        <v>1797</v>
      </c>
      <c r="O14" s="257"/>
      <c r="P14" s="248"/>
      <c r="Q14" s="248"/>
      <c r="R14" s="251"/>
    </row>
    <row r="15" spans="1:18" ht="116" x14ac:dyDescent="0.35">
      <c r="B15" s="254"/>
      <c r="C15" s="251"/>
      <c r="D15" s="31" t="s">
        <v>1799</v>
      </c>
      <c r="E15" s="31" t="s">
        <v>1804</v>
      </c>
      <c r="F15" s="30">
        <v>0.1</v>
      </c>
      <c r="G15" s="145" t="s">
        <v>1805</v>
      </c>
      <c r="H15" s="146"/>
      <c r="I15" s="146"/>
      <c r="J15" s="146"/>
      <c r="K15" s="146"/>
      <c r="L15" s="146"/>
      <c r="M15" s="146"/>
      <c r="N15" s="96" t="s">
        <v>1797</v>
      </c>
      <c r="O15" s="257"/>
      <c r="P15" s="248"/>
      <c r="Q15" s="248"/>
      <c r="R15" s="251"/>
    </row>
    <row r="16" spans="1:18" ht="149.15" customHeight="1" x14ac:dyDescent="0.35">
      <c r="B16" s="254"/>
      <c r="C16" s="251"/>
      <c r="D16" s="31" t="s">
        <v>1799</v>
      </c>
      <c r="E16" s="31" t="s">
        <v>1806</v>
      </c>
      <c r="F16" s="30">
        <v>0.05</v>
      </c>
      <c r="G16" s="145" t="s">
        <v>1807</v>
      </c>
      <c r="H16" s="146"/>
      <c r="I16" s="146"/>
      <c r="J16" s="146"/>
      <c r="K16" s="146"/>
      <c r="L16" s="146"/>
      <c r="M16" s="146"/>
      <c r="N16" s="96" t="s">
        <v>1797</v>
      </c>
      <c r="O16" s="257"/>
      <c r="P16" s="248"/>
      <c r="Q16" s="248"/>
      <c r="R16" s="251"/>
    </row>
    <row r="17" spans="2:18" ht="116" x14ac:dyDescent="0.35">
      <c r="B17" s="254"/>
      <c r="C17" s="251"/>
      <c r="D17" s="31" t="s">
        <v>1799</v>
      </c>
      <c r="E17" s="31" t="s">
        <v>1808</v>
      </c>
      <c r="F17" s="30">
        <v>0.05</v>
      </c>
      <c r="G17" s="145" t="s">
        <v>1809</v>
      </c>
      <c r="H17" s="146"/>
      <c r="I17" s="146"/>
      <c r="J17" s="146"/>
      <c r="K17" s="146"/>
      <c r="L17" s="146"/>
      <c r="M17" s="146"/>
      <c r="N17" s="96" t="s">
        <v>1797</v>
      </c>
      <c r="O17" s="257"/>
      <c r="P17" s="248"/>
      <c r="Q17" s="248"/>
      <c r="R17" s="251"/>
    </row>
    <row r="18" spans="2:18" ht="29" x14ac:dyDescent="0.35">
      <c r="B18" s="254"/>
      <c r="C18" s="251"/>
      <c r="D18" s="31" t="s">
        <v>1799</v>
      </c>
      <c r="E18" s="31" t="s">
        <v>1810</v>
      </c>
      <c r="F18" s="30"/>
      <c r="G18" s="145" t="s">
        <v>1811</v>
      </c>
      <c r="H18" s="147"/>
      <c r="I18" s="147"/>
      <c r="J18" s="147"/>
      <c r="K18" s="147"/>
      <c r="L18" s="147"/>
      <c r="M18" s="147"/>
      <c r="N18" s="96" t="s">
        <v>1797</v>
      </c>
      <c r="O18" s="257"/>
      <c r="P18" s="248"/>
      <c r="Q18" s="248"/>
      <c r="R18" s="251"/>
    </row>
    <row r="19" spans="2:18" ht="116" x14ac:dyDescent="0.35">
      <c r="B19" s="254"/>
      <c r="C19" s="251"/>
      <c r="D19" s="31" t="s">
        <v>1799</v>
      </c>
      <c r="E19" s="31" t="s">
        <v>1812</v>
      </c>
      <c r="F19" s="30">
        <v>0.15</v>
      </c>
      <c r="G19" s="145" t="s">
        <v>1813</v>
      </c>
      <c r="H19" s="146"/>
      <c r="I19" s="146"/>
      <c r="J19" s="146"/>
      <c r="K19" s="146"/>
      <c r="L19" s="146"/>
      <c r="M19" s="146"/>
      <c r="N19" s="96" t="s">
        <v>1797</v>
      </c>
      <c r="O19" s="257"/>
      <c r="P19" s="248"/>
      <c r="Q19" s="248"/>
      <c r="R19" s="251"/>
    </row>
    <row r="20" spans="2:18" ht="116" x14ac:dyDescent="0.35">
      <c r="B20" s="254"/>
      <c r="C20" s="251"/>
      <c r="D20" s="31" t="s">
        <v>1799</v>
      </c>
      <c r="E20" s="31" t="s">
        <v>1814</v>
      </c>
      <c r="F20" s="30">
        <v>0.15</v>
      </c>
      <c r="G20" s="145" t="s">
        <v>1813</v>
      </c>
      <c r="H20" s="147"/>
      <c r="I20" s="147"/>
      <c r="J20" s="147"/>
      <c r="K20" s="147"/>
      <c r="L20" s="147"/>
      <c r="M20" s="147"/>
      <c r="N20" s="96" t="s">
        <v>1797</v>
      </c>
      <c r="O20" s="257"/>
      <c r="P20" s="248"/>
      <c r="Q20" s="248"/>
      <c r="R20" s="251"/>
    </row>
    <row r="21" spans="2:18" ht="116" x14ac:dyDescent="0.35">
      <c r="B21" s="254"/>
      <c r="C21" s="251"/>
      <c r="D21" s="31" t="s">
        <v>1799</v>
      </c>
      <c r="E21" s="31" t="s">
        <v>1815</v>
      </c>
      <c r="F21" s="30">
        <v>0.05</v>
      </c>
      <c r="G21" s="145" t="s">
        <v>1816</v>
      </c>
      <c r="H21" s="146"/>
      <c r="I21" s="146"/>
      <c r="J21" s="146"/>
      <c r="K21" s="146"/>
      <c r="L21" s="146"/>
      <c r="M21" s="146"/>
      <c r="N21" s="96" t="s">
        <v>1797</v>
      </c>
      <c r="O21" s="257"/>
      <c r="P21" s="248"/>
      <c r="Q21" s="248"/>
      <c r="R21" s="251"/>
    </row>
    <row r="22" spans="2:18" ht="116" x14ac:dyDescent="0.35">
      <c r="B22" s="254"/>
      <c r="C22" s="251"/>
      <c r="D22" s="31" t="s">
        <v>1799</v>
      </c>
      <c r="E22" s="31" t="s">
        <v>1817</v>
      </c>
      <c r="F22" s="30">
        <v>0.05</v>
      </c>
      <c r="G22" s="145" t="s">
        <v>1818</v>
      </c>
      <c r="H22" s="146"/>
      <c r="I22" s="146"/>
      <c r="J22" s="146"/>
      <c r="K22" s="146"/>
      <c r="L22" s="146"/>
      <c r="M22" s="146"/>
      <c r="N22" s="96" t="s">
        <v>1797</v>
      </c>
      <c r="O22" s="257"/>
      <c r="P22" s="248"/>
      <c r="Q22" s="248"/>
      <c r="R22" s="251"/>
    </row>
    <row r="23" spans="2:18" ht="130.5" x14ac:dyDescent="0.35">
      <c r="B23" s="254"/>
      <c r="C23" s="251"/>
      <c r="D23" s="31" t="s">
        <v>1799</v>
      </c>
      <c r="E23" s="31" t="s">
        <v>1819</v>
      </c>
      <c r="F23" s="30">
        <v>0.1</v>
      </c>
      <c r="G23" s="145" t="s">
        <v>1820</v>
      </c>
      <c r="H23" s="146"/>
      <c r="I23" s="146"/>
      <c r="J23" s="146"/>
      <c r="K23" s="146"/>
      <c r="L23" s="146"/>
      <c r="M23" s="146"/>
      <c r="N23" s="96" t="s">
        <v>1797</v>
      </c>
      <c r="O23" s="257"/>
      <c r="P23" s="248"/>
      <c r="Q23" s="248"/>
      <c r="R23" s="251"/>
    </row>
    <row r="24" spans="2:18" ht="116" x14ac:dyDescent="0.35">
      <c r="B24" s="255"/>
      <c r="C24" s="252"/>
      <c r="D24" s="31" t="s">
        <v>1799</v>
      </c>
      <c r="E24" s="31" t="s">
        <v>1821</v>
      </c>
      <c r="F24" s="30">
        <v>0.05</v>
      </c>
      <c r="G24" s="145" t="s">
        <v>1822</v>
      </c>
      <c r="H24" s="146"/>
      <c r="I24" s="146"/>
      <c r="J24" s="146"/>
      <c r="K24" s="146"/>
      <c r="L24" s="146"/>
      <c r="M24" s="146"/>
      <c r="N24" s="96" t="s">
        <v>1797</v>
      </c>
      <c r="O24" s="257"/>
      <c r="P24" s="249"/>
      <c r="Q24" s="249"/>
      <c r="R24" s="252"/>
    </row>
    <row r="25" spans="2:18" ht="29" x14ac:dyDescent="0.35">
      <c r="B25" s="92" t="s">
        <v>1823</v>
      </c>
      <c r="C25" s="92" t="s">
        <v>1824</v>
      </c>
      <c r="D25" s="31"/>
      <c r="E25" s="31"/>
      <c r="F25" s="30"/>
      <c r="G25" s="31"/>
      <c r="H25" s="31"/>
      <c r="I25" s="31"/>
      <c r="J25" s="31"/>
      <c r="K25" s="31"/>
      <c r="L25" s="31"/>
      <c r="M25" s="31"/>
      <c r="N25" s="31"/>
      <c r="O25" s="258"/>
      <c r="P25" s="31"/>
      <c r="Q25" s="92" t="s">
        <v>1825</v>
      </c>
      <c r="R25" s="31"/>
    </row>
    <row r="29" spans="2:18" x14ac:dyDescent="0.35">
      <c r="F29" s="148" t="s">
        <v>1826</v>
      </c>
    </row>
  </sheetData>
  <autoFilter ref="B2:R2" xr:uid="{65BEDBEE-65DC-4E4C-8732-5AD99F1963B9}"/>
  <mergeCells count="23">
    <mergeCell ref="B12:B24"/>
    <mergeCell ref="C12:C24"/>
    <mergeCell ref="O4:O6"/>
    <mergeCell ref="O7:O11"/>
    <mergeCell ref="O12:O25"/>
    <mergeCell ref="D7:D10"/>
    <mergeCell ref="N7:N10"/>
    <mergeCell ref="E7:E10"/>
    <mergeCell ref="F7:F10"/>
    <mergeCell ref="G7:G10"/>
    <mergeCell ref="B4:B6"/>
    <mergeCell ref="C4:C6"/>
    <mergeCell ref="Q4:Q6"/>
    <mergeCell ref="P4:P6"/>
    <mergeCell ref="B7:B11"/>
    <mergeCell ref="C7:C11"/>
    <mergeCell ref="R4:R6"/>
    <mergeCell ref="R7:R11"/>
    <mergeCell ref="P12:P24"/>
    <mergeCell ref="Q12:Q24"/>
    <mergeCell ref="R12:R24"/>
    <mergeCell ref="Q7:Q11"/>
    <mergeCell ref="P7:P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8EC4C-9993-421A-8B9C-060EAC38368E}">
  <dimension ref="A1:X19"/>
  <sheetViews>
    <sheetView topLeftCell="S1" zoomScale="80" zoomScaleNormal="80" workbookViewId="0">
      <selection activeCell="T2" sqref="T2"/>
    </sheetView>
  </sheetViews>
  <sheetFormatPr defaultColWidth="8.7265625" defaultRowHeight="14.5" x14ac:dyDescent="0.35"/>
  <cols>
    <col min="1" max="9" width="8.7265625" style="18"/>
    <col min="10" max="10" width="59.54296875" style="18" customWidth="1"/>
    <col min="11" max="13" width="8.7265625" style="18"/>
    <col min="14" max="14" width="34.81640625" style="18" customWidth="1"/>
    <col min="15" max="15" width="8.7265625" style="18"/>
    <col min="16" max="18" width="40.453125" style="18" customWidth="1"/>
    <col min="19" max="19" width="93.453125" style="18" customWidth="1"/>
    <col min="20" max="20" width="56.81640625" style="18" customWidth="1"/>
    <col min="21" max="16384" width="8.7265625" style="18"/>
  </cols>
  <sheetData>
    <row r="1" spans="1:24" ht="72.5" x14ac:dyDescent="0.35">
      <c r="A1" s="59" t="s">
        <v>1389</v>
      </c>
      <c r="B1" s="59" t="s">
        <v>1390</v>
      </c>
      <c r="C1" s="59" t="s">
        <v>1391</v>
      </c>
      <c r="D1" s="59" t="s">
        <v>7</v>
      </c>
      <c r="E1" s="59" t="s">
        <v>8</v>
      </c>
      <c r="F1" s="59" t="s">
        <v>1210</v>
      </c>
      <c r="G1" s="59" t="s">
        <v>1392</v>
      </c>
      <c r="H1" s="59" t="s">
        <v>1393</v>
      </c>
      <c r="I1" s="59" t="s">
        <v>1394</v>
      </c>
      <c r="J1" s="59" t="s">
        <v>1395</v>
      </c>
      <c r="K1" s="59" t="s">
        <v>20</v>
      </c>
      <c r="L1" s="59" t="s">
        <v>1424</v>
      </c>
      <c r="M1" s="59" t="s">
        <v>1426</v>
      </c>
      <c r="N1" s="59" t="s">
        <v>1427</v>
      </c>
      <c r="O1" s="59" t="s">
        <v>1428</v>
      </c>
      <c r="P1" s="59" t="s">
        <v>1429</v>
      </c>
      <c r="Q1" s="59" t="s">
        <v>1430</v>
      </c>
      <c r="R1" s="59" t="s">
        <v>1431</v>
      </c>
      <c r="S1" s="59" t="s">
        <v>1827</v>
      </c>
      <c r="T1" s="59" t="s">
        <v>1828</v>
      </c>
      <c r="U1" s="59" t="s">
        <v>1829</v>
      </c>
      <c r="V1" s="59" t="s">
        <v>1830</v>
      </c>
      <c r="W1" s="59" t="s">
        <v>1768</v>
      </c>
      <c r="X1" s="18" t="s">
        <v>1831</v>
      </c>
    </row>
    <row r="2" spans="1:24" ht="232" x14ac:dyDescent="0.35">
      <c r="A2" s="18">
        <v>1</v>
      </c>
      <c r="B2" s="18" t="s">
        <v>1451</v>
      </c>
      <c r="C2" s="18" t="s">
        <v>1452</v>
      </c>
      <c r="D2" s="18" t="s">
        <v>1224</v>
      </c>
      <c r="E2" s="18" t="s">
        <v>1453</v>
      </c>
      <c r="G2" s="18" t="s">
        <v>1274</v>
      </c>
      <c r="H2" s="18" t="s">
        <v>1292</v>
      </c>
      <c r="J2" s="18" t="s">
        <v>1462</v>
      </c>
      <c r="K2" s="18" t="s">
        <v>1228</v>
      </c>
      <c r="L2" s="18" t="s">
        <v>1517</v>
      </c>
      <c r="M2" s="18" t="s">
        <v>1493</v>
      </c>
      <c r="N2" s="18" t="s">
        <v>1518</v>
      </c>
      <c r="O2" s="18" t="s">
        <v>1584</v>
      </c>
      <c r="P2" s="18" t="s">
        <v>1458</v>
      </c>
      <c r="Q2" s="18" t="s">
        <v>1519</v>
      </c>
      <c r="R2" s="18" t="s">
        <v>1520</v>
      </c>
      <c r="S2" s="18" t="s">
        <v>1460</v>
      </c>
      <c r="T2" s="18" t="s">
        <v>1523</v>
      </c>
      <c r="V2" s="18" t="s">
        <v>1521</v>
      </c>
      <c r="W2" s="18" t="s">
        <v>1832</v>
      </c>
    </row>
    <row r="3" spans="1:24" ht="232" x14ac:dyDescent="0.35">
      <c r="A3" s="18">
        <v>1</v>
      </c>
      <c r="B3" s="18" t="s">
        <v>1451</v>
      </c>
      <c r="C3" s="18" t="s">
        <v>1452</v>
      </c>
      <c r="D3" s="18" t="s">
        <v>1224</v>
      </c>
      <c r="E3" s="18" t="s">
        <v>1453</v>
      </c>
      <c r="G3" s="18" t="s">
        <v>1274</v>
      </c>
      <c r="H3" s="18" t="s">
        <v>1292</v>
      </c>
      <c r="J3" s="18" t="s">
        <v>1462</v>
      </c>
      <c r="K3" s="18" t="s">
        <v>1228</v>
      </c>
      <c r="L3" s="18" t="s">
        <v>1524</v>
      </c>
      <c r="M3" s="18" t="s">
        <v>1493</v>
      </c>
      <c r="N3" s="18" t="s">
        <v>1525</v>
      </c>
      <c r="O3" s="18" t="s">
        <v>1584</v>
      </c>
      <c r="P3" s="18" t="s">
        <v>1458</v>
      </c>
      <c r="Q3" s="18" t="s">
        <v>1519</v>
      </c>
      <c r="R3" s="18" t="s">
        <v>1520</v>
      </c>
      <c r="S3" s="18" t="s">
        <v>1460</v>
      </c>
      <c r="T3" s="18" t="s">
        <v>1527</v>
      </c>
      <c r="V3" s="18" t="s">
        <v>1521</v>
      </c>
      <c r="W3" s="18" t="s">
        <v>1833</v>
      </c>
    </row>
    <row r="4" spans="1:24" ht="217.5" x14ac:dyDescent="0.35">
      <c r="A4" s="18">
        <v>2</v>
      </c>
      <c r="B4" s="18" t="s">
        <v>1451</v>
      </c>
      <c r="C4" s="18" t="s">
        <v>1452</v>
      </c>
      <c r="D4" s="18" t="s">
        <v>1224</v>
      </c>
      <c r="E4" s="18" t="s">
        <v>1453</v>
      </c>
      <c r="G4" s="18" t="s">
        <v>1274</v>
      </c>
      <c r="H4" s="18" t="s">
        <v>1289</v>
      </c>
      <c r="J4" s="18" t="s">
        <v>1316</v>
      </c>
      <c r="K4" s="18" t="s">
        <v>1288</v>
      </c>
      <c r="L4" s="18" t="s">
        <v>1506</v>
      </c>
      <c r="M4" s="18" t="s">
        <v>1493</v>
      </c>
      <c r="N4" s="18" t="s">
        <v>1540</v>
      </c>
      <c r="O4" s="18" t="s">
        <v>1521</v>
      </c>
      <c r="P4" s="18" t="s">
        <v>1458</v>
      </c>
      <c r="Q4" s="18" t="s">
        <v>1446</v>
      </c>
      <c r="R4" s="18" t="s">
        <v>1541</v>
      </c>
      <c r="S4" s="18" t="s">
        <v>1537</v>
      </c>
      <c r="T4" s="18" t="s">
        <v>1543</v>
      </c>
      <c r="V4" s="18" t="s">
        <v>1521</v>
      </c>
      <c r="W4" s="18" t="s">
        <v>1832</v>
      </c>
    </row>
    <row r="5" spans="1:24" ht="217.5" x14ac:dyDescent="0.35">
      <c r="A5" s="18">
        <v>2</v>
      </c>
      <c r="B5" s="18" t="s">
        <v>1451</v>
      </c>
      <c r="C5" s="18" t="s">
        <v>1452</v>
      </c>
      <c r="D5" s="18" t="s">
        <v>1224</v>
      </c>
      <c r="E5" s="18" t="s">
        <v>1453</v>
      </c>
      <c r="G5" s="18" t="s">
        <v>1274</v>
      </c>
      <c r="H5" s="18" t="s">
        <v>1289</v>
      </c>
      <c r="J5" s="18" t="s">
        <v>1316</v>
      </c>
      <c r="K5" s="18" t="s">
        <v>1288</v>
      </c>
      <c r="L5" s="18" t="s">
        <v>1514</v>
      </c>
      <c r="M5" s="18" t="s">
        <v>1493</v>
      </c>
      <c r="N5" s="18" t="s">
        <v>1546</v>
      </c>
      <c r="O5" s="18" t="s">
        <v>1521</v>
      </c>
      <c r="P5" s="18" t="s">
        <v>1458</v>
      </c>
      <c r="Q5" s="18" t="s">
        <v>1446</v>
      </c>
      <c r="R5" s="18" t="s">
        <v>1547</v>
      </c>
      <c r="S5" s="18" t="s">
        <v>1537</v>
      </c>
      <c r="T5" s="18" t="s">
        <v>1549</v>
      </c>
      <c r="V5" s="18" t="s">
        <v>1521</v>
      </c>
      <c r="W5" s="18" t="s">
        <v>1832</v>
      </c>
    </row>
    <row r="6" spans="1:24" ht="217.5" x14ac:dyDescent="0.35">
      <c r="A6" s="18">
        <v>4</v>
      </c>
      <c r="B6" s="18" t="s">
        <v>1451</v>
      </c>
      <c r="C6" s="18" t="s">
        <v>1452</v>
      </c>
      <c r="D6" s="18" t="s">
        <v>1224</v>
      </c>
      <c r="E6" s="18" t="s">
        <v>1453</v>
      </c>
      <c r="G6" s="18" t="s">
        <v>1274</v>
      </c>
      <c r="H6" s="18" t="s">
        <v>1285</v>
      </c>
      <c r="J6" s="18" t="s">
        <v>1311</v>
      </c>
      <c r="K6" s="18" t="s">
        <v>1290</v>
      </c>
      <c r="L6" s="18" t="s">
        <v>1504</v>
      </c>
      <c r="M6" s="18" t="s">
        <v>1493</v>
      </c>
      <c r="N6" s="18" t="s">
        <v>1565</v>
      </c>
      <c r="O6" s="18" t="s">
        <v>327</v>
      </c>
      <c r="P6" s="18" t="s">
        <v>1458</v>
      </c>
      <c r="Q6" s="18" t="s">
        <v>1448</v>
      </c>
      <c r="R6" s="18" t="s">
        <v>1566</v>
      </c>
      <c r="S6" s="18" t="s">
        <v>1560</v>
      </c>
      <c r="T6" s="18" t="s">
        <v>1567</v>
      </c>
      <c r="V6" s="18" t="s">
        <v>1521</v>
      </c>
      <c r="W6" s="18" t="s">
        <v>1833</v>
      </c>
    </row>
    <row r="7" spans="1:24" ht="217.5" x14ac:dyDescent="0.35">
      <c r="A7" s="18">
        <v>4</v>
      </c>
      <c r="B7" s="18" t="s">
        <v>1451</v>
      </c>
      <c r="C7" s="18" t="s">
        <v>1452</v>
      </c>
      <c r="D7" s="18" t="s">
        <v>1224</v>
      </c>
      <c r="E7" s="18" t="s">
        <v>1453</v>
      </c>
      <c r="G7" s="18" t="s">
        <v>1274</v>
      </c>
      <c r="H7" s="18" t="s">
        <v>1285</v>
      </c>
      <c r="J7" s="18" t="s">
        <v>1311</v>
      </c>
      <c r="K7" s="18" t="s">
        <v>1290</v>
      </c>
      <c r="L7" s="18" t="s">
        <v>1505</v>
      </c>
      <c r="M7" s="18" t="s">
        <v>1493</v>
      </c>
      <c r="N7" s="18" t="s">
        <v>1568</v>
      </c>
      <c r="O7" s="18" t="s">
        <v>327</v>
      </c>
      <c r="P7" s="18" t="s">
        <v>1458</v>
      </c>
      <c r="Q7" s="18" t="s">
        <v>1448</v>
      </c>
      <c r="R7" s="18" t="s">
        <v>1569</v>
      </c>
      <c r="S7" s="18" t="s">
        <v>1560</v>
      </c>
      <c r="V7" s="18" t="s">
        <v>1521</v>
      </c>
      <c r="W7" s="18" t="s">
        <v>1833</v>
      </c>
    </row>
    <row r="8" spans="1:24" ht="232" x14ac:dyDescent="0.35">
      <c r="A8" s="18">
        <v>6</v>
      </c>
      <c r="B8" s="18" t="s">
        <v>1451</v>
      </c>
      <c r="C8" s="18" t="s">
        <v>1452</v>
      </c>
      <c r="D8" s="18" t="s">
        <v>1224</v>
      </c>
      <c r="E8" s="18" t="s">
        <v>1453</v>
      </c>
      <c r="G8" s="18" t="s">
        <v>1274</v>
      </c>
      <c r="H8" s="18" t="s">
        <v>1284</v>
      </c>
      <c r="J8" s="18" t="s">
        <v>1579</v>
      </c>
      <c r="K8" s="18" t="s">
        <v>1260</v>
      </c>
      <c r="L8" s="18" t="s">
        <v>1463</v>
      </c>
      <c r="M8" s="18" t="s">
        <v>1456</v>
      </c>
      <c r="N8" s="18" t="s">
        <v>1581</v>
      </c>
      <c r="O8" s="18" t="s">
        <v>1521</v>
      </c>
      <c r="P8" s="18" t="s">
        <v>1458</v>
      </c>
      <c r="Q8" s="18" t="s">
        <v>1582</v>
      </c>
      <c r="R8" s="18" t="s">
        <v>1583</v>
      </c>
      <c r="S8" s="18" t="s">
        <v>1586</v>
      </c>
      <c r="T8" s="18" t="s">
        <v>1587</v>
      </c>
      <c r="V8" s="18" t="s">
        <v>1584</v>
      </c>
      <c r="W8" s="18" t="s">
        <v>1834</v>
      </c>
    </row>
    <row r="9" spans="1:24" ht="232" x14ac:dyDescent="0.35">
      <c r="A9" s="18">
        <v>6</v>
      </c>
      <c r="B9" s="18" t="s">
        <v>1451</v>
      </c>
      <c r="C9" s="18" t="s">
        <v>1452</v>
      </c>
      <c r="D9" s="18" t="s">
        <v>1224</v>
      </c>
      <c r="E9" s="18" t="s">
        <v>1453</v>
      </c>
      <c r="G9" s="18" t="s">
        <v>1274</v>
      </c>
      <c r="H9" s="18" t="s">
        <v>1284</v>
      </c>
      <c r="J9" s="18" t="s">
        <v>1579</v>
      </c>
      <c r="K9" s="18" t="s">
        <v>1260</v>
      </c>
      <c r="L9" s="18" t="s">
        <v>1465</v>
      </c>
      <c r="M9" s="18" t="s">
        <v>1456</v>
      </c>
      <c r="N9" s="18" t="s">
        <v>1588</v>
      </c>
      <c r="O9" s="18" t="s">
        <v>327</v>
      </c>
      <c r="P9" s="18" t="s">
        <v>1458</v>
      </c>
      <c r="Q9" s="18" t="s">
        <v>1582</v>
      </c>
      <c r="R9" s="18" t="s">
        <v>1583</v>
      </c>
      <c r="S9" s="18" t="s">
        <v>1586</v>
      </c>
      <c r="V9" s="18" t="s">
        <v>1584</v>
      </c>
      <c r="W9" s="18" t="s">
        <v>1834</v>
      </c>
    </row>
    <row r="10" spans="1:24" ht="232" x14ac:dyDescent="0.35">
      <c r="A10" s="18">
        <v>6</v>
      </c>
      <c r="B10" s="18" t="s">
        <v>1451</v>
      </c>
      <c r="C10" s="18" t="s">
        <v>1452</v>
      </c>
      <c r="D10" s="18" t="s">
        <v>1224</v>
      </c>
      <c r="E10" s="18" t="s">
        <v>1453</v>
      </c>
      <c r="G10" s="18" t="s">
        <v>1274</v>
      </c>
      <c r="H10" s="18" t="s">
        <v>1284</v>
      </c>
      <c r="J10" s="18" t="s">
        <v>1579</v>
      </c>
      <c r="K10" s="18" t="s">
        <v>1260</v>
      </c>
      <c r="L10" s="18" t="s">
        <v>1499</v>
      </c>
      <c r="M10" s="18" t="s">
        <v>1493</v>
      </c>
      <c r="N10" s="18" t="s">
        <v>1590</v>
      </c>
      <c r="O10" s="18" t="s">
        <v>327</v>
      </c>
      <c r="P10" s="18" t="s">
        <v>1458</v>
      </c>
      <c r="Q10" s="18" t="s">
        <v>1446</v>
      </c>
      <c r="R10" s="18" t="s">
        <v>1591</v>
      </c>
      <c r="S10" s="18" t="s">
        <v>1586</v>
      </c>
      <c r="V10" s="18" t="s">
        <v>327</v>
      </c>
      <c r="W10" s="18" t="s">
        <v>1835</v>
      </c>
    </row>
    <row r="11" spans="1:24" ht="232" x14ac:dyDescent="0.35">
      <c r="A11" s="18">
        <v>6</v>
      </c>
      <c r="B11" s="18" t="s">
        <v>1451</v>
      </c>
      <c r="C11" s="18" t="s">
        <v>1452</v>
      </c>
      <c r="D11" s="18" t="s">
        <v>1224</v>
      </c>
      <c r="E11" s="18" t="s">
        <v>1453</v>
      </c>
      <c r="G11" s="18" t="s">
        <v>1274</v>
      </c>
      <c r="H11" s="18" t="s">
        <v>1284</v>
      </c>
      <c r="J11" s="18" t="s">
        <v>1579</v>
      </c>
      <c r="K11" s="18" t="s">
        <v>1260</v>
      </c>
      <c r="L11" s="18" t="s">
        <v>1512</v>
      </c>
      <c r="M11" s="18" t="s">
        <v>1493</v>
      </c>
      <c r="N11" s="18" t="s">
        <v>1595</v>
      </c>
      <c r="O11" s="18" t="s">
        <v>327</v>
      </c>
      <c r="P11" s="18" t="s">
        <v>1458</v>
      </c>
      <c r="Q11" s="18" t="s">
        <v>1449</v>
      </c>
      <c r="R11" s="18" t="s">
        <v>1596</v>
      </c>
      <c r="S11" s="18" t="s">
        <v>1586</v>
      </c>
      <c r="V11" s="18" t="s">
        <v>1521</v>
      </c>
      <c r="W11" s="18" t="s">
        <v>1833</v>
      </c>
    </row>
    <row r="12" spans="1:24" ht="275.5" x14ac:dyDescent="0.35">
      <c r="A12" s="18">
        <v>7</v>
      </c>
      <c r="B12" s="18" t="s">
        <v>1451</v>
      </c>
      <c r="C12" s="18" t="s">
        <v>1452</v>
      </c>
      <c r="D12" s="18" t="s">
        <v>1224</v>
      </c>
      <c r="E12" s="18" t="s">
        <v>1453</v>
      </c>
      <c r="G12" s="18" t="s">
        <v>1274</v>
      </c>
      <c r="H12" s="18" t="s">
        <v>1278</v>
      </c>
      <c r="J12" s="18" t="s">
        <v>1331</v>
      </c>
      <c r="K12" s="18" t="s">
        <v>1277</v>
      </c>
      <c r="L12" s="18" t="s">
        <v>1454</v>
      </c>
      <c r="M12" s="18" t="s">
        <v>1456</v>
      </c>
      <c r="N12" s="18" t="s">
        <v>1601</v>
      </c>
      <c r="O12" s="18" t="s">
        <v>327</v>
      </c>
      <c r="P12" s="18" t="s">
        <v>1458</v>
      </c>
      <c r="Q12" s="18" t="s">
        <v>1582</v>
      </c>
      <c r="R12" s="18" t="s">
        <v>1583</v>
      </c>
      <c r="S12" s="18" t="s">
        <v>1603</v>
      </c>
      <c r="T12" s="18" t="s">
        <v>1604</v>
      </c>
      <c r="V12" s="18" t="s">
        <v>1584</v>
      </c>
      <c r="W12" s="18" t="s">
        <v>1834</v>
      </c>
    </row>
    <row r="13" spans="1:24" ht="275.5" x14ac:dyDescent="0.35">
      <c r="A13" s="18">
        <v>7</v>
      </c>
      <c r="B13" s="18" t="s">
        <v>1451</v>
      </c>
      <c r="C13" s="18" t="s">
        <v>1452</v>
      </c>
      <c r="D13" s="18" t="s">
        <v>1224</v>
      </c>
      <c r="E13" s="18" t="s">
        <v>1453</v>
      </c>
      <c r="G13" s="18" t="s">
        <v>1274</v>
      </c>
      <c r="H13" s="18" t="s">
        <v>1278</v>
      </c>
      <c r="J13" s="18" t="s">
        <v>1331</v>
      </c>
      <c r="K13" s="18" t="s">
        <v>1277</v>
      </c>
      <c r="L13" s="18" t="s">
        <v>1475</v>
      </c>
      <c r="M13" s="18" t="s">
        <v>1456</v>
      </c>
      <c r="N13" s="18" t="s">
        <v>1606</v>
      </c>
      <c r="O13" s="18" t="s">
        <v>327</v>
      </c>
      <c r="P13" s="18" t="s">
        <v>1458</v>
      </c>
      <c r="Q13" s="18" t="s">
        <v>1446</v>
      </c>
      <c r="R13" s="18" t="s">
        <v>1607</v>
      </c>
      <c r="S13" s="18" t="s">
        <v>1603</v>
      </c>
      <c r="V13" s="18" t="s">
        <v>327</v>
      </c>
      <c r="W13" s="18" t="s">
        <v>1835</v>
      </c>
    </row>
    <row r="14" spans="1:24" ht="275.5" x14ac:dyDescent="0.35">
      <c r="A14" s="18">
        <v>7</v>
      </c>
      <c r="B14" s="18" t="s">
        <v>1451</v>
      </c>
      <c r="C14" s="18" t="s">
        <v>1452</v>
      </c>
      <c r="D14" s="18" t="s">
        <v>1224</v>
      </c>
      <c r="E14" s="18" t="s">
        <v>1453</v>
      </c>
      <c r="G14" s="18" t="s">
        <v>1274</v>
      </c>
      <c r="H14" s="18" t="s">
        <v>1278</v>
      </c>
      <c r="J14" s="18" t="s">
        <v>1331</v>
      </c>
      <c r="K14" s="18" t="s">
        <v>1277</v>
      </c>
      <c r="L14" s="18" t="s">
        <v>1506</v>
      </c>
      <c r="M14" s="18" t="s">
        <v>1493</v>
      </c>
      <c r="N14" s="18" t="s">
        <v>1609</v>
      </c>
      <c r="O14" s="18" t="s">
        <v>327</v>
      </c>
      <c r="P14" s="18" t="s">
        <v>1458</v>
      </c>
      <c r="Q14" s="18" t="s">
        <v>1446</v>
      </c>
      <c r="R14" s="18" t="s">
        <v>1541</v>
      </c>
      <c r="S14" s="18" t="s">
        <v>1603</v>
      </c>
      <c r="V14" s="18" t="s">
        <v>327</v>
      </c>
      <c r="W14" s="18" t="s">
        <v>1835</v>
      </c>
    </row>
    <row r="15" spans="1:24" ht="275.5" x14ac:dyDescent="0.35">
      <c r="A15" s="18">
        <v>7</v>
      </c>
      <c r="B15" s="18" t="s">
        <v>1451</v>
      </c>
      <c r="C15" s="18" t="s">
        <v>1452</v>
      </c>
      <c r="D15" s="18" t="s">
        <v>1224</v>
      </c>
      <c r="E15" s="18" t="s">
        <v>1453</v>
      </c>
      <c r="G15" s="18" t="s">
        <v>1274</v>
      </c>
      <c r="H15" s="18" t="s">
        <v>1278</v>
      </c>
      <c r="J15" s="18" t="s">
        <v>1331</v>
      </c>
      <c r="K15" s="18" t="s">
        <v>1277</v>
      </c>
      <c r="L15" s="18" t="s">
        <v>1508</v>
      </c>
      <c r="M15" s="18" t="s">
        <v>1493</v>
      </c>
      <c r="N15" s="18" t="s">
        <v>1610</v>
      </c>
      <c r="O15" s="18" t="s">
        <v>327</v>
      </c>
      <c r="P15" s="18" t="s">
        <v>1458</v>
      </c>
      <c r="Q15" s="18" t="s">
        <v>1446</v>
      </c>
      <c r="R15" s="18" t="s">
        <v>1611</v>
      </c>
      <c r="S15" s="18" t="s">
        <v>1603</v>
      </c>
      <c r="V15" s="18" t="s">
        <v>327</v>
      </c>
      <c r="W15" s="18" t="s">
        <v>1835</v>
      </c>
    </row>
    <row r="16" spans="1:24" ht="275.5" x14ac:dyDescent="0.35">
      <c r="A16" s="18">
        <v>7</v>
      </c>
      <c r="B16" s="18" t="s">
        <v>1451</v>
      </c>
      <c r="C16" s="18" t="s">
        <v>1452</v>
      </c>
      <c r="D16" s="18" t="s">
        <v>1224</v>
      </c>
      <c r="E16" s="18" t="s">
        <v>1453</v>
      </c>
      <c r="G16" s="18" t="s">
        <v>1274</v>
      </c>
      <c r="H16" s="18" t="s">
        <v>1278</v>
      </c>
      <c r="J16" s="18" t="s">
        <v>1331</v>
      </c>
      <c r="K16" s="18" t="s">
        <v>1277</v>
      </c>
      <c r="L16" s="18" t="s">
        <v>1510</v>
      </c>
      <c r="M16" s="18" t="s">
        <v>1493</v>
      </c>
      <c r="N16" s="18" t="s">
        <v>1612</v>
      </c>
      <c r="O16" s="18" t="s">
        <v>327</v>
      </c>
      <c r="P16" s="18" t="s">
        <v>1458</v>
      </c>
      <c r="Q16" s="18" t="s">
        <v>1446</v>
      </c>
      <c r="R16" s="18" t="s">
        <v>1611</v>
      </c>
      <c r="S16" s="18" t="s">
        <v>1603</v>
      </c>
      <c r="V16" s="18" t="s">
        <v>327</v>
      </c>
      <c r="W16" s="18" t="s">
        <v>1835</v>
      </c>
    </row>
    <row r="17" spans="1:23" ht="275.5" x14ac:dyDescent="0.35">
      <c r="A17" s="18">
        <v>7</v>
      </c>
      <c r="B17" s="18" t="s">
        <v>1451</v>
      </c>
      <c r="C17" s="18" t="s">
        <v>1452</v>
      </c>
      <c r="D17" s="18" t="s">
        <v>1224</v>
      </c>
      <c r="E17" s="18" t="s">
        <v>1453</v>
      </c>
      <c r="G17" s="18" t="s">
        <v>1274</v>
      </c>
      <c r="H17" s="18" t="s">
        <v>1278</v>
      </c>
      <c r="J17" s="18" t="s">
        <v>1331</v>
      </c>
      <c r="K17" s="18" t="s">
        <v>1277</v>
      </c>
      <c r="L17" s="18" t="s">
        <v>1511</v>
      </c>
      <c r="M17" s="18" t="s">
        <v>1493</v>
      </c>
      <c r="N17" s="18" t="s">
        <v>1613</v>
      </c>
      <c r="O17" s="18" t="s">
        <v>327</v>
      </c>
      <c r="P17" s="18" t="s">
        <v>1458</v>
      </c>
      <c r="Q17" s="18" t="s">
        <v>1446</v>
      </c>
      <c r="R17" s="18" t="s">
        <v>1611</v>
      </c>
      <c r="S17" s="18" t="s">
        <v>1603</v>
      </c>
      <c r="V17" s="18" t="s">
        <v>327</v>
      </c>
      <c r="W17" s="18" t="s">
        <v>1835</v>
      </c>
    </row>
    <row r="18" spans="1:23" ht="275.5" x14ac:dyDescent="0.35">
      <c r="A18" s="18">
        <v>7</v>
      </c>
      <c r="B18" s="18" t="s">
        <v>1451</v>
      </c>
      <c r="C18" s="18" t="s">
        <v>1452</v>
      </c>
      <c r="D18" s="18" t="s">
        <v>1224</v>
      </c>
      <c r="E18" s="18" t="s">
        <v>1453</v>
      </c>
      <c r="G18" s="18" t="s">
        <v>1274</v>
      </c>
      <c r="H18" s="18" t="s">
        <v>1278</v>
      </c>
      <c r="J18" s="18" t="s">
        <v>1331</v>
      </c>
      <c r="K18" s="18" t="s">
        <v>1277</v>
      </c>
      <c r="L18" s="18" t="s">
        <v>1512</v>
      </c>
      <c r="M18" s="18" t="s">
        <v>1493</v>
      </c>
      <c r="N18" s="18" t="s">
        <v>1614</v>
      </c>
      <c r="O18" s="18" t="s">
        <v>327</v>
      </c>
      <c r="P18" s="18" t="s">
        <v>1458</v>
      </c>
      <c r="Q18" s="18" t="s">
        <v>1449</v>
      </c>
      <c r="R18" s="18" t="s">
        <v>1596</v>
      </c>
      <c r="S18" s="18" t="s">
        <v>1603</v>
      </c>
      <c r="V18" s="18" t="s">
        <v>1521</v>
      </c>
      <c r="W18" s="18" t="s">
        <v>1833</v>
      </c>
    </row>
    <row r="19" spans="1:23" ht="275.5" x14ac:dyDescent="0.35">
      <c r="A19" s="18">
        <v>7</v>
      </c>
      <c r="B19" s="18" t="s">
        <v>1451</v>
      </c>
      <c r="C19" s="18" t="s">
        <v>1452</v>
      </c>
      <c r="D19" s="18" t="s">
        <v>1224</v>
      </c>
      <c r="E19" s="18" t="s">
        <v>1453</v>
      </c>
      <c r="G19" s="18" t="s">
        <v>1274</v>
      </c>
      <c r="H19" s="18" t="s">
        <v>1278</v>
      </c>
      <c r="J19" s="18" t="s">
        <v>1331</v>
      </c>
      <c r="K19" s="18" t="s">
        <v>1277</v>
      </c>
      <c r="L19" s="18" t="s">
        <v>1514</v>
      </c>
      <c r="M19" s="18" t="s">
        <v>1493</v>
      </c>
      <c r="N19" s="18" t="s">
        <v>1615</v>
      </c>
      <c r="O19" s="18" t="s">
        <v>327</v>
      </c>
      <c r="P19" s="18" t="s">
        <v>1458</v>
      </c>
      <c r="Q19" s="18" t="s">
        <v>1446</v>
      </c>
      <c r="R19" s="18" t="s">
        <v>1547</v>
      </c>
      <c r="S19" s="18" t="s">
        <v>1603</v>
      </c>
      <c r="V19" s="18" t="s">
        <v>327</v>
      </c>
      <c r="W19" s="18" t="s">
        <v>1835</v>
      </c>
    </row>
  </sheetData>
  <autoFilter ref="A1:X1" xr:uid="{E7C8EC4C-9993-421A-8B9C-060EAC38368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4C421-FD26-4C92-86E2-A0B3E4748EA7}">
  <sheetPr filterMode="1"/>
  <dimension ref="A1:I55"/>
  <sheetViews>
    <sheetView zoomScale="90" zoomScaleNormal="90" workbookViewId="0"/>
  </sheetViews>
  <sheetFormatPr defaultColWidth="8.7265625" defaultRowHeight="14.5" x14ac:dyDescent="0.35"/>
  <cols>
    <col min="1" max="1" width="8.54296875" style="130" customWidth="1"/>
    <col min="2" max="2" width="16.453125" style="130" customWidth="1"/>
    <col min="3" max="3" width="17" style="130" customWidth="1"/>
    <col min="4" max="4" width="60.1796875" style="130" customWidth="1"/>
    <col min="5" max="5" width="6.54296875" style="130" customWidth="1"/>
    <col min="6" max="6" width="36.453125" style="130" customWidth="1"/>
    <col min="7" max="7" width="6.7265625" style="130" customWidth="1"/>
    <col min="8" max="8" width="42.453125" style="32" customWidth="1"/>
    <col min="9" max="9" width="9.7265625" style="32" customWidth="1"/>
    <col min="10" max="16384" width="8.7265625" style="130"/>
  </cols>
  <sheetData>
    <row r="1" spans="1:9" x14ac:dyDescent="0.35">
      <c r="E1" s="262" t="s">
        <v>1836</v>
      </c>
      <c r="F1" s="262"/>
      <c r="G1" s="263" t="s">
        <v>1837</v>
      </c>
      <c r="H1" s="263"/>
    </row>
    <row r="2" spans="1:9" ht="27" x14ac:dyDescent="0.35">
      <c r="A2" s="131" t="s">
        <v>1389</v>
      </c>
      <c r="B2" s="131" t="s">
        <v>1838</v>
      </c>
      <c r="C2" s="131" t="s">
        <v>1393</v>
      </c>
      <c r="D2" s="131" t="s">
        <v>1839</v>
      </c>
      <c r="E2" s="132" t="s">
        <v>1840</v>
      </c>
      <c r="F2" s="132" t="s">
        <v>1841</v>
      </c>
      <c r="G2" s="133" t="s">
        <v>1840</v>
      </c>
      <c r="H2" s="133" t="s">
        <v>1841</v>
      </c>
      <c r="I2" s="32" t="s">
        <v>1831</v>
      </c>
    </row>
    <row r="3" spans="1:9" ht="217.5" hidden="1" x14ac:dyDescent="0.35">
      <c r="A3" s="150">
        <v>1</v>
      </c>
      <c r="B3" s="150" t="s">
        <v>1454</v>
      </c>
      <c r="C3" s="150" t="s">
        <v>1292</v>
      </c>
      <c r="D3" s="134" t="s">
        <v>1842</v>
      </c>
      <c r="E3" s="151" t="s">
        <v>1521</v>
      </c>
      <c r="F3" s="151" t="s">
        <v>1843</v>
      </c>
      <c r="G3" s="135" t="s">
        <v>1521</v>
      </c>
      <c r="H3" s="136" t="s">
        <v>1844</v>
      </c>
      <c r="I3" s="32" t="str">
        <f>CONCATENATE(A3,"_",B3)</f>
        <v>1_Regional Spend Addressability</v>
      </c>
    </row>
    <row r="4" spans="1:9" ht="188.5" hidden="1" x14ac:dyDescent="0.35">
      <c r="A4" s="150">
        <v>1</v>
      </c>
      <c r="B4" s="150" t="s">
        <v>1467</v>
      </c>
      <c r="C4" s="150" t="s">
        <v>1845</v>
      </c>
      <c r="D4" s="134" t="s">
        <v>1846</v>
      </c>
      <c r="E4" s="151" t="s">
        <v>1521</v>
      </c>
      <c r="F4" s="151" t="s">
        <v>1847</v>
      </c>
      <c r="G4" s="135" t="s">
        <v>1521</v>
      </c>
      <c r="H4" s="136" t="s">
        <v>1848</v>
      </c>
      <c r="I4" s="32" t="str">
        <f t="shared" ref="I4:I55" si="0">CONCATENATE(A4,"_",B4)</f>
        <v>1_Tail Spend Consolidation Opportunity - Volume &amp; Administrative Savings</v>
      </c>
    </row>
    <row r="5" spans="1:9" ht="203" hidden="1" x14ac:dyDescent="0.35">
      <c r="A5" s="150">
        <v>1</v>
      </c>
      <c r="B5" s="150" t="s">
        <v>1471</v>
      </c>
      <c r="C5" s="150" t="s">
        <v>1845</v>
      </c>
      <c r="D5" s="134" t="s">
        <v>1849</v>
      </c>
      <c r="E5" s="151" t="s">
        <v>1521</v>
      </c>
      <c r="F5" s="151" t="s">
        <v>1850</v>
      </c>
      <c r="G5" s="135" t="s">
        <v>1521</v>
      </c>
      <c r="H5" s="136" t="s">
        <v>1851</v>
      </c>
      <c r="I5" s="32" t="str">
        <f t="shared" si="0"/>
        <v>1_Volume Leverage from Fragmented Category Spend</v>
      </c>
    </row>
    <row r="6" spans="1:9" ht="87" hidden="1" x14ac:dyDescent="0.35">
      <c r="A6" s="150">
        <v>1</v>
      </c>
      <c r="B6" s="150" t="s">
        <v>1477</v>
      </c>
      <c r="C6" s="150" t="s">
        <v>1845</v>
      </c>
      <c r="D6" s="89"/>
      <c r="E6" s="151" t="s">
        <v>327</v>
      </c>
      <c r="F6" s="151" t="s">
        <v>1852</v>
      </c>
      <c r="G6" s="135" t="s">
        <v>1584</v>
      </c>
      <c r="H6" s="136" t="s">
        <v>1853</v>
      </c>
      <c r="I6" s="32" t="str">
        <f t="shared" si="0"/>
        <v xml:space="preserve">1_Price Variance for Identical Items/SKUs </v>
      </c>
    </row>
    <row r="7" spans="1:9" ht="110.25" hidden="1" customHeight="1" x14ac:dyDescent="0.35">
      <c r="A7" s="150">
        <v>1</v>
      </c>
      <c r="B7" s="150" t="s">
        <v>1483</v>
      </c>
      <c r="C7" s="150" t="s">
        <v>1845</v>
      </c>
      <c r="D7" s="134" t="s">
        <v>1854</v>
      </c>
      <c r="E7" s="151" t="s">
        <v>1584</v>
      </c>
      <c r="F7" s="151" t="s">
        <v>1855</v>
      </c>
      <c r="G7" s="135" t="s">
        <v>1584</v>
      </c>
      <c r="H7" s="136" t="s">
        <v>1856</v>
      </c>
      <c r="I7" s="32" t="str">
        <f t="shared" si="0"/>
        <v>1_Average Spend per Supplier vs. Industry Benchmarks/Internal Targets</v>
      </c>
    </row>
    <row r="8" spans="1:9" ht="203" hidden="1" x14ac:dyDescent="0.35">
      <c r="A8" s="150">
        <v>1</v>
      </c>
      <c r="B8" s="150" t="s">
        <v>1496</v>
      </c>
      <c r="C8" s="150" t="s">
        <v>1845</v>
      </c>
      <c r="D8" s="134" t="s">
        <v>1857</v>
      </c>
      <c r="E8" s="151" t="s">
        <v>1584</v>
      </c>
      <c r="F8" s="151" t="s">
        <v>1858</v>
      </c>
      <c r="G8" s="135" t="s">
        <v>1584</v>
      </c>
      <c r="H8" s="136" t="s">
        <v>1859</v>
      </c>
      <c r="I8" s="32" t="str">
        <f t="shared" si="0"/>
        <v>1_Market Consolidation</v>
      </c>
    </row>
    <row r="9" spans="1:9" ht="188.5" hidden="1" x14ac:dyDescent="0.35">
      <c r="A9" s="150">
        <v>1</v>
      </c>
      <c r="B9" s="150" t="s">
        <v>1517</v>
      </c>
      <c r="C9" s="150" t="s">
        <v>1845</v>
      </c>
      <c r="D9" s="134" t="s">
        <v>1860</v>
      </c>
      <c r="E9" s="151" t="s">
        <v>1584</v>
      </c>
      <c r="F9" s="151" t="s">
        <v>1861</v>
      </c>
      <c r="G9" s="135" t="s">
        <v>1584</v>
      </c>
      <c r="H9" s="136" t="s">
        <v>1862</v>
      </c>
      <c r="I9" s="32" t="str">
        <f t="shared" si="0"/>
        <v>1_Supplier Location</v>
      </c>
    </row>
    <row r="10" spans="1:9" ht="188.5" hidden="1" x14ac:dyDescent="0.35">
      <c r="A10" s="150">
        <v>1</v>
      </c>
      <c r="B10" s="150" t="s">
        <v>1524</v>
      </c>
      <c r="C10" s="150" t="s">
        <v>1845</v>
      </c>
      <c r="D10" s="134" t="s">
        <v>1863</v>
      </c>
      <c r="E10" s="151" t="s">
        <v>1584</v>
      </c>
      <c r="F10" s="151" t="s">
        <v>1864</v>
      </c>
      <c r="G10" s="135" t="s">
        <v>1584</v>
      </c>
      <c r="H10" s="136" t="s">
        <v>1865</v>
      </c>
      <c r="I10" s="32" t="str">
        <f t="shared" si="0"/>
        <v>1_Supplier Risk Rating</v>
      </c>
    </row>
    <row r="11" spans="1:9" ht="87" hidden="1" x14ac:dyDescent="0.35">
      <c r="A11" s="150">
        <v>2</v>
      </c>
      <c r="B11" s="150" t="s">
        <v>1477</v>
      </c>
      <c r="C11" s="150" t="s">
        <v>1866</v>
      </c>
      <c r="D11" s="89"/>
      <c r="E11" s="151" t="s">
        <v>327</v>
      </c>
      <c r="F11" s="151" t="s">
        <v>1867</v>
      </c>
      <c r="G11" s="135" t="s">
        <v>327</v>
      </c>
      <c r="H11" s="136" t="s">
        <v>1868</v>
      </c>
      <c r="I11" s="32" t="str">
        <f t="shared" si="0"/>
        <v xml:space="preserve">2_Price Variance for Identical Items/SKUs </v>
      </c>
    </row>
    <row r="12" spans="1:9" ht="203" x14ac:dyDescent="0.35">
      <c r="A12" s="150">
        <v>2</v>
      </c>
      <c r="B12" s="150" t="s">
        <v>1506</v>
      </c>
      <c r="C12" s="150" t="s">
        <v>1845</v>
      </c>
      <c r="D12" s="134" t="s">
        <v>1869</v>
      </c>
      <c r="E12" s="151" t="s">
        <v>1521</v>
      </c>
      <c r="F12" s="151" t="s">
        <v>1870</v>
      </c>
      <c r="G12" s="135" t="s">
        <v>1521</v>
      </c>
      <c r="H12" s="136" t="s">
        <v>1871</v>
      </c>
      <c r="I12" s="32" t="str">
        <f t="shared" si="0"/>
        <v>2_Tariff Rate</v>
      </c>
    </row>
    <row r="13" spans="1:9" ht="203" x14ac:dyDescent="0.35">
      <c r="A13" s="150">
        <v>2</v>
      </c>
      <c r="B13" s="150" t="s">
        <v>1508</v>
      </c>
      <c r="C13" s="150" t="s">
        <v>1845</v>
      </c>
      <c r="D13" s="134" t="s">
        <v>1872</v>
      </c>
      <c r="E13" s="151" t="s">
        <v>1521</v>
      </c>
      <c r="F13" s="151" t="s">
        <v>1873</v>
      </c>
      <c r="G13" s="135" t="s">
        <v>1521</v>
      </c>
      <c r="H13" s="136" t="s">
        <v>1874</v>
      </c>
      <c r="I13" s="32" t="str">
        <f t="shared" si="0"/>
        <v>2_Cost Structure</v>
      </c>
    </row>
    <row r="14" spans="1:9" ht="203" x14ac:dyDescent="0.35">
      <c r="A14" s="150">
        <v>2</v>
      </c>
      <c r="B14" s="150" t="s">
        <v>1514</v>
      </c>
      <c r="C14" s="150" t="s">
        <v>1845</v>
      </c>
      <c r="D14" s="134" t="s">
        <v>1875</v>
      </c>
      <c r="E14" s="151" t="s">
        <v>1521</v>
      </c>
      <c r="F14" s="151" t="s">
        <v>1876</v>
      </c>
      <c r="G14" s="135" t="s">
        <v>1521</v>
      </c>
      <c r="H14" s="136" t="s">
        <v>1877</v>
      </c>
      <c r="I14" s="32" t="str">
        <f t="shared" si="0"/>
        <v>2_Unit Price</v>
      </c>
    </row>
    <row r="15" spans="1:9" ht="87" hidden="1" x14ac:dyDescent="0.35">
      <c r="A15" s="150">
        <v>3</v>
      </c>
      <c r="B15" s="150" t="s">
        <v>1477</v>
      </c>
      <c r="C15" s="150" t="s">
        <v>1878</v>
      </c>
      <c r="D15" s="89"/>
      <c r="E15" s="151" t="s">
        <v>327</v>
      </c>
      <c r="F15" s="151" t="s">
        <v>1879</v>
      </c>
      <c r="G15" s="135" t="s">
        <v>327</v>
      </c>
      <c r="H15" s="136" t="s">
        <v>1880</v>
      </c>
      <c r="I15" s="32" t="str">
        <f t="shared" si="0"/>
        <v xml:space="preserve">3_Price Variance for Identical Items/SKUs </v>
      </c>
    </row>
    <row r="16" spans="1:9" ht="203" hidden="1" x14ac:dyDescent="0.35">
      <c r="A16" s="150">
        <v>3</v>
      </c>
      <c r="B16" s="150" t="s">
        <v>1504</v>
      </c>
      <c r="C16" s="150" t="s">
        <v>1845</v>
      </c>
      <c r="D16" s="134" t="s">
        <v>1881</v>
      </c>
      <c r="E16" s="151" t="s">
        <v>1521</v>
      </c>
      <c r="F16" s="151" t="s">
        <v>1882</v>
      </c>
      <c r="G16" s="135" t="s">
        <v>1521</v>
      </c>
      <c r="H16" s="136" t="s">
        <v>1883</v>
      </c>
      <c r="I16" s="32" t="str">
        <f t="shared" si="0"/>
        <v>3_Export Data</v>
      </c>
    </row>
    <row r="17" spans="1:9" ht="188.5" hidden="1" x14ac:dyDescent="0.35">
      <c r="A17" s="150">
        <v>3</v>
      </c>
      <c r="B17" s="150" t="s">
        <v>1508</v>
      </c>
      <c r="C17" s="150" t="s">
        <v>1845</v>
      </c>
      <c r="D17" s="134" t="s">
        <v>1884</v>
      </c>
      <c r="E17" s="151" t="s">
        <v>1521</v>
      </c>
      <c r="F17" s="151" t="s">
        <v>1885</v>
      </c>
      <c r="G17" s="135" t="s">
        <v>1521</v>
      </c>
      <c r="H17" s="136" t="s">
        <v>1886</v>
      </c>
      <c r="I17" s="32" t="str">
        <f t="shared" si="0"/>
        <v>3_Cost Structure</v>
      </c>
    </row>
    <row r="18" spans="1:9" ht="203" hidden="1" x14ac:dyDescent="0.35">
      <c r="A18" s="150">
        <v>4</v>
      </c>
      <c r="B18" s="150" t="s">
        <v>1463</v>
      </c>
      <c r="C18" s="150" t="s">
        <v>1887</v>
      </c>
      <c r="D18" s="134" t="s">
        <v>1888</v>
      </c>
      <c r="E18" s="151" t="s">
        <v>1521</v>
      </c>
      <c r="F18" s="151" t="s">
        <v>1889</v>
      </c>
      <c r="G18" s="135" t="s">
        <v>1521</v>
      </c>
      <c r="H18" s="136" t="s">
        <v>1890</v>
      </c>
      <c r="I18" s="32" t="str">
        <f t="shared" si="0"/>
        <v>4_Single Sourcing / Supplier Dependency Risk</v>
      </c>
    </row>
    <row r="19" spans="1:9" ht="58" hidden="1" x14ac:dyDescent="0.35">
      <c r="A19" s="150">
        <v>4</v>
      </c>
      <c r="B19" s="150" t="s">
        <v>1465</v>
      </c>
      <c r="C19" s="150" t="s">
        <v>1845</v>
      </c>
      <c r="D19" s="89"/>
      <c r="E19" s="151" t="s">
        <v>327</v>
      </c>
      <c r="F19" s="151" t="s">
        <v>1891</v>
      </c>
      <c r="G19" s="135" t="s">
        <v>327</v>
      </c>
      <c r="H19" s="136" t="s">
        <v>1892</v>
      </c>
      <c r="I19" s="32" t="str">
        <f t="shared" si="0"/>
        <v xml:space="preserve">4_Supplier Concentration Risk </v>
      </c>
    </row>
    <row r="20" spans="1:9" ht="203" hidden="1" x14ac:dyDescent="0.35">
      <c r="A20" s="150">
        <v>4</v>
      </c>
      <c r="B20" s="150" t="s">
        <v>1483</v>
      </c>
      <c r="C20" s="150" t="s">
        <v>1845</v>
      </c>
      <c r="D20" s="134" t="s">
        <v>1893</v>
      </c>
      <c r="E20" s="151" t="s">
        <v>1584</v>
      </c>
      <c r="F20" s="151" t="s">
        <v>1894</v>
      </c>
      <c r="G20" s="135" t="s">
        <v>327</v>
      </c>
      <c r="H20" s="136" t="s">
        <v>1895</v>
      </c>
      <c r="I20" s="32" t="str">
        <f t="shared" si="0"/>
        <v>4_Average Spend per Supplier vs. Industry Benchmarks/Internal Targets</v>
      </c>
    </row>
    <row r="21" spans="1:9" ht="203" hidden="1" x14ac:dyDescent="0.35">
      <c r="A21" s="150">
        <v>4</v>
      </c>
      <c r="B21" s="150" t="s">
        <v>1504</v>
      </c>
      <c r="C21" s="150" t="s">
        <v>1845</v>
      </c>
      <c r="D21" s="134" t="s">
        <v>1896</v>
      </c>
      <c r="E21" s="151" t="s">
        <v>1584</v>
      </c>
      <c r="F21" s="151" t="s">
        <v>1897</v>
      </c>
      <c r="G21" s="135" t="s">
        <v>327</v>
      </c>
      <c r="H21" s="136" t="s">
        <v>1898</v>
      </c>
      <c r="I21" s="32" t="str">
        <f t="shared" si="0"/>
        <v>4_Export Data</v>
      </c>
    </row>
    <row r="22" spans="1:9" ht="58" hidden="1" x14ac:dyDescent="0.35">
      <c r="A22" s="150">
        <v>4</v>
      </c>
      <c r="B22" s="150" t="s">
        <v>1505</v>
      </c>
      <c r="C22" s="150" t="s">
        <v>1845</v>
      </c>
      <c r="D22" s="89"/>
      <c r="E22" s="151" t="s">
        <v>327</v>
      </c>
      <c r="F22" s="151" t="s">
        <v>1899</v>
      </c>
      <c r="G22" s="135" t="s">
        <v>327</v>
      </c>
      <c r="H22" s="136" t="s">
        <v>1900</v>
      </c>
      <c r="I22" s="32" t="str">
        <f t="shared" si="0"/>
        <v>4_Import Data</v>
      </c>
    </row>
    <row r="23" spans="1:9" ht="58" hidden="1" x14ac:dyDescent="0.35">
      <c r="A23" s="150">
        <v>4</v>
      </c>
      <c r="B23" s="150" t="s">
        <v>1524</v>
      </c>
      <c r="C23" s="150" t="s">
        <v>1845</v>
      </c>
      <c r="D23" s="89"/>
      <c r="E23" s="151" t="s">
        <v>327</v>
      </c>
      <c r="F23" s="151" t="s">
        <v>1901</v>
      </c>
      <c r="G23" s="135" t="s">
        <v>327</v>
      </c>
      <c r="H23" s="136" t="s">
        <v>1902</v>
      </c>
      <c r="I23" s="32" t="str">
        <f t="shared" si="0"/>
        <v>4_Supplier Risk Rating</v>
      </c>
    </row>
    <row r="24" spans="1:9" ht="203" hidden="1" x14ac:dyDescent="0.35">
      <c r="A24" s="150">
        <v>5</v>
      </c>
      <c r="B24" s="150" t="s">
        <v>1454</v>
      </c>
      <c r="C24" s="150" t="s">
        <v>1903</v>
      </c>
      <c r="D24" s="134" t="s">
        <v>1904</v>
      </c>
      <c r="E24" s="151" t="s">
        <v>1521</v>
      </c>
      <c r="F24" s="151" t="s">
        <v>1905</v>
      </c>
      <c r="G24" s="135" t="s">
        <v>1584</v>
      </c>
      <c r="H24" s="136" t="s">
        <v>1906</v>
      </c>
      <c r="I24" s="32" t="str">
        <f t="shared" si="0"/>
        <v>5_Regional Spend Addressability</v>
      </c>
    </row>
    <row r="25" spans="1:9" ht="87" hidden="1" x14ac:dyDescent="0.35">
      <c r="A25" s="150">
        <v>5</v>
      </c>
      <c r="B25" s="150" t="s">
        <v>1471</v>
      </c>
      <c r="C25" s="150" t="s">
        <v>1845</v>
      </c>
      <c r="D25" s="89"/>
      <c r="E25" s="151" t="s">
        <v>327</v>
      </c>
      <c r="F25" s="151" t="s">
        <v>1907</v>
      </c>
      <c r="G25" s="135" t="s">
        <v>327</v>
      </c>
      <c r="H25" s="136" t="s">
        <v>1908</v>
      </c>
      <c r="I25" s="32" t="str">
        <f t="shared" si="0"/>
        <v>5_Volume Leverage from Fragmented Category Spend</v>
      </c>
    </row>
    <row r="26" spans="1:9" ht="87" hidden="1" x14ac:dyDescent="0.35">
      <c r="A26" s="150">
        <v>5</v>
      </c>
      <c r="B26" s="150" t="s">
        <v>1477</v>
      </c>
      <c r="C26" s="150" t="s">
        <v>1845</v>
      </c>
      <c r="D26" s="89"/>
      <c r="E26" s="151" t="s">
        <v>327</v>
      </c>
      <c r="F26" s="151" t="s">
        <v>1909</v>
      </c>
      <c r="G26" s="135" t="s">
        <v>327</v>
      </c>
      <c r="H26" s="136" t="s">
        <v>1910</v>
      </c>
      <c r="I26" s="32" t="str">
        <f t="shared" si="0"/>
        <v xml:space="preserve">5_Price Variance for Identical Items/SKUs </v>
      </c>
    </row>
    <row r="27" spans="1:9" ht="203" hidden="1" x14ac:dyDescent="0.35">
      <c r="A27" s="150">
        <v>6</v>
      </c>
      <c r="B27" s="150" t="s">
        <v>1463</v>
      </c>
      <c r="C27" s="150" t="s">
        <v>1911</v>
      </c>
      <c r="D27" s="134" t="s">
        <v>1912</v>
      </c>
      <c r="E27" s="151" t="s">
        <v>1521</v>
      </c>
      <c r="F27" s="151" t="s">
        <v>1913</v>
      </c>
      <c r="G27" s="135" t="s">
        <v>1521</v>
      </c>
      <c r="H27" s="136" t="s">
        <v>1914</v>
      </c>
      <c r="I27" s="32" t="str">
        <f t="shared" si="0"/>
        <v>6_Single Sourcing / Supplier Dependency Risk</v>
      </c>
    </row>
    <row r="28" spans="1:9" ht="58" hidden="1" x14ac:dyDescent="0.35">
      <c r="A28" s="150">
        <v>6</v>
      </c>
      <c r="B28" s="150" t="s">
        <v>1465</v>
      </c>
      <c r="C28" s="150" t="s">
        <v>1845</v>
      </c>
      <c r="D28" s="89"/>
      <c r="E28" s="151" t="s">
        <v>1584</v>
      </c>
      <c r="F28" s="151" t="s">
        <v>1915</v>
      </c>
      <c r="G28" s="135" t="s">
        <v>327</v>
      </c>
      <c r="H28" s="136" t="s">
        <v>1916</v>
      </c>
      <c r="I28" s="32" t="str">
        <f t="shared" si="0"/>
        <v xml:space="preserve">6_Supplier Concentration Risk </v>
      </c>
    </row>
    <row r="29" spans="1:9" ht="58" hidden="1" x14ac:dyDescent="0.35">
      <c r="A29" s="150">
        <v>6</v>
      </c>
      <c r="B29" s="150" t="s">
        <v>1499</v>
      </c>
      <c r="C29" s="150" t="s">
        <v>1845</v>
      </c>
      <c r="D29" s="89"/>
      <c r="E29" s="151" t="s">
        <v>1584</v>
      </c>
      <c r="F29" s="151" t="s">
        <v>1917</v>
      </c>
      <c r="G29" s="135" t="s">
        <v>327</v>
      </c>
      <c r="H29" s="136" t="s">
        <v>1918</v>
      </c>
      <c r="I29" s="32" t="str">
        <f t="shared" si="0"/>
        <v>6_Category Risk</v>
      </c>
    </row>
    <row r="30" spans="1:9" ht="58" hidden="1" x14ac:dyDescent="0.35">
      <c r="A30" s="150">
        <v>6</v>
      </c>
      <c r="B30" s="150" t="s">
        <v>1510</v>
      </c>
      <c r="C30" s="150" t="s">
        <v>1845</v>
      </c>
      <c r="D30" s="89"/>
      <c r="E30" s="151" t="s">
        <v>327</v>
      </c>
      <c r="F30" s="151" t="s">
        <v>1919</v>
      </c>
      <c r="G30" s="135" t="s">
        <v>327</v>
      </c>
      <c r="H30" s="136" t="s">
        <v>1920</v>
      </c>
      <c r="I30" s="32" t="str">
        <f t="shared" si="0"/>
        <v>6_Inflation</v>
      </c>
    </row>
    <row r="31" spans="1:9" ht="58" hidden="1" x14ac:dyDescent="0.35">
      <c r="A31" s="150">
        <v>6</v>
      </c>
      <c r="B31" s="150" t="s">
        <v>1511</v>
      </c>
      <c r="C31" s="150" t="s">
        <v>1845</v>
      </c>
      <c r="D31" s="89"/>
      <c r="E31" s="151" t="s">
        <v>327</v>
      </c>
      <c r="F31" s="151" t="s">
        <v>1921</v>
      </c>
      <c r="G31" s="135" t="s">
        <v>327</v>
      </c>
      <c r="H31" s="136" t="s">
        <v>1922</v>
      </c>
      <c r="I31" s="32" t="str">
        <f t="shared" si="0"/>
        <v>6_Exchange Rate</v>
      </c>
    </row>
    <row r="32" spans="1:9" ht="58" hidden="1" x14ac:dyDescent="0.35">
      <c r="A32" s="150">
        <v>6</v>
      </c>
      <c r="B32" s="150" t="s">
        <v>1512</v>
      </c>
      <c r="C32" s="150" t="s">
        <v>1845</v>
      </c>
      <c r="D32" s="89"/>
      <c r="E32" s="151" t="s">
        <v>1584</v>
      </c>
      <c r="F32" s="151" t="s">
        <v>1923</v>
      </c>
      <c r="G32" s="135" t="s">
        <v>327</v>
      </c>
      <c r="H32" s="136" t="s">
        <v>1924</v>
      </c>
      <c r="I32" s="32" t="str">
        <f t="shared" si="0"/>
        <v>6_Geo Political Risk</v>
      </c>
    </row>
    <row r="33" spans="1:9" ht="58" hidden="1" x14ac:dyDescent="0.35">
      <c r="A33" s="150">
        <v>6</v>
      </c>
      <c r="B33" s="150" t="s">
        <v>1524</v>
      </c>
      <c r="C33" s="150" t="s">
        <v>1845</v>
      </c>
      <c r="D33" s="89"/>
      <c r="E33" s="151" t="s">
        <v>1584</v>
      </c>
      <c r="F33" s="151" t="s">
        <v>1925</v>
      </c>
      <c r="G33" s="135" t="s">
        <v>327</v>
      </c>
      <c r="H33" s="136" t="s">
        <v>1926</v>
      </c>
      <c r="I33" s="32" t="str">
        <f t="shared" si="0"/>
        <v>6_Supplier Risk Rating</v>
      </c>
    </row>
    <row r="34" spans="1:9" ht="188.5" hidden="1" x14ac:dyDescent="0.35">
      <c r="A34" s="150">
        <v>7</v>
      </c>
      <c r="B34" s="150" t="s">
        <v>1454</v>
      </c>
      <c r="C34" s="150" t="s">
        <v>1927</v>
      </c>
      <c r="D34" s="134" t="s">
        <v>1928</v>
      </c>
      <c r="E34" s="151" t="s">
        <v>1521</v>
      </c>
      <c r="F34" s="151" t="s">
        <v>1929</v>
      </c>
      <c r="G34" s="135" t="s">
        <v>327</v>
      </c>
      <c r="H34" s="136" t="s">
        <v>1930</v>
      </c>
      <c r="I34" s="32" t="str">
        <f t="shared" si="0"/>
        <v>7_Regional Spend Addressability</v>
      </c>
    </row>
    <row r="35" spans="1:9" ht="101.5" hidden="1" x14ac:dyDescent="0.35">
      <c r="A35" s="150">
        <v>7</v>
      </c>
      <c r="B35" s="150" t="s">
        <v>1475</v>
      </c>
      <c r="C35" s="150" t="s">
        <v>1845</v>
      </c>
      <c r="D35" s="89"/>
      <c r="E35" s="151" t="s">
        <v>1521</v>
      </c>
      <c r="F35" s="151" t="s">
        <v>1931</v>
      </c>
      <c r="G35" s="135" t="s">
        <v>327</v>
      </c>
      <c r="H35" s="136" t="s">
        <v>1932</v>
      </c>
      <c r="I35" s="32" t="str">
        <f t="shared" si="0"/>
        <v>7_Geographic Sourcing Optimization for Cost Reduction</v>
      </c>
    </row>
    <row r="36" spans="1:9" ht="58" hidden="1" x14ac:dyDescent="0.35">
      <c r="A36" s="150">
        <v>7</v>
      </c>
      <c r="B36" s="150" t="s">
        <v>1504</v>
      </c>
      <c r="C36" s="150" t="s">
        <v>1845</v>
      </c>
      <c r="D36" s="89"/>
      <c r="E36" s="151" t="s">
        <v>1584</v>
      </c>
      <c r="F36" s="151" t="s">
        <v>1933</v>
      </c>
      <c r="G36" s="135" t="s">
        <v>327</v>
      </c>
      <c r="H36" s="136" t="s">
        <v>1934</v>
      </c>
      <c r="I36" s="32" t="str">
        <f t="shared" si="0"/>
        <v>7_Export Data</v>
      </c>
    </row>
    <row r="37" spans="1:9" ht="58" hidden="1" x14ac:dyDescent="0.35">
      <c r="A37" s="150">
        <v>7</v>
      </c>
      <c r="B37" s="150" t="s">
        <v>1506</v>
      </c>
      <c r="C37" s="150" t="s">
        <v>1845</v>
      </c>
      <c r="D37" s="89"/>
      <c r="E37" s="151" t="s">
        <v>1521</v>
      </c>
      <c r="F37" s="151" t="s">
        <v>1935</v>
      </c>
      <c r="G37" s="135" t="s">
        <v>327</v>
      </c>
      <c r="H37" s="136" t="s">
        <v>1936</v>
      </c>
      <c r="I37" s="32" t="str">
        <f t="shared" si="0"/>
        <v>7_Tariff Rate</v>
      </c>
    </row>
    <row r="38" spans="1:9" ht="58" hidden="1" x14ac:dyDescent="0.35">
      <c r="A38" s="150">
        <v>7</v>
      </c>
      <c r="B38" s="150" t="s">
        <v>1508</v>
      </c>
      <c r="C38" s="150" t="s">
        <v>1845</v>
      </c>
      <c r="D38" s="89"/>
      <c r="E38" s="151" t="s">
        <v>1521</v>
      </c>
      <c r="F38" s="151" t="s">
        <v>1937</v>
      </c>
      <c r="G38" s="135" t="s">
        <v>327</v>
      </c>
      <c r="H38" s="136" t="s">
        <v>1938</v>
      </c>
      <c r="I38" s="32" t="str">
        <f t="shared" si="0"/>
        <v>7_Cost Structure</v>
      </c>
    </row>
    <row r="39" spans="1:9" ht="58" hidden="1" x14ac:dyDescent="0.35">
      <c r="A39" s="150">
        <v>7</v>
      </c>
      <c r="B39" s="150" t="s">
        <v>1510</v>
      </c>
      <c r="C39" s="150" t="s">
        <v>1845</v>
      </c>
      <c r="D39" s="89"/>
      <c r="E39" s="151" t="s">
        <v>327</v>
      </c>
      <c r="F39" s="151" t="s">
        <v>1939</v>
      </c>
      <c r="G39" s="135" t="s">
        <v>327</v>
      </c>
      <c r="H39" s="136" t="s">
        <v>1940</v>
      </c>
      <c r="I39" s="32" t="str">
        <f t="shared" si="0"/>
        <v>7_Inflation</v>
      </c>
    </row>
    <row r="40" spans="1:9" ht="58" hidden="1" x14ac:dyDescent="0.35">
      <c r="A40" s="150">
        <v>7</v>
      </c>
      <c r="B40" s="150" t="s">
        <v>1511</v>
      </c>
      <c r="C40" s="150" t="s">
        <v>1845</v>
      </c>
      <c r="D40" s="89"/>
      <c r="E40" s="151" t="s">
        <v>327</v>
      </c>
      <c r="F40" s="151" t="s">
        <v>1941</v>
      </c>
      <c r="G40" s="135" t="s">
        <v>327</v>
      </c>
      <c r="H40" s="136" t="s">
        <v>1942</v>
      </c>
      <c r="I40" s="32" t="str">
        <f t="shared" si="0"/>
        <v>7_Exchange Rate</v>
      </c>
    </row>
    <row r="41" spans="1:9" ht="58" hidden="1" x14ac:dyDescent="0.35">
      <c r="A41" s="150">
        <v>7</v>
      </c>
      <c r="B41" s="150" t="s">
        <v>1512</v>
      </c>
      <c r="C41" s="150" t="s">
        <v>1845</v>
      </c>
      <c r="D41" s="89"/>
      <c r="E41" s="151" t="s">
        <v>1584</v>
      </c>
      <c r="F41" s="151" t="s">
        <v>1943</v>
      </c>
      <c r="G41" s="135" t="s">
        <v>327</v>
      </c>
      <c r="H41" s="136" t="s">
        <v>1944</v>
      </c>
      <c r="I41" s="32" t="str">
        <f t="shared" si="0"/>
        <v>7_Geo Political Risk</v>
      </c>
    </row>
    <row r="42" spans="1:9" ht="58" hidden="1" x14ac:dyDescent="0.35">
      <c r="A42" s="150">
        <v>7</v>
      </c>
      <c r="B42" s="150" t="s">
        <v>1514</v>
      </c>
      <c r="C42" s="150" t="s">
        <v>1845</v>
      </c>
      <c r="D42" s="89"/>
      <c r="E42" s="151" t="s">
        <v>1584</v>
      </c>
      <c r="F42" s="151" t="s">
        <v>1945</v>
      </c>
      <c r="G42" s="135" t="s">
        <v>327</v>
      </c>
      <c r="H42" s="136" t="s">
        <v>1946</v>
      </c>
      <c r="I42" s="32" t="str">
        <f t="shared" si="0"/>
        <v>7_Unit Price</v>
      </c>
    </row>
    <row r="43" spans="1:9" ht="188.5" hidden="1" x14ac:dyDescent="0.35">
      <c r="A43" s="150">
        <v>8</v>
      </c>
      <c r="B43" s="150" t="s">
        <v>1463</v>
      </c>
      <c r="C43" s="150" t="s">
        <v>1947</v>
      </c>
      <c r="D43" s="134" t="s">
        <v>1948</v>
      </c>
      <c r="E43" s="151" t="s">
        <v>1521</v>
      </c>
      <c r="F43" s="151" t="s">
        <v>1949</v>
      </c>
      <c r="G43" s="135" t="s">
        <v>1521</v>
      </c>
      <c r="H43" s="136" t="s">
        <v>1950</v>
      </c>
      <c r="I43" s="32" t="str">
        <f t="shared" si="0"/>
        <v>8_Single Sourcing / Supplier Dependency Risk</v>
      </c>
    </row>
    <row r="44" spans="1:9" ht="58" hidden="1" x14ac:dyDescent="0.35">
      <c r="A44" s="150">
        <v>8</v>
      </c>
      <c r="B44" s="150" t="s">
        <v>1496</v>
      </c>
      <c r="C44" s="150" t="s">
        <v>1845</v>
      </c>
      <c r="D44" s="89"/>
      <c r="E44" s="151" t="s">
        <v>1584</v>
      </c>
      <c r="F44" s="151" t="s">
        <v>1951</v>
      </c>
      <c r="G44" s="135" t="s">
        <v>327</v>
      </c>
      <c r="H44" s="136" t="s">
        <v>1952</v>
      </c>
      <c r="I44" s="32" t="str">
        <f t="shared" si="0"/>
        <v>8_Market Consolidation</v>
      </c>
    </row>
    <row r="45" spans="1:9" ht="174" hidden="1" x14ac:dyDescent="0.35">
      <c r="A45" s="150">
        <v>9</v>
      </c>
      <c r="B45" s="150" t="s">
        <v>1524</v>
      </c>
      <c r="C45" s="150" t="s">
        <v>1953</v>
      </c>
      <c r="D45" s="134" t="s">
        <v>1954</v>
      </c>
      <c r="E45" s="151" t="s">
        <v>1584</v>
      </c>
      <c r="F45" s="151" t="s">
        <v>1955</v>
      </c>
      <c r="G45" s="135" t="s">
        <v>327</v>
      </c>
      <c r="H45" s="136" t="s">
        <v>1956</v>
      </c>
      <c r="I45" s="32" t="str">
        <f t="shared" si="0"/>
        <v>9_Supplier Risk Rating</v>
      </c>
    </row>
    <row r="46" spans="1:9" ht="174" hidden="1" x14ac:dyDescent="0.35">
      <c r="A46" s="150">
        <v>10</v>
      </c>
      <c r="B46" s="150" t="s">
        <v>1512</v>
      </c>
      <c r="C46" s="150" t="s">
        <v>1957</v>
      </c>
      <c r="D46" s="134" t="s">
        <v>1958</v>
      </c>
      <c r="E46" s="151" t="s">
        <v>1584</v>
      </c>
      <c r="F46" s="151" t="s">
        <v>1959</v>
      </c>
      <c r="G46" s="135" t="s">
        <v>327</v>
      </c>
      <c r="H46" s="136" t="s">
        <v>1960</v>
      </c>
      <c r="I46" s="32" t="str">
        <f t="shared" si="0"/>
        <v>10_Geo Political Risk</v>
      </c>
    </row>
    <row r="47" spans="1:9" ht="87" hidden="1" x14ac:dyDescent="0.35">
      <c r="A47" s="150">
        <v>11</v>
      </c>
      <c r="B47" s="150" t="s">
        <v>1477</v>
      </c>
      <c r="C47" s="150" t="s">
        <v>1961</v>
      </c>
      <c r="D47" s="89"/>
      <c r="E47" s="151" t="s">
        <v>327</v>
      </c>
      <c r="F47" s="151" t="s">
        <v>1962</v>
      </c>
      <c r="G47" s="135" t="s">
        <v>327</v>
      </c>
      <c r="H47" s="136" t="s">
        <v>1963</v>
      </c>
      <c r="I47" s="32" t="str">
        <f t="shared" si="0"/>
        <v xml:space="preserve">11_Price Variance for Identical Items/SKUs </v>
      </c>
    </row>
    <row r="48" spans="1:9" ht="58" hidden="1" x14ac:dyDescent="0.35">
      <c r="A48" s="150">
        <v>11</v>
      </c>
      <c r="B48" s="150" t="s">
        <v>1501</v>
      </c>
      <c r="C48" s="150" t="s">
        <v>1845</v>
      </c>
      <c r="D48" s="89"/>
      <c r="E48" s="151" t="s">
        <v>327</v>
      </c>
      <c r="F48" s="151" t="s">
        <v>1964</v>
      </c>
      <c r="G48" s="135" t="s">
        <v>327</v>
      </c>
      <c r="H48" s="136" t="s">
        <v>1965</v>
      </c>
      <c r="I48" s="32" t="str">
        <f t="shared" si="0"/>
        <v>11_Net Supply</v>
      </c>
    </row>
    <row r="49" spans="1:9" ht="58" hidden="1" x14ac:dyDescent="0.35">
      <c r="A49" s="150">
        <v>11</v>
      </c>
      <c r="B49" s="150" t="s">
        <v>1502</v>
      </c>
      <c r="C49" s="150" t="s">
        <v>1845</v>
      </c>
      <c r="D49" s="89"/>
      <c r="E49" s="151" t="s">
        <v>327</v>
      </c>
      <c r="F49" s="151" t="s">
        <v>1966</v>
      </c>
      <c r="G49" s="135" t="s">
        <v>327</v>
      </c>
      <c r="H49" s="136" t="s">
        <v>1967</v>
      </c>
      <c r="I49" s="32" t="str">
        <f t="shared" si="0"/>
        <v>11_Net Capacity</v>
      </c>
    </row>
    <row r="50" spans="1:9" ht="58" hidden="1" x14ac:dyDescent="0.35">
      <c r="A50" s="150">
        <v>11</v>
      </c>
      <c r="B50" s="150" t="s">
        <v>1503</v>
      </c>
      <c r="C50" s="150" t="s">
        <v>1845</v>
      </c>
      <c r="D50" s="150" t="s">
        <v>1968</v>
      </c>
      <c r="E50" s="151" t="s">
        <v>327</v>
      </c>
      <c r="F50" s="151" t="s">
        <v>1966</v>
      </c>
      <c r="G50" s="135" t="s">
        <v>327</v>
      </c>
      <c r="H50" s="136" t="s">
        <v>1969</v>
      </c>
      <c r="I50" s="32" t="str">
        <f t="shared" si="0"/>
        <v>11_Net Demand</v>
      </c>
    </row>
    <row r="51" spans="1:9" ht="58" hidden="1" x14ac:dyDescent="0.35">
      <c r="A51" s="150">
        <v>11</v>
      </c>
      <c r="B51" s="150" t="s">
        <v>1506</v>
      </c>
      <c r="C51" s="150" t="s">
        <v>1845</v>
      </c>
      <c r="D51" s="150" t="s">
        <v>1968</v>
      </c>
      <c r="E51" s="151" t="s">
        <v>327</v>
      </c>
      <c r="F51" s="151" t="s">
        <v>1970</v>
      </c>
      <c r="G51" s="135" t="s">
        <v>327</v>
      </c>
      <c r="H51" s="136" t="s">
        <v>1971</v>
      </c>
      <c r="I51" s="32" t="str">
        <f t="shared" si="0"/>
        <v>11_Tariff Rate</v>
      </c>
    </row>
    <row r="52" spans="1:9" ht="72.5" hidden="1" x14ac:dyDescent="0.35">
      <c r="A52" s="150">
        <v>11</v>
      </c>
      <c r="B52" s="150" t="s">
        <v>1507</v>
      </c>
      <c r="C52" s="150" t="s">
        <v>1845</v>
      </c>
      <c r="D52" s="150" t="s">
        <v>1968</v>
      </c>
      <c r="E52" s="151" t="s">
        <v>327</v>
      </c>
      <c r="F52" s="151" t="s">
        <v>1972</v>
      </c>
      <c r="G52" s="135" t="s">
        <v>327</v>
      </c>
      <c r="H52" s="136" t="s">
        <v>1973</v>
      </c>
      <c r="I52" s="32" t="str">
        <f t="shared" si="0"/>
        <v>11_Other Trade Rate (Customs Duty)</v>
      </c>
    </row>
    <row r="53" spans="1:9" ht="58" hidden="1" x14ac:dyDescent="0.35">
      <c r="A53" s="150">
        <v>11</v>
      </c>
      <c r="B53" s="150" t="s">
        <v>1508</v>
      </c>
      <c r="C53" s="150" t="s">
        <v>1845</v>
      </c>
      <c r="D53" s="150" t="s">
        <v>1974</v>
      </c>
      <c r="E53" s="151" t="s">
        <v>1584</v>
      </c>
      <c r="F53" s="151" t="s">
        <v>1975</v>
      </c>
      <c r="G53" s="135" t="s">
        <v>327</v>
      </c>
      <c r="H53" s="136" t="s">
        <v>1976</v>
      </c>
      <c r="I53" s="32" t="str">
        <f t="shared" si="0"/>
        <v>11_Cost Structure</v>
      </c>
    </row>
    <row r="54" spans="1:9" ht="58" hidden="1" x14ac:dyDescent="0.35">
      <c r="A54" s="150">
        <v>11</v>
      </c>
      <c r="B54" s="150" t="s">
        <v>1510</v>
      </c>
      <c r="C54" s="150" t="s">
        <v>1845</v>
      </c>
      <c r="D54" s="150" t="s">
        <v>1968</v>
      </c>
      <c r="E54" s="151" t="s">
        <v>327</v>
      </c>
      <c r="F54" s="151" t="s">
        <v>1977</v>
      </c>
      <c r="G54" s="135" t="s">
        <v>327</v>
      </c>
      <c r="H54" s="136" t="s">
        <v>1978</v>
      </c>
      <c r="I54" s="32" t="str">
        <f t="shared" si="0"/>
        <v>11_Inflation</v>
      </c>
    </row>
    <row r="55" spans="1:9" ht="58" hidden="1" x14ac:dyDescent="0.35">
      <c r="A55" s="150">
        <v>11</v>
      </c>
      <c r="B55" s="150" t="s">
        <v>1514</v>
      </c>
      <c r="C55" s="150" t="s">
        <v>1845</v>
      </c>
      <c r="D55" s="150" t="s">
        <v>1968</v>
      </c>
      <c r="E55" s="151" t="s">
        <v>327</v>
      </c>
      <c r="F55" s="151" t="s">
        <v>1979</v>
      </c>
      <c r="G55" s="135" t="s">
        <v>327</v>
      </c>
      <c r="H55" s="136" t="s">
        <v>1980</v>
      </c>
      <c r="I55" s="32" t="str">
        <f t="shared" si="0"/>
        <v>11_Unit Price</v>
      </c>
    </row>
  </sheetData>
  <autoFilter xmlns:x14="http://schemas.microsoft.com/office/spreadsheetml/2009/9/main" ref="A2:I55" xr:uid="{A6A4C421-FD26-4C92-86E2-A0B3E4748EA7}">
    <filterColumn colId="0">
      <filters>
        <filter val="2"/>
      </filters>
    </filterColumn>
    <filterColumn colId="3">
      <filters>
        <mc:AlternateContent xmlns:mc="http://schemas.openxmlformats.org/markup-compatibility/2006">
          <mc:Choice Requires="x14">
            <x14:filter val="Ã¢â‚¬Â¢ **Address critical supplier concentration**: Top 2 suppliers (SHIVAGANGA and SIDDAGANGA) represent &gt;60% of ricebran oil spend, creating significant supply chain vulnerability - develop qualified alternatives from existing supplier base like SAKLECHA SOLVENTEX and SULOCHANA AGRO._x000a_Ã¢â‚¬Â¢ **Leverage similar capability suppliers**: Multiple suppliers offer identical ricebran oil specifications (Material 102038) but with varying volumes - formally qualify and approve at least 3-4 suppliers per oil type to ensure supply continuity._x000a_Ã¢â‚¬Â¢ **Future supply chain resilience**: Increasing focus on supply chain risk management and business continuity planning will require diversified supplier portfolios, making current multi-supplier qualification essential for operational resilience and competitive advantage in volatile commodity markets."/>
            <x14:filter val="Ã¢â‚¬Â¢ **Address high supplier concentration**: Top 3 suppliers (SHIVAGANGA, SIDDAGANGA, SAKLECHA) represent ~70% of total vegetable oil spend, creating significant concentration risk that exceeds industry best practice thresholds._x000a_Ã¢â‚¬Â¢ **Develop secondary supplier tiers**: Activate relationships with suppliers like M/S ABHAY SOLVENTS, UNIVERSAL AGRO FOOD INDUSTRIES to create competitive alternatives and reduce dependency on primary suppliers._x000a_Ã¢â‚¬Â¢ **Future supply chain resilience**: Industry focus on supply chain risk management and business continuity will require balanced supplier portfolios, making current concentration risk mitigation essential for operational stability and competitive procurement operations."/>
            <x14:filter val="Ã¢â‚¬Â¢ **Address tail supplier fragmentation**: Analysis shows &gt;75% of unique suppliers (including RAICHUR SOLVENTS, smaller regional processors) contribute to bottom 20% of spend, creating administrative burden and limiting negotiation leverage._x000a_Ã¢â‚¬Â¢ **Consolidate smaller volume suppliers**: Multiple suppliers like UNIVERSAL AGRO FOOD INDUSTRIES, N.K.PROTEINS LIMITED show sporadic, small-volume transactions that can be consolidated into preferred supplier relationships or eliminated entirely._x000a_Ã¢â‚¬Â¢ **Future procurement digitization trends**: Industry shift toward supplier relationship management platforms and automated procurement processes will favor organizations with streamlined supplier portfolios, making tail spend consolidation essential for operational efficiency and cost competitiveness."/>
            <x14:filter val="Ã¢â‚¬Â¢ **Adopt industry-standard packaging**: Global export data shows 20-25MT flexi-tank shipments as industry standard for vegetable oil transportation, offering 15-20% cost savings vs. traditional drum packaging for large volumes._x000a_Ã¢â‚¬Â¢ **Leverage infrastructure compatibility**: Major Asian ports equipped for flexi-tank handling - align packaging strategy with established infrastructure to optimize logistics costs and delivery efficiency._x000a_Ã¢â‚¬Â¢ **Future sustainable packaging**: Industry shift toward eco-friendly packaging solutions and reduced material waste will favor bulk delivery systems like flexi-tanks, making current packaging optimization essential for meeting future sustainability requirements and maintaining competitive transportation costs in evolving regulatory environments."/>
            <x14:filter val="Ã¢â‚¬Â¢ **Consolidate identical ricebran oil sourcing**: Raw ricebran oil (Material 102038) is procured from 10+ suppliers including SHIVAGANGA FOOD OIL EXTRACTIONS, SIDDAGANGA OIL &amp; BIO INDUSTRIES, SAKLECHA SOLVENTEX - all providing identical specifications, creating consolidation opportunities._x000a_Ã¢â‚¬Â¢ **Leverage cross-oil-type negotiations**: Suppliers like UNIVERSAL AGRO FOOD INDUSTRIES serve both ricebran and sunflower oil categories, enabling bundled negotiations across vegetable oil types for volume discounts._x000a_Ã¢â‚¬Â¢ **Future supply chain consolidation**: Industry trend toward fewer, strategic supplier partnerships driven by sustainability requirements and supply chain resilience needs will reward early movers who proactively consolidate volumes with capable, multi-category suppliers."/>
            <x14:filter val="Ã¢â‚¬Â¢ **Develop region-specific cost models**: Indian vegetable oil processing shows Copra representing 41-43% of costs, labor 22-24%, and energy 4-6% - build location-specific models for suppliers like SHIVAGANGA to benchmark their pricing structure against industry standards._x000a_Ã¢â‚¬Â¢ **Account for cost driver inflation**: Energy costs increasing 15-20% and labor wage inflation at 8-10% annually in India requires dynamic cost model updates to maintain accurate target pricing for negotiations._x000a_Ã¢â‚¬Â¢ **Future cost structure evolution**: Industry shift toward renewable energy and automation will reshape cost structures - develop forward-looking models that account for suppliers' technological investments to maintain competitive should-cost benchmarking capabilities and support strategic sourcing decisions."/>
            <x14:filter val="Ã¢â‚¬Â¢ **Evaluate supplier financial stability**: Key suppliers like SHIVAGANGA FOOD OIL EXTRACTIONS and SIDDAGANGA OIL &amp; BIO INDUSTRIES demonstrate stable financial profiles based on consistent supply performance and market presence._x000a_Ã¢â‚¬Â¢ **Monitor emerging financial risks**: Smaller suppliers in portfolio may carry higher financial volatility - implement regular financial health assessments and develop contingency sourcing plans for critical materials._x000a_Ã¢â‚¬Â¢ **Future financial risk management**: Increasing focus on supplier financial stability and supply chain continuity will require sophisticated financial risk monitoring and proactive supplier financial health management for competitive procurement operations."/>
            <x14:filter val="Ã¢â‚¬Â¢ **Explore Southeast Asian sourcing diversification**: Current India-centric sourcing (&gt;90% spend) presents opportunities to leverage cost advantages from Malaysian palm oil processors and Indonesian suppliers for competitive pricing and supply flexibility._x000a_Ã¢â‚¬Â¢ **Implement origin switching strategy**: Seasonal price variations between regions create arbitrage opportunities - develop capabilities to shift sourcing origins based on market dynamics while maintaining quality standards and supply continuity._x000a_Ã¢â‚¬Â¢ **Future global sourcing optimization**: Industry trend toward dynamic, cost-optimized global sourcing networks will favor organizations with flexible origin switching capabilities, making current geographic diversification essential for competitive advantage in evolving commodity markets."/>
            <x14:filter val="Ã¢â‚¬Â¢ **Factor import duties into cost models**: India-to-Malaysia vegetable oil trade faces varying tariff structures - incorporate 10-15% import duties for refined oils vs. lower rates for crude oils into should-cost calculations to optimize sourcing strategies._x000a_Ã¢â‚¬Â¢ **Leverage trade agreement benefits**: ASEAN trade preferences for vegetable oils between India-Malaysia corridor offer duty optimization opportunities that should be integrated into target pricing models for competitive advantage._x000a_Ã¢â‚¬Â¢ **Future trade policy integration**: Evolving regional trade agreements and sustainability-linked tariff structures will require dynamic cost modeling capabilities to capture duty optimization opportunities, making sophisticated should-cost models with integrated trade intelligence essential for competitive procurement operations."/>
            <x14:filter val="Ã¢â‚¬Â¢ **Focus consolidation on lower-risk suppliers**: Prioritize volume bundling with established suppliers like SHIVAGANGA FOOD OIL EXTRACTIONS and SIDDAGANGA OIL &amp; BIO INDUSTRIES that demonstrate consistent supply performance and financial stability._x000a_Ã¢â‚¬Â¢ **Evaluate emerging supplier risks**: Smaller suppliers in the tail spend may carry higher operational or financial risks, making consolidation toward proven suppliers a risk mitigation strategy alongside cost optimization._x000a_Ã¢â‚¬Â¢ **Future supplier risk management**: Increasing focus on ESG compliance and supply chain transparency will favor suppliers with strong risk profiles, making current risk-based consolidation decisions critical for future supplier relationship sustainability and regulatory compliance requirements."/>
            <x14:filter val="Ã¢â‚¬Â¢ **Identify additional qualified suppliers**: Export data reveals major Indian vegetable oil processors beyond current suppliers - consider qualifying companies like Adani Wilmar, Ruchi Soya Industries for enhanced supply diversification while maintaining cost competitiveness._x000a_Ã¢â‚¬Â¢ **Leverage market expertise**: Top exporters demonstrate proven international supply capabilities and quality standards, offering immediate qualification opportunities for specialty oil products and emergency supply scenarios._x000a_Ã¢â‚¬Â¢ **Future supplier market evolution**: Consolidation among top-tier vegetable oil processors will create opportunities for strategic partnerships with financially stable, globally competitive suppliers, making early qualification of emerging leaders critical for long-term supply security."/>
            <x14:filter val="Ã¢â‚¬Â¢ **Implement hedging for price volatility**: Vegetable oil markets show high price volatility (15-25% annually) - establish financial hedging instruments for 60-70% of annual volume requirements to stabilize procurement costs and budget predictability._x000a_Ã¢â‚¬Â¢ **Develop seasonal volume contracts**: Lock volumes early in harvest seasons with key suppliers like SHIVAGANGA and SIDDAGANGA to secure supply and capture seasonal price advantages while maintaining flexibility for market opportunities._x000a_Ã¢â‚¬Â¢ **Future risk management sophistication**: Increasing commodity price volatility and supply chain disruptions will require advanced risk management tools including financial hedging, long-term contracts, and diversified sourcing strategies for competitive advantage and operational stability."/>
            <x14:filter val="Ã¢â‚¬Â¢ **Incorporate price trend analysis**: Global vegetable oil prices increased 15-25% over 12 months due to supply disruptions and commodity inflation - integrate historical price evolution into should-cost models to validate current supplier pricing against market trends._x000a_Ã¢â‚¬Â¢ **Benchmark client pricing performance**: Current supplier pricing ($1.39-1.44/kg for ricebran oil) appears aligned with market trends but shows variation suggesting negotiation opportunities through standardized should-cost modeling approaches._x000a_Ã¢â‚¬Â¢ **Future price forecasting integration**: Increasing price volatility driven by climate impacts and geopolitical factors will require sophisticated forecasting capabilities in should-cost models to anticipate market movements and optimize contract timing for competitive procurement operations."/>
            <x14:filter val="Ã¢â‚¬Â¢ **Leverage industry consolidation trends**: Indian vegetable oil processing sector experiencing significant consolidation with medium-rating players (rating 2-3 on 5-point scale) across palm oil, soybean oil, and sunflower oil categories, creating opportunities for stronger negotiation positions with consolidated suppliers._x000a_Ã¢â‚¬Â¢ **Capitalize on supplier capacity expansion**: Market consolidation driving suppliers to expand processing capabilities and geographical reach, enabling volume bundling opportunities across multiple oil types and regions._x000a_Ã¢â‚¬Â¢ **Future consolidation acceleration**: Increasing regulatory requirements for food safety and sustainability certifications are accelerating market consolidation toward fewer, more capable suppliers, making early strategic partnerships with consolidating suppliers critical for long-term supply security and cost optimization."/>
            <x14:filter val="Ã¢â‚¬Â¢ **Monitor regional geopolitical stability**: Indian supply base shows moderate geopolitical risk levels - maintain monitoring systems for political stability and trade policy changes affecting vegetable oil exports to Malaysia._x000a_Ã¢â‚¬Â¢ **Develop contingency sourcing plans**: Establish qualified suppliers in alternative regions (Thailand, Vietnam) as backup options for potential geopolitical disruptions while maintaining primary Indian supplier relationships._x000a_Ã¢â‚¬Â¢ **Future geopolitical risk management**: Increasing global trade tensions and regional conflicts will require sophisticated geopolitical risk assessment and contingency planning capabilities for supply chain resilience and competitive operations."/>
            <x14:filter val="Ã¢â‚¬Â¢ **Optimize supplier portfolio balance**: Current average spend per supplier appears concentrated among top performers, suggesting opportunity to develop mid-tier suppliers like UNIVERSAL AGRO FOOD INDUSTRIES and PARVATI INDUSTRIES for strategic backup capabilities._x000a_Ã¢â‚¬Â¢ **Benchmark against industry standards**: Top supplier concentration levels align with industry Quartile 3 performance, indicating room for selective diversification without compromising procurement efficiency or negotiation leverage._x000a_Ã¢â‚¬Â¢ **Future supplier ecosystem evolution**: Industry trend toward collaborative supplier networks and shared risk management will favor organizations with balanced, qualified supplier portfolios, making current diversification efforts essential for competitive supply chain operations and risk resilience."/>
            <x14:filter val="Ã¢â‚¬Â¢ **Optimize supplier portfolio efficiency**: Current average spend per supplier appears below industry median for food ingredient procurement, indicating potential over-fragmentation in supplier base management._x000a_Ã¢â‚¬Â¢ **Focus on strategic supplier relationships**: Top suppliers like SHIVAGANGA and SIDDAGANGA represent higher-value partnerships that align with industry best practices for concentrated strategic sourcing relationships._x000a_Ã¢â‚¬Â¢ **Future procurement digitization demands**: Industry evolution toward integrated supplier ecosystems and automated procurement platforms will favor organizations with optimized supplier portfolios, making current consolidation efforts essential for maintaining competitive procurement operations and reducing administrative overhead costs."/>
            <x14:filter val="Ã¢â‚¬Â¢ **Prioritize Indian domestic supplier consolidation**: Current supplier base concentrated in India (medium geopolitical risk) offers consolidation opportunities with established players like SHIVAGANGA and SIDDAGANGA in stable regions._x000a_Ã¢â‚¬Â¢ **Balance geographic concentration risks**: While Indian suppliers offer cost advantages and supply reliability, consider selective diversification to Southeast Asian suppliers for risk mitigation without compromising volume leverage benefits._x000a_Ã¢â‚¬Â¢ **Future supply chain regionalization**: Growing trend toward regional supply chains for food ingredients will favor suppliers with strong domestic market positions, making consolidation with established Indian vegetable oil processors a strategic advantage for supply security and cost competitiveness in regional markets."/>
            <x14:filter val="Ã¢â‚¬Â¢ **Prioritize Malaysia-centric consolidation strategy**: With &gt;95% spend concentrated in Malaysian plants (PH06, SHJ2), focus volume bundling efforts on consolidating multiple suppliers like SHIVAGANGA FOOD OIL EXTRACTIONS, SIDDAGANGA OIL &amp; BIO INDUSTRIES, and SAKLECHA SOLVENTEX across both ricebran and sunflower oil categories._x000a_Ã¢â‚¬Â¢ **Leverage multi-supplier SKU opportunities**: Raw ricebran oil (Material 102038) shows procurement from 8+ different suppliers with similar specifications, creating immediate bundling potential to negotiate better pricing through volume concentration._x000a_Ã¢â‚¬Â¢ **Future market dynamics favor consolidation**: Rising commodity price volatility and supply chain disruptions are driving suppliers to prefer larger, committed volume relationships, making bundling strategies more effective in securing preferential pricing and supply continuity."/>
            <x14:filter val="Ã¢â‚¬Â¢ **Rationalize Malaysian plant specifications**: Both PH06 and SHJ2 facilities procure similar ricebran oil specifications (Material 102038) with identical quality requirements - standardize specifications across plants to enable cross-facility volume bundling._x000a_Ã¢â‚¬Â¢ **Simplify oil grade variations**: Multiple similar specifications for refined vs. raw oils create complexity - assess technical requirements to identify opportunities for specification harmonization without compromising product quality._x000a_Ã¢â‚¬Â¢ **Future specification standardization**: Industry evolution toward simplified, standardized specifications driven by cost optimization and supply chain efficiency requirements will favor organizations with rationalized specification portfolios, making current specification review essential for competitive procurement operations."/>
            <x14:filter val="Ã¢â‚¬Â¢ **Reduce packaging cost impact**: Packaging represents 3-5% of total vegetable oil costs in Indian supply regions - optimize toward bulk delivery to capture these savings while maintaining quality standards._x000a_Ã¢â‚¬Â¢ **Focus on high-impact regions**: Indian suppliers like SHIVAGANGA and SIDDAGANGA can offer bulk/flexi-tank options due to established infrastructure, enabling immediate cost structure optimization for Malaysia operations._x000a_Ã¢â‚¬Â¢ **Future cost structure benefits**: Industry evolution toward integrated supply chains and reduced handling complexity will amplify packaging optimization benefits, making current bulk delivery initiatives critical for maintaining competitive cost structures and operational efficiency in evolving commodity markets."/>
          </mc:Choice>
        </mc:AlternateContent>
      </filters>
    </filterColumn>
  </autoFilter>
  <mergeCells count="2">
    <mergeCell ref="E1:F1"/>
    <mergeCell ref="G1:H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48AB2-1695-4AAB-A836-0BD32E39C3CA}">
  <sheetPr filterMode="1"/>
  <dimension ref="A1:AB54"/>
  <sheetViews>
    <sheetView topLeftCell="U1" zoomScale="70" zoomScaleNormal="70" workbookViewId="0">
      <selection activeCell="AA25" sqref="AA25"/>
    </sheetView>
  </sheetViews>
  <sheetFormatPr defaultColWidth="22.7265625" defaultRowHeight="14.5" x14ac:dyDescent="0.35"/>
  <cols>
    <col min="1" max="18" width="22.7265625" style="61"/>
    <col min="19" max="19" width="60.81640625" style="61" customWidth="1"/>
    <col min="20" max="26" width="22.7265625" style="61"/>
    <col min="27" max="27" width="70.453125" style="61" customWidth="1"/>
    <col min="28" max="16384" width="22.7265625" style="61"/>
  </cols>
  <sheetData>
    <row r="1" spans="1:28" x14ac:dyDescent="0.35">
      <c r="A1" t="s">
        <v>1389</v>
      </c>
      <c r="B1" t="s">
        <v>1390</v>
      </c>
      <c r="C1" t="s">
        <v>1391</v>
      </c>
      <c r="D1" t="s">
        <v>7</v>
      </c>
      <c r="E1" t="s">
        <v>8</v>
      </c>
      <c r="F1" t="s">
        <v>1210</v>
      </c>
      <c r="G1" t="s">
        <v>1392</v>
      </c>
      <c r="H1" t="s">
        <v>1393</v>
      </c>
      <c r="I1" t="s">
        <v>1394</v>
      </c>
      <c r="J1" t="s">
        <v>1395</v>
      </c>
      <c r="K1" t="s">
        <v>1213</v>
      </c>
      <c r="L1" t="s">
        <v>20</v>
      </c>
      <c r="M1" t="s">
        <v>11</v>
      </c>
      <c r="N1" t="s">
        <v>12</v>
      </c>
      <c r="O1" t="s">
        <v>13</v>
      </c>
      <c r="P1" t="s">
        <v>14</v>
      </c>
      <c r="Q1" t="s">
        <v>1396</v>
      </c>
      <c r="R1" t="s">
        <v>1424</v>
      </c>
      <c r="S1" t="s">
        <v>1425</v>
      </c>
      <c r="T1" t="s">
        <v>1426</v>
      </c>
      <c r="U1" t="s">
        <v>1427</v>
      </c>
      <c r="V1" t="s">
        <v>1626</v>
      </c>
      <c r="W1" t="s">
        <v>1429</v>
      </c>
      <c r="X1" t="s">
        <v>1430</v>
      </c>
      <c r="Y1" t="s">
        <v>1431</v>
      </c>
      <c r="Z1" t="s">
        <v>1829</v>
      </c>
      <c r="AA1" t="s">
        <v>1830</v>
      </c>
      <c r="AB1" s="61" t="s">
        <v>1981</v>
      </c>
    </row>
    <row r="2" spans="1:28" ht="188.5" hidden="1" x14ac:dyDescent="0.35">
      <c r="A2">
        <v>1</v>
      </c>
      <c r="B2" t="s">
        <v>1451</v>
      </c>
      <c r="C2" t="s">
        <v>1452</v>
      </c>
      <c r="D2" t="s">
        <v>1224</v>
      </c>
      <c r="E2" t="s">
        <v>1453</v>
      </c>
      <c r="F2"/>
      <c r="G2" t="s">
        <v>1274</v>
      </c>
      <c r="H2" t="s">
        <v>1292</v>
      </c>
      <c r="I2"/>
      <c r="J2" t="s">
        <v>1982</v>
      </c>
      <c r="K2"/>
      <c r="L2" t="s">
        <v>1228</v>
      </c>
      <c r="M2" t="s">
        <v>1317</v>
      </c>
      <c r="N2" t="s">
        <v>1318</v>
      </c>
      <c r="O2" t="s">
        <v>1319</v>
      </c>
      <c r="P2" t="s">
        <v>1320</v>
      </c>
      <c r="Q2">
        <v>3</v>
      </c>
      <c r="R2" t="s">
        <v>1454</v>
      </c>
      <c r="S2" t="s">
        <v>1455</v>
      </c>
      <c r="T2" t="s">
        <v>1456</v>
      </c>
      <c r="U2" t="s">
        <v>1457</v>
      </c>
      <c r="V2"/>
      <c r="W2" t="s">
        <v>1458</v>
      </c>
      <c r="X2"/>
      <c r="Y2"/>
      <c r="Z2"/>
      <c r="AA2" s="18" t="s">
        <v>1983</v>
      </c>
      <c r="AB2" s="61" t="str">
        <f t="shared" ref="AB2:AB33" si="0">CONCATENATE(H2,"_",R2)</f>
        <v>To what extent have you explored bundling of volumes across different types of vegetable oils to maximize economies of scale?_Regional Spend Addressability</v>
      </c>
    </row>
    <row r="3" spans="1:28" ht="174" hidden="1" x14ac:dyDescent="0.35">
      <c r="A3">
        <v>1</v>
      </c>
      <c r="B3" t="s">
        <v>1451</v>
      </c>
      <c r="C3" t="s">
        <v>1452</v>
      </c>
      <c r="D3" t="s">
        <v>1224</v>
      </c>
      <c r="E3" t="s">
        <v>1453</v>
      </c>
      <c r="F3"/>
      <c r="G3" t="s">
        <v>1274</v>
      </c>
      <c r="H3" t="s">
        <v>1292</v>
      </c>
      <c r="I3"/>
      <c r="J3" t="s">
        <v>1462</v>
      </c>
      <c r="K3"/>
      <c r="L3" t="s">
        <v>1228</v>
      </c>
      <c r="M3" t="s">
        <v>1317</v>
      </c>
      <c r="N3" t="s">
        <v>1318</v>
      </c>
      <c r="O3" t="s">
        <v>1319</v>
      </c>
      <c r="P3" t="s">
        <v>1320</v>
      </c>
      <c r="Q3">
        <v>3</v>
      </c>
      <c r="R3" t="s">
        <v>1467</v>
      </c>
      <c r="S3" t="s">
        <v>1468</v>
      </c>
      <c r="T3" t="s">
        <v>1456</v>
      </c>
      <c r="U3" t="s">
        <v>1469</v>
      </c>
      <c r="V3"/>
      <c r="W3" t="s">
        <v>1458</v>
      </c>
      <c r="X3"/>
      <c r="Y3"/>
      <c r="Z3"/>
      <c r="AA3" s="18" t="s">
        <v>1984</v>
      </c>
      <c r="AB3" s="61" t="str">
        <f t="shared" si="0"/>
        <v>To what extent have you explored bundling of volumes across different types of vegetable oils to maximize economies of scale?_Tail Spend Consolidation Opportunity - Volume &amp; Administrative Savings</v>
      </c>
    </row>
    <row r="4" spans="1:28" ht="159.5" hidden="1" x14ac:dyDescent="0.35">
      <c r="A4">
        <v>1</v>
      </c>
      <c r="B4" t="s">
        <v>1451</v>
      </c>
      <c r="C4" t="s">
        <v>1452</v>
      </c>
      <c r="D4" t="s">
        <v>1224</v>
      </c>
      <c r="E4" t="s">
        <v>1453</v>
      </c>
      <c r="F4"/>
      <c r="G4" t="s">
        <v>1274</v>
      </c>
      <c r="H4" t="s">
        <v>1292</v>
      </c>
      <c r="I4"/>
      <c r="J4" t="s">
        <v>1462</v>
      </c>
      <c r="K4"/>
      <c r="L4" t="s">
        <v>1228</v>
      </c>
      <c r="M4" t="s">
        <v>1317</v>
      </c>
      <c r="N4" t="s">
        <v>1318</v>
      </c>
      <c r="O4" t="s">
        <v>1319</v>
      </c>
      <c r="P4" t="s">
        <v>1320</v>
      </c>
      <c r="Q4">
        <v>3</v>
      </c>
      <c r="R4" t="s">
        <v>1471</v>
      </c>
      <c r="S4" t="s">
        <v>1472</v>
      </c>
      <c r="T4" t="s">
        <v>1456</v>
      </c>
      <c r="U4" t="s">
        <v>1473</v>
      </c>
      <c r="V4"/>
      <c r="W4" t="s">
        <v>1458</v>
      </c>
      <c r="X4"/>
      <c r="Y4"/>
      <c r="Z4"/>
      <c r="AA4" s="18" t="s">
        <v>1985</v>
      </c>
      <c r="AB4" s="61" t="str">
        <f t="shared" si="0"/>
        <v>To what extent have you explored bundling of volumes across different types of vegetable oils to maximize economies of scale?_Volume Leverage from Fragmented Category Spend</v>
      </c>
    </row>
    <row r="5" spans="1:28" ht="159.5" hidden="1" x14ac:dyDescent="0.35">
      <c r="A5">
        <v>1</v>
      </c>
      <c r="B5" t="s">
        <v>1451</v>
      </c>
      <c r="C5" t="s">
        <v>1452</v>
      </c>
      <c r="D5" t="s">
        <v>1224</v>
      </c>
      <c r="E5" t="s">
        <v>1453</v>
      </c>
      <c r="F5"/>
      <c r="G5" t="s">
        <v>1274</v>
      </c>
      <c r="H5" t="s">
        <v>1292</v>
      </c>
      <c r="I5"/>
      <c r="J5" t="s">
        <v>1462</v>
      </c>
      <c r="K5"/>
      <c r="L5" t="s">
        <v>1228</v>
      </c>
      <c r="M5" t="s">
        <v>1317</v>
      </c>
      <c r="N5" t="s">
        <v>1318</v>
      </c>
      <c r="O5" t="s">
        <v>1319</v>
      </c>
      <c r="P5" t="s">
        <v>1320</v>
      </c>
      <c r="Q5">
        <v>3</v>
      </c>
      <c r="R5" t="s">
        <v>1986</v>
      </c>
      <c r="S5" t="s">
        <v>1478</v>
      </c>
      <c r="T5" t="s">
        <v>1456</v>
      </c>
      <c r="U5" t="s">
        <v>1479</v>
      </c>
      <c r="V5"/>
      <c r="W5" t="s">
        <v>1458</v>
      </c>
      <c r="X5"/>
      <c r="Y5"/>
      <c r="Z5"/>
      <c r="AA5" s="18" t="s">
        <v>1987</v>
      </c>
      <c r="AB5" s="61" t="str">
        <f t="shared" si="0"/>
        <v>To what extent have you explored bundling of volumes across different types of vegetable oils to maximize economies of scale?_Price Variance for Identical Items/SKUs</v>
      </c>
    </row>
    <row r="6" spans="1:28" ht="159.5" hidden="1" x14ac:dyDescent="0.35">
      <c r="A6">
        <v>1</v>
      </c>
      <c r="B6" t="s">
        <v>1451</v>
      </c>
      <c r="C6" t="s">
        <v>1452</v>
      </c>
      <c r="D6" t="s">
        <v>1224</v>
      </c>
      <c r="E6" t="s">
        <v>1453</v>
      </c>
      <c r="F6"/>
      <c r="G6" t="s">
        <v>1274</v>
      </c>
      <c r="H6" t="s">
        <v>1292</v>
      </c>
      <c r="I6"/>
      <c r="J6" t="s">
        <v>1462</v>
      </c>
      <c r="K6"/>
      <c r="L6" t="s">
        <v>1228</v>
      </c>
      <c r="M6" t="s">
        <v>1317</v>
      </c>
      <c r="N6" t="s">
        <v>1318</v>
      </c>
      <c r="O6" t="s">
        <v>1319</v>
      </c>
      <c r="P6" t="s">
        <v>1320</v>
      </c>
      <c r="Q6">
        <v>3</v>
      </c>
      <c r="R6" t="s">
        <v>1483</v>
      </c>
      <c r="S6" t="s">
        <v>1484</v>
      </c>
      <c r="T6" t="s">
        <v>1456</v>
      </c>
      <c r="U6" t="s">
        <v>1485</v>
      </c>
      <c r="V6"/>
      <c r="W6" t="s">
        <v>1458</v>
      </c>
      <c r="X6"/>
      <c r="Y6"/>
      <c r="Z6"/>
      <c r="AA6" s="18" t="s">
        <v>1988</v>
      </c>
      <c r="AB6" s="61" t="str">
        <f t="shared" si="0"/>
        <v>To what extent have you explored bundling of volumes across different types of vegetable oils to maximize economies of scale?_Average Spend per Supplier vs. Industry Benchmarks/Internal Targets</v>
      </c>
    </row>
    <row r="7" spans="1:28" ht="174" hidden="1" x14ac:dyDescent="0.35">
      <c r="A7">
        <v>1</v>
      </c>
      <c r="B7" t="s">
        <v>1451</v>
      </c>
      <c r="C7" t="s">
        <v>1452</v>
      </c>
      <c r="D7" t="s">
        <v>1224</v>
      </c>
      <c r="E7" t="s">
        <v>1453</v>
      </c>
      <c r="F7"/>
      <c r="G7" t="s">
        <v>1274</v>
      </c>
      <c r="H7" t="s">
        <v>1292</v>
      </c>
      <c r="I7"/>
      <c r="J7" t="s">
        <v>1462</v>
      </c>
      <c r="K7"/>
      <c r="L7" t="s">
        <v>1228</v>
      </c>
      <c r="M7" t="s">
        <v>1317</v>
      </c>
      <c r="N7" t="s">
        <v>1318</v>
      </c>
      <c r="O7" t="s">
        <v>1989</v>
      </c>
      <c r="P7" t="s">
        <v>1320</v>
      </c>
      <c r="Q7">
        <v>3</v>
      </c>
      <c r="R7" t="s">
        <v>1496</v>
      </c>
      <c r="S7"/>
      <c r="T7" t="s">
        <v>1493</v>
      </c>
      <c r="U7" t="s">
        <v>1497</v>
      </c>
      <c r="V7"/>
      <c r="W7" t="s">
        <v>1458</v>
      </c>
      <c r="X7"/>
      <c r="Y7"/>
      <c r="Z7"/>
      <c r="AA7" s="18" t="s">
        <v>1990</v>
      </c>
      <c r="AB7" s="61" t="str">
        <f t="shared" si="0"/>
        <v>To what extent have you explored bundling of volumes across different types of vegetable oils to maximize economies of scale?_Market Consolidation</v>
      </c>
    </row>
    <row r="8" spans="1:28" ht="174" hidden="1" x14ac:dyDescent="0.35">
      <c r="A8">
        <v>1</v>
      </c>
      <c r="B8" t="s">
        <v>1451</v>
      </c>
      <c r="C8" t="s">
        <v>1452</v>
      </c>
      <c r="D8" t="s">
        <v>1224</v>
      </c>
      <c r="E8" t="s">
        <v>1453</v>
      </c>
      <c r="F8"/>
      <c r="G8" t="s">
        <v>1274</v>
      </c>
      <c r="H8" t="s">
        <v>1292</v>
      </c>
      <c r="I8"/>
      <c r="J8" t="s">
        <v>1462</v>
      </c>
      <c r="K8"/>
      <c r="L8" t="s">
        <v>1228</v>
      </c>
      <c r="M8" t="s">
        <v>1317</v>
      </c>
      <c r="N8" t="s">
        <v>1318</v>
      </c>
      <c r="O8" t="s">
        <v>1319</v>
      </c>
      <c r="P8" t="s">
        <v>1320</v>
      </c>
      <c r="Q8">
        <v>3</v>
      </c>
      <c r="R8" t="s">
        <v>1517</v>
      </c>
      <c r="S8"/>
      <c r="T8" t="s">
        <v>1493</v>
      </c>
      <c r="U8" t="s">
        <v>1991</v>
      </c>
      <c r="V8"/>
      <c r="W8" t="s">
        <v>1458</v>
      </c>
      <c r="X8" s="18" t="s">
        <v>1519</v>
      </c>
      <c r="Y8"/>
      <c r="Z8"/>
      <c r="AA8" s="18" t="s">
        <v>1992</v>
      </c>
      <c r="AB8" s="61" t="str">
        <f t="shared" si="0"/>
        <v>To what extent have you explored bundling of volumes across different types of vegetable oils to maximize economies of scale?_Supplier Location</v>
      </c>
    </row>
    <row r="9" spans="1:28" ht="159.5" hidden="1" x14ac:dyDescent="0.35">
      <c r="A9">
        <v>1</v>
      </c>
      <c r="B9" t="s">
        <v>1451</v>
      </c>
      <c r="C9" t="s">
        <v>1452</v>
      </c>
      <c r="D9" t="s">
        <v>1224</v>
      </c>
      <c r="E9" t="s">
        <v>1453</v>
      </c>
      <c r="F9"/>
      <c r="G9" t="s">
        <v>1274</v>
      </c>
      <c r="H9" t="s">
        <v>1292</v>
      </c>
      <c r="I9"/>
      <c r="J9" t="s">
        <v>1462</v>
      </c>
      <c r="K9"/>
      <c r="L9" t="s">
        <v>1228</v>
      </c>
      <c r="M9" t="s">
        <v>1317</v>
      </c>
      <c r="N9" t="s">
        <v>1318</v>
      </c>
      <c r="O9" t="s">
        <v>1319</v>
      </c>
      <c r="P9" t="s">
        <v>1320</v>
      </c>
      <c r="Q9">
        <v>3</v>
      </c>
      <c r="R9" t="s">
        <v>1524</v>
      </c>
      <c r="S9"/>
      <c r="T9" t="s">
        <v>1493</v>
      </c>
      <c r="U9" t="s">
        <v>1993</v>
      </c>
      <c r="V9"/>
      <c r="W9" t="s">
        <v>1458</v>
      </c>
      <c r="X9" s="18" t="s">
        <v>1519</v>
      </c>
      <c r="Y9"/>
      <c r="Z9"/>
      <c r="AA9" s="18" t="s">
        <v>1994</v>
      </c>
      <c r="AB9" s="61" t="str">
        <f t="shared" si="0"/>
        <v>To what extent have you explored bundling of volumes across different types of vegetable oils to maximize economies of scale?_Supplier Risk Rating</v>
      </c>
    </row>
    <row r="10" spans="1:28" ht="217.5" hidden="1" x14ac:dyDescent="0.35">
      <c r="A10">
        <v>2</v>
      </c>
      <c r="B10" t="s">
        <v>1451</v>
      </c>
      <c r="C10" t="s">
        <v>1452</v>
      </c>
      <c r="D10" t="s">
        <v>1224</v>
      </c>
      <c r="E10" t="s">
        <v>1453</v>
      </c>
      <c r="F10"/>
      <c r="G10" t="s">
        <v>1274</v>
      </c>
      <c r="H10" t="s">
        <v>1289</v>
      </c>
      <c r="I10"/>
      <c r="J10" t="s">
        <v>1316</v>
      </c>
      <c r="K10"/>
      <c r="L10" t="s">
        <v>1288</v>
      </c>
      <c r="M10" t="s">
        <v>1312</v>
      </c>
      <c r="N10" t="s">
        <v>1313</v>
      </c>
      <c r="O10" t="s">
        <v>1314</v>
      </c>
      <c r="P10" t="s">
        <v>1315</v>
      </c>
      <c r="Q10">
        <v>1</v>
      </c>
      <c r="R10" t="s">
        <v>1986</v>
      </c>
      <c r="S10" t="s">
        <v>1534</v>
      </c>
      <c r="T10" t="s">
        <v>1456</v>
      </c>
      <c r="U10" s="18" t="s">
        <v>1535</v>
      </c>
      <c r="V10"/>
      <c r="W10" t="s">
        <v>1458</v>
      </c>
      <c r="X10"/>
      <c r="Y10"/>
      <c r="Z10"/>
      <c r="AA10" s="18" t="s">
        <v>1995</v>
      </c>
      <c r="AB10" s="61" t="str">
        <f t="shared" si="0"/>
        <v>To what extent do you use should cost models to challenge and negotiate supplier pricing?_Price Variance for Identical Items/SKUs</v>
      </c>
    </row>
    <row r="11" spans="1:28" ht="188.5" hidden="1" x14ac:dyDescent="0.35">
      <c r="A11">
        <v>2</v>
      </c>
      <c r="B11" t="s">
        <v>1451</v>
      </c>
      <c r="C11" t="s">
        <v>1452</v>
      </c>
      <c r="D11" t="s">
        <v>1224</v>
      </c>
      <c r="E11" t="s">
        <v>1453</v>
      </c>
      <c r="F11"/>
      <c r="G11" t="s">
        <v>1274</v>
      </c>
      <c r="H11" t="s">
        <v>1289</v>
      </c>
      <c r="I11"/>
      <c r="J11" t="s">
        <v>1316</v>
      </c>
      <c r="K11"/>
      <c r="L11" t="s">
        <v>1288</v>
      </c>
      <c r="M11" t="s">
        <v>1312</v>
      </c>
      <c r="N11" t="s">
        <v>1313</v>
      </c>
      <c r="O11" t="s">
        <v>1314</v>
      </c>
      <c r="P11" t="s">
        <v>1315</v>
      </c>
      <c r="Q11">
        <v>1</v>
      </c>
      <c r="R11" t="s">
        <v>1506</v>
      </c>
      <c r="S11"/>
      <c r="T11" t="s">
        <v>1493</v>
      </c>
      <c r="U11" t="s">
        <v>1540</v>
      </c>
      <c r="V11"/>
      <c r="W11" t="s">
        <v>1458</v>
      </c>
      <c r="X11" t="s">
        <v>1446</v>
      </c>
      <c r="Y11"/>
      <c r="Z11"/>
      <c r="AA11" s="18" t="s">
        <v>1996</v>
      </c>
      <c r="AB11" s="61" t="str">
        <f t="shared" si="0"/>
        <v>To what extent do you use should cost models to challenge and negotiate supplier pricing?_Tariff Rate</v>
      </c>
    </row>
    <row r="12" spans="1:28" ht="159.5" hidden="1" x14ac:dyDescent="0.35">
      <c r="A12">
        <v>2</v>
      </c>
      <c r="B12" t="s">
        <v>1451</v>
      </c>
      <c r="C12" t="s">
        <v>1452</v>
      </c>
      <c r="D12" t="s">
        <v>1224</v>
      </c>
      <c r="E12" t="s">
        <v>1453</v>
      </c>
      <c r="F12"/>
      <c r="G12" t="s">
        <v>1274</v>
      </c>
      <c r="H12" t="s">
        <v>1289</v>
      </c>
      <c r="I12"/>
      <c r="J12" t="s">
        <v>1316</v>
      </c>
      <c r="K12"/>
      <c r="L12" t="s">
        <v>1288</v>
      </c>
      <c r="M12" t="s">
        <v>1312</v>
      </c>
      <c r="N12" t="s">
        <v>1313</v>
      </c>
      <c r="O12" t="s">
        <v>1314</v>
      </c>
      <c r="P12" t="s">
        <v>1315</v>
      </c>
      <c r="Q12">
        <v>1</v>
      </c>
      <c r="R12" t="s">
        <v>1508</v>
      </c>
      <c r="S12"/>
      <c r="T12" t="s">
        <v>1493</v>
      </c>
      <c r="U12" t="s">
        <v>1544</v>
      </c>
      <c r="V12"/>
      <c r="W12" t="s">
        <v>1458</v>
      </c>
      <c r="X12"/>
      <c r="Y12"/>
      <c r="Z12"/>
      <c r="AA12" s="18" t="s">
        <v>1997</v>
      </c>
      <c r="AB12" s="61" t="str">
        <f t="shared" si="0"/>
        <v>To what extent do you use should cost models to challenge and negotiate supplier pricing?_Cost Structure</v>
      </c>
    </row>
    <row r="13" spans="1:28" ht="174" hidden="1" x14ac:dyDescent="0.35">
      <c r="A13">
        <v>2</v>
      </c>
      <c r="B13" t="s">
        <v>1451</v>
      </c>
      <c r="C13" t="s">
        <v>1452</v>
      </c>
      <c r="D13" t="s">
        <v>1224</v>
      </c>
      <c r="E13" t="s">
        <v>1453</v>
      </c>
      <c r="F13"/>
      <c r="G13" t="s">
        <v>1274</v>
      </c>
      <c r="H13" t="s">
        <v>1289</v>
      </c>
      <c r="I13"/>
      <c r="J13" t="s">
        <v>1316</v>
      </c>
      <c r="K13"/>
      <c r="L13" t="s">
        <v>1288</v>
      </c>
      <c r="M13" t="s">
        <v>1312</v>
      </c>
      <c r="N13" t="s">
        <v>1313</v>
      </c>
      <c r="O13" t="s">
        <v>1314</v>
      </c>
      <c r="P13" t="s">
        <v>1315</v>
      </c>
      <c r="Q13">
        <v>1</v>
      </c>
      <c r="R13" t="s">
        <v>1514</v>
      </c>
      <c r="S13"/>
      <c r="T13" t="s">
        <v>1493</v>
      </c>
      <c r="U13" s="18" t="s">
        <v>1546</v>
      </c>
      <c r="V13"/>
      <c r="W13" t="s">
        <v>1458</v>
      </c>
      <c r="X13" t="s">
        <v>1446</v>
      </c>
      <c r="Y13"/>
      <c r="Z13"/>
      <c r="AA13" s="18" t="s">
        <v>1998</v>
      </c>
      <c r="AB13" s="61" t="str">
        <f t="shared" si="0"/>
        <v>To what extent do you use should cost models to challenge and negotiate supplier pricing?_Unit Price</v>
      </c>
    </row>
    <row r="14" spans="1:28" ht="174" hidden="1" x14ac:dyDescent="0.35">
      <c r="A14">
        <v>3</v>
      </c>
      <c r="B14" t="s">
        <v>1451</v>
      </c>
      <c r="C14" t="s">
        <v>1452</v>
      </c>
      <c r="D14" t="s">
        <v>1224</v>
      </c>
      <c r="E14" t="s">
        <v>1453</v>
      </c>
      <c r="F14"/>
      <c r="G14" t="s">
        <v>1274</v>
      </c>
      <c r="H14" t="s">
        <v>1279</v>
      </c>
      <c r="I14"/>
      <c r="J14" t="s">
        <v>1336</v>
      </c>
      <c r="K14"/>
      <c r="L14" t="s">
        <v>1239</v>
      </c>
      <c r="M14" t="s">
        <v>1332</v>
      </c>
      <c r="N14" t="s">
        <v>1333</v>
      </c>
      <c r="O14" t="s">
        <v>1334</v>
      </c>
      <c r="P14" t="s">
        <v>1335</v>
      </c>
      <c r="Q14">
        <v>0</v>
      </c>
      <c r="R14" t="s">
        <v>1986</v>
      </c>
      <c r="S14" t="s">
        <v>1478</v>
      </c>
      <c r="T14" t="s">
        <v>1456</v>
      </c>
      <c r="U14" t="s">
        <v>1551</v>
      </c>
      <c r="V14"/>
      <c r="W14" t="s">
        <v>1458</v>
      </c>
      <c r="X14"/>
      <c r="Y14"/>
      <c r="Z14"/>
      <c r="AA14" s="18" t="s">
        <v>1999</v>
      </c>
      <c r="AB14" s="61" t="str">
        <f t="shared" si="0"/>
        <v>Do you review pack sizes and explore delivery options in bulk or flexi tanks to streamline supply chain operations and reduce costs?_Price Variance for Identical Items/SKUs</v>
      </c>
    </row>
    <row r="15" spans="1:28" ht="159.5" hidden="1" x14ac:dyDescent="0.35">
      <c r="A15">
        <v>3</v>
      </c>
      <c r="B15" t="s">
        <v>1451</v>
      </c>
      <c r="C15" t="s">
        <v>1452</v>
      </c>
      <c r="D15" t="s">
        <v>1224</v>
      </c>
      <c r="E15" t="s">
        <v>1453</v>
      </c>
      <c r="F15"/>
      <c r="G15" t="s">
        <v>1274</v>
      </c>
      <c r="H15" t="s">
        <v>1279</v>
      </c>
      <c r="I15"/>
      <c r="J15" t="s">
        <v>1336</v>
      </c>
      <c r="K15"/>
      <c r="L15" t="s">
        <v>1239</v>
      </c>
      <c r="M15" t="s">
        <v>1332</v>
      </c>
      <c r="N15" t="s">
        <v>1333</v>
      </c>
      <c r="O15" t="s">
        <v>1334</v>
      </c>
      <c r="P15" t="s">
        <v>1335</v>
      </c>
      <c r="Q15">
        <v>0</v>
      </c>
      <c r="R15" t="s">
        <v>1504</v>
      </c>
      <c r="S15"/>
      <c r="T15" t="s">
        <v>1493</v>
      </c>
      <c r="U15" t="s">
        <v>1554</v>
      </c>
      <c r="V15"/>
      <c r="W15" t="s">
        <v>1458</v>
      </c>
      <c r="X15"/>
      <c r="Y15"/>
      <c r="Z15"/>
      <c r="AA15" s="18" t="s">
        <v>2000</v>
      </c>
      <c r="AB15" s="61" t="str">
        <f t="shared" si="0"/>
        <v>Do you review pack sizes and explore delivery options in bulk or flexi tanks to streamline supply chain operations and reduce costs?_Export Data</v>
      </c>
    </row>
    <row r="16" spans="1:28" ht="159.5" hidden="1" x14ac:dyDescent="0.35">
      <c r="A16">
        <v>3</v>
      </c>
      <c r="B16" t="s">
        <v>1451</v>
      </c>
      <c r="C16" t="s">
        <v>1452</v>
      </c>
      <c r="D16" t="s">
        <v>1224</v>
      </c>
      <c r="E16" t="s">
        <v>1453</v>
      </c>
      <c r="F16"/>
      <c r="G16" t="s">
        <v>1274</v>
      </c>
      <c r="H16" t="s">
        <v>1279</v>
      </c>
      <c r="I16"/>
      <c r="J16" t="s">
        <v>1336</v>
      </c>
      <c r="K16"/>
      <c r="L16" t="s">
        <v>1239</v>
      </c>
      <c r="M16" t="s">
        <v>1332</v>
      </c>
      <c r="N16" t="s">
        <v>1333</v>
      </c>
      <c r="O16" t="s">
        <v>1334</v>
      </c>
      <c r="P16" t="s">
        <v>1335</v>
      </c>
      <c r="Q16">
        <v>0</v>
      </c>
      <c r="R16" t="s">
        <v>1508</v>
      </c>
      <c r="S16"/>
      <c r="T16" t="s">
        <v>1493</v>
      </c>
      <c r="U16" t="s">
        <v>1555</v>
      </c>
      <c r="V16"/>
      <c r="W16" t="s">
        <v>1458</v>
      </c>
      <c r="X16"/>
      <c r="Y16"/>
      <c r="Z16"/>
      <c r="AA16" s="18" t="s">
        <v>2001</v>
      </c>
      <c r="AB16" s="61" t="str">
        <f t="shared" si="0"/>
        <v>Do you review pack sizes and explore delivery options in bulk or flexi tanks to streamline supply chain operations and reduce costs?_Cost Structure</v>
      </c>
    </row>
    <row r="17" spans="1:28" ht="159.5" hidden="1" x14ac:dyDescent="0.35">
      <c r="A17">
        <v>4</v>
      </c>
      <c r="B17" t="s">
        <v>1451</v>
      </c>
      <c r="C17" t="s">
        <v>1452</v>
      </c>
      <c r="D17" t="s">
        <v>1224</v>
      </c>
      <c r="E17" t="s">
        <v>1453</v>
      </c>
      <c r="F17"/>
      <c r="G17" t="s">
        <v>1274</v>
      </c>
      <c r="H17" t="s">
        <v>1285</v>
      </c>
      <c r="I17"/>
      <c r="J17" t="s">
        <v>1311</v>
      </c>
      <c r="K17"/>
      <c r="L17" t="s">
        <v>1290</v>
      </c>
      <c r="M17" t="s">
        <v>1307</v>
      </c>
      <c r="N17" t="s">
        <v>1308</v>
      </c>
      <c r="O17" t="s">
        <v>1309</v>
      </c>
      <c r="P17" t="s">
        <v>1310</v>
      </c>
      <c r="Q17">
        <v>2</v>
      </c>
      <c r="R17" t="s">
        <v>1463</v>
      </c>
      <c r="S17" t="s">
        <v>1464</v>
      </c>
      <c r="T17" t="s">
        <v>1456</v>
      </c>
      <c r="U17" s="18" t="s">
        <v>1559</v>
      </c>
      <c r="V17"/>
      <c r="W17" t="s">
        <v>1458</v>
      </c>
      <c r="X17"/>
      <c r="Y17"/>
      <c r="Z17"/>
      <c r="AA17" s="18" t="s">
        <v>2002</v>
      </c>
      <c r="AB17" s="61" t="str">
        <f t="shared" si="0"/>
        <v>Do you approve / qualify multiple suppliers for specialty products to hedge against significant risks in the supply chain?_Single Sourcing / Supplier Dependency Risk</v>
      </c>
    </row>
    <row r="18" spans="1:28" ht="174" hidden="1" x14ac:dyDescent="0.35">
      <c r="A18">
        <v>4</v>
      </c>
      <c r="B18" t="s">
        <v>1451</v>
      </c>
      <c r="C18" t="s">
        <v>1452</v>
      </c>
      <c r="D18" t="s">
        <v>1224</v>
      </c>
      <c r="E18" t="s">
        <v>1453</v>
      </c>
      <c r="F18"/>
      <c r="G18" t="s">
        <v>1274</v>
      </c>
      <c r="H18" t="s">
        <v>1285</v>
      </c>
      <c r="I18"/>
      <c r="J18" t="s">
        <v>1311</v>
      </c>
      <c r="K18"/>
      <c r="L18" t="s">
        <v>1290</v>
      </c>
      <c r="M18" t="s">
        <v>1307</v>
      </c>
      <c r="N18" t="s">
        <v>1308</v>
      </c>
      <c r="O18" t="s">
        <v>1309</v>
      </c>
      <c r="P18" t="s">
        <v>1310</v>
      </c>
      <c r="Q18">
        <v>2</v>
      </c>
      <c r="R18" t="s">
        <v>1631</v>
      </c>
      <c r="S18" t="s">
        <v>1466</v>
      </c>
      <c r="T18" t="s">
        <v>1456</v>
      </c>
      <c r="U18" t="s">
        <v>1561</v>
      </c>
      <c r="V18"/>
      <c r="W18" t="s">
        <v>1458</v>
      </c>
      <c r="X18"/>
      <c r="Y18"/>
      <c r="Z18"/>
      <c r="AA18" s="18" t="s">
        <v>2003</v>
      </c>
      <c r="AB18" s="61" t="str">
        <f t="shared" si="0"/>
        <v>Do you approve / qualify multiple suppliers for specialty products to hedge against significant risks in the supply chain?_Supplier Concentration Risk</v>
      </c>
    </row>
    <row r="19" spans="1:28" ht="174" hidden="1" x14ac:dyDescent="0.35">
      <c r="A19">
        <v>4</v>
      </c>
      <c r="B19" t="s">
        <v>1451</v>
      </c>
      <c r="C19" t="s">
        <v>1452</v>
      </c>
      <c r="D19" t="s">
        <v>1224</v>
      </c>
      <c r="E19" t="s">
        <v>1453</v>
      </c>
      <c r="F19"/>
      <c r="G19" t="s">
        <v>1274</v>
      </c>
      <c r="H19" t="s">
        <v>1285</v>
      </c>
      <c r="I19"/>
      <c r="J19" t="s">
        <v>1311</v>
      </c>
      <c r="K19"/>
      <c r="L19" t="s">
        <v>1290</v>
      </c>
      <c r="M19" t="s">
        <v>1307</v>
      </c>
      <c r="N19" t="s">
        <v>1308</v>
      </c>
      <c r="O19" t="s">
        <v>1309</v>
      </c>
      <c r="P19" t="s">
        <v>1310</v>
      </c>
      <c r="Q19">
        <v>2</v>
      </c>
      <c r="R19" t="s">
        <v>1483</v>
      </c>
      <c r="S19" t="s">
        <v>1484</v>
      </c>
      <c r="T19" t="s">
        <v>1456</v>
      </c>
      <c r="U19" t="s">
        <v>1564</v>
      </c>
      <c r="V19"/>
      <c r="W19" t="s">
        <v>1458</v>
      </c>
      <c r="X19"/>
      <c r="Y19"/>
      <c r="Z19"/>
      <c r="AA19" s="18" t="s">
        <v>2004</v>
      </c>
      <c r="AB19" s="61" t="str">
        <f t="shared" si="0"/>
        <v>Do you approve / qualify multiple suppliers for specialty products to hedge against significant risks in the supply chain?_Average Spend per Supplier vs. Industry Benchmarks/Internal Targets</v>
      </c>
    </row>
    <row r="20" spans="1:28" ht="174" hidden="1" x14ac:dyDescent="0.35">
      <c r="A20">
        <v>4</v>
      </c>
      <c r="B20" t="s">
        <v>1451</v>
      </c>
      <c r="C20" t="s">
        <v>1452</v>
      </c>
      <c r="D20" t="s">
        <v>1224</v>
      </c>
      <c r="E20" t="s">
        <v>1453</v>
      </c>
      <c r="F20"/>
      <c r="G20" t="s">
        <v>1274</v>
      </c>
      <c r="H20" t="s">
        <v>1285</v>
      </c>
      <c r="I20"/>
      <c r="J20" t="s">
        <v>1311</v>
      </c>
      <c r="K20"/>
      <c r="L20" t="s">
        <v>1290</v>
      </c>
      <c r="M20" t="s">
        <v>1307</v>
      </c>
      <c r="N20" t="s">
        <v>1308</v>
      </c>
      <c r="O20" t="s">
        <v>1309</v>
      </c>
      <c r="P20" t="s">
        <v>1310</v>
      </c>
      <c r="Q20">
        <v>2</v>
      </c>
      <c r="R20" t="s">
        <v>1504</v>
      </c>
      <c r="S20"/>
      <c r="T20" t="s">
        <v>1493</v>
      </c>
      <c r="U20" s="18" t="s">
        <v>1565</v>
      </c>
      <c r="V20"/>
      <c r="W20" t="s">
        <v>1458</v>
      </c>
      <c r="X20" t="s">
        <v>1448</v>
      </c>
      <c r="Y20" s="18" t="s">
        <v>2005</v>
      </c>
      <c r="Z20"/>
      <c r="AA20" s="18" t="s">
        <v>2006</v>
      </c>
      <c r="AB20" s="61" t="str">
        <f t="shared" si="0"/>
        <v>Do you approve / qualify multiple suppliers for specialty products to hedge against significant risks in the supply chain?_Export Data</v>
      </c>
    </row>
    <row r="21" spans="1:28" ht="188.5" hidden="1" x14ac:dyDescent="0.35">
      <c r="A21">
        <v>5</v>
      </c>
      <c r="B21" t="s">
        <v>1451</v>
      </c>
      <c r="C21" t="s">
        <v>1452</v>
      </c>
      <c r="D21" t="s">
        <v>1224</v>
      </c>
      <c r="E21" t="s">
        <v>1453</v>
      </c>
      <c r="F21"/>
      <c r="G21" t="s">
        <v>1274</v>
      </c>
      <c r="H21" t="s">
        <v>1281</v>
      </c>
      <c r="I21"/>
      <c r="J21" t="s">
        <v>1326</v>
      </c>
      <c r="K21"/>
      <c r="L21" t="s">
        <v>1239</v>
      </c>
      <c r="M21" t="s">
        <v>1322</v>
      </c>
      <c r="N21" t="s">
        <v>1323</v>
      </c>
      <c r="O21" t="s">
        <v>1324</v>
      </c>
      <c r="P21" t="s">
        <v>1325</v>
      </c>
      <c r="Q21">
        <v>4</v>
      </c>
      <c r="R21" t="s">
        <v>1454</v>
      </c>
      <c r="S21" t="s">
        <v>1455</v>
      </c>
      <c r="T21" t="s">
        <v>1456</v>
      </c>
      <c r="U21" t="s">
        <v>1571</v>
      </c>
      <c r="V21"/>
      <c r="W21" t="s">
        <v>1458</v>
      </c>
      <c r="X21"/>
      <c r="Y21"/>
      <c r="Z21"/>
      <c r="AA21" s="18" t="s">
        <v>2007</v>
      </c>
      <c r="AB21" s="61" t="str">
        <f t="shared" si="0"/>
        <v>Have you undertaken specification rationalization to enable volume bundling and reduce sourcing complexity?_Regional Spend Addressability</v>
      </c>
    </row>
    <row r="22" spans="1:28" ht="188.5" x14ac:dyDescent="0.35">
      <c r="A22">
        <v>6</v>
      </c>
      <c r="B22" t="s">
        <v>1451</v>
      </c>
      <c r="C22" t="s">
        <v>1452</v>
      </c>
      <c r="D22" t="s">
        <v>1224</v>
      </c>
      <c r="E22" t="s">
        <v>1453</v>
      </c>
      <c r="F22"/>
      <c r="G22" t="s">
        <v>1274</v>
      </c>
      <c r="H22" t="s">
        <v>1284</v>
      </c>
      <c r="I22"/>
      <c r="J22" s="18" t="s">
        <v>1579</v>
      </c>
      <c r="K22"/>
      <c r="L22" t="s">
        <v>1260</v>
      </c>
      <c r="M22" t="s">
        <v>1302</v>
      </c>
      <c r="N22" t="s">
        <v>1303</v>
      </c>
      <c r="O22" t="s">
        <v>1304</v>
      </c>
      <c r="P22" t="s">
        <v>1305</v>
      </c>
      <c r="Q22">
        <v>2</v>
      </c>
      <c r="R22" t="s">
        <v>1463</v>
      </c>
      <c r="S22" t="s">
        <v>1464</v>
      </c>
      <c r="T22" t="s">
        <v>1456</v>
      </c>
      <c r="U22" t="s">
        <v>1581</v>
      </c>
      <c r="V22"/>
      <c r="W22" t="s">
        <v>1458</v>
      </c>
      <c r="X22" t="s">
        <v>1582</v>
      </c>
      <c r="Y22"/>
      <c r="Z22"/>
      <c r="AA22" s="18" t="s">
        <v>2008</v>
      </c>
      <c r="AB22" s="61" t="str">
        <f t="shared" si="0"/>
        <v>Are financial instruments, such as hedging or long-term contracts, used to manage risks in vegetable oil procurement?_Single Sourcing / Supplier Dependency Risk</v>
      </c>
    </row>
    <row r="23" spans="1:28" ht="145" hidden="1" x14ac:dyDescent="0.35">
      <c r="A23">
        <v>8</v>
      </c>
      <c r="B23" t="s">
        <v>1451</v>
      </c>
      <c r="C23" t="s">
        <v>1452</v>
      </c>
      <c r="D23" t="s">
        <v>1224</v>
      </c>
      <c r="E23" t="s">
        <v>1453</v>
      </c>
      <c r="F23"/>
      <c r="G23" t="s">
        <v>1269</v>
      </c>
      <c r="H23" t="s">
        <v>1270</v>
      </c>
      <c r="I23">
        <v>0.15</v>
      </c>
      <c r="J23" t="s">
        <v>1630</v>
      </c>
      <c r="K23"/>
      <c r="L23" t="s">
        <v>1631</v>
      </c>
      <c r="M23" t="s">
        <v>1337</v>
      </c>
      <c r="N23" t="s">
        <v>1338</v>
      </c>
      <c r="O23" t="s">
        <v>1339</v>
      </c>
      <c r="P23" t="s">
        <v>1340</v>
      </c>
      <c r="Q23">
        <v>4</v>
      </c>
      <c r="R23" t="s">
        <v>1463</v>
      </c>
      <c r="S23"/>
      <c r="T23" t="s">
        <v>1456</v>
      </c>
      <c r="U23" t="s">
        <v>2009</v>
      </c>
      <c r="V23"/>
      <c r="W23" t="s">
        <v>1458</v>
      </c>
      <c r="X23"/>
      <c r="Y23"/>
      <c r="Z23"/>
      <c r="AA23" s="18" t="s">
        <v>2010</v>
      </c>
      <c r="AB23" s="61" t="str">
        <f t="shared" si="0"/>
        <v>To what degree is the spend across suppliers concentrated within this category?_Single Sourcing / Supplier Dependency Risk</v>
      </c>
    </row>
    <row r="24" spans="1:28" ht="145" hidden="1" x14ac:dyDescent="0.35">
      <c r="A24">
        <v>9</v>
      </c>
      <c r="B24" t="s">
        <v>1451</v>
      </c>
      <c r="C24" t="s">
        <v>1452</v>
      </c>
      <c r="D24" t="s">
        <v>1224</v>
      </c>
      <c r="E24" t="s">
        <v>1453</v>
      </c>
      <c r="F24"/>
      <c r="G24" t="s">
        <v>1269</v>
      </c>
      <c r="H24" t="s">
        <v>1272</v>
      </c>
      <c r="I24">
        <v>0.35</v>
      </c>
      <c r="J24" t="s">
        <v>1641</v>
      </c>
      <c r="K24"/>
      <c r="L24" t="s">
        <v>1642</v>
      </c>
      <c r="M24" t="s">
        <v>1341</v>
      </c>
      <c r="N24" t="s">
        <v>1342</v>
      </c>
      <c r="O24" t="s">
        <v>1343</v>
      </c>
      <c r="P24" t="s">
        <v>1344</v>
      </c>
      <c r="Q24">
        <v>2</v>
      </c>
      <c r="R24" t="s">
        <v>1524</v>
      </c>
      <c r="S24"/>
      <c r="T24" t="s">
        <v>1456</v>
      </c>
      <c r="U24" s="18" t="s">
        <v>2011</v>
      </c>
      <c r="V24"/>
      <c r="W24" t="s">
        <v>1458</v>
      </c>
      <c r="X24"/>
      <c r="Y24"/>
      <c r="Z24"/>
      <c r="AA24" s="18" t="s">
        <v>2012</v>
      </c>
      <c r="AB24" s="61" t="str">
        <f t="shared" si="0"/>
        <v>What is the average (weight avg) financial risk profile of top suppliers? (suppliers covering top 80% spend)_Supplier Risk Rating</v>
      </c>
    </row>
    <row r="25" spans="1:28" ht="159.5" x14ac:dyDescent="0.35">
      <c r="A25">
        <v>6</v>
      </c>
      <c r="B25" t="s">
        <v>1451</v>
      </c>
      <c r="C25" t="s">
        <v>1452</v>
      </c>
      <c r="D25" t="s">
        <v>1224</v>
      </c>
      <c r="E25" t="s">
        <v>1453</v>
      </c>
      <c r="F25"/>
      <c r="G25" t="s">
        <v>1274</v>
      </c>
      <c r="H25" t="s">
        <v>1284</v>
      </c>
      <c r="I25"/>
      <c r="J25" t="s">
        <v>1306</v>
      </c>
      <c r="K25"/>
      <c r="L25" t="s">
        <v>1260</v>
      </c>
      <c r="M25" t="s">
        <v>1302</v>
      </c>
      <c r="N25" t="s">
        <v>1303</v>
      </c>
      <c r="O25" t="s">
        <v>1304</v>
      </c>
      <c r="P25" t="s">
        <v>1305</v>
      </c>
      <c r="Q25">
        <v>2</v>
      </c>
      <c r="R25" t="s">
        <v>1631</v>
      </c>
      <c r="S25" t="s">
        <v>1466</v>
      </c>
      <c r="T25" t="s">
        <v>1456</v>
      </c>
      <c r="U25" t="s">
        <v>1588</v>
      </c>
      <c r="V25"/>
      <c r="W25" t="s">
        <v>1458</v>
      </c>
      <c r="X25" t="s">
        <v>1582</v>
      </c>
      <c r="Y25"/>
      <c r="Z25"/>
      <c r="AA25" s="18" t="s">
        <v>2013</v>
      </c>
      <c r="AB25" s="61" t="str">
        <f t="shared" si="0"/>
        <v>Are financial instruments, such as hedging or long-term contracts, used to manage risks in vegetable oil procurement?_Supplier Concentration Risk</v>
      </c>
    </row>
    <row r="26" spans="1:28" ht="174" hidden="1" x14ac:dyDescent="0.35">
      <c r="A26">
        <v>7</v>
      </c>
      <c r="B26" t="s">
        <v>1451</v>
      </c>
      <c r="C26" t="s">
        <v>1452</v>
      </c>
      <c r="D26" t="s">
        <v>1224</v>
      </c>
      <c r="E26" t="s">
        <v>1453</v>
      </c>
      <c r="F26"/>
      <c r="G26" t="s">
        <v>1274</v>
      </c>
      <c r="H26" t="s">
        <v>1278</v>
      </c>
      <c r="I26"/>
      <c r="J26" t="s">
        <v>1331</v>
      </c>
      <c r="K26"/>
      <c r="L26" t="s">
        <v>1277</v>
      </c>
      <c r="M26" t="s">
        <v>1327</v>
      </c>
      <c r="N26" t="s">
        <v>1328</v>
      </c>
      <c r="O26" t="s">
        <v>1329</v>
      </c>
      <c r="P26" t="s">
        <v>1330</v>
      </c>
      <c r="Q26">
        <v>0</v>
      </c>
      <c r="R26" t="s">
        <v>1454</v>
      </c>
      <c r="S26" t="s">
        <v>1455</v>
      </c>
      <c r="T26" t="s">
        <v>1456</v>
      </c>
      <c r="U26" t="s">
        <v>1601</v>
      </c>
      <c r="V26"/>
      <c r="W26" t="s">
        <v>1458</v>
      </c>
      <c r="X26" t="s">
        <v>1582</v>
      </c>
      <c r="Y26"/>
      <c r="Z26"/>
      <c r="AA26" s="18" t="s">
        <v>2014</v>
      </c>
      <c r="AB26" s="61" t="str">
        <f t="shared" si="0"/>
        <v>Have you considered shifting sourcing origins to take advantage of cost or availability benefits? If so, what challenges have you faced?_Regional Spend Addressability</v>
      </c>
    </row>
    <row r="27" spans="1:28" ht="145" hidden="1" x14ac:dyDescent="0.35">
      <c r="A27">
        <v>10</v>
      </c>
      <c r="B27" t="s">
        <v>1451</v>
      </c>
      <c r="C27" t="s">
        <v>1452</v>
      </c>
      <c r="D27" t="s">
        <v>1224</v>
      </c>
      <c r="E27" t="s">
        <v>1453</v>
      </c>
      <c r="F27"/>
      <c r="G27" t="s">
        <v>1269</v>
      </c>
      <c r="H27" t="s">
        <v>1273</v>
      </c>
      <c r="I27">
        <v>0.25</v>
      </c>
      <c r="J27" t="s">
        <v>1641</v>
      </c>
      <c r="K27"/>
      <c r="L27" t="s">
        <v>1648</v>
      </c>
      <c r="M27" t="s">
        <v>1345</v>
      </c>
      <c r="N27" t="s">
        <v>1346</v>
      </c>
      <c r="O27" t="s">
        <v>1347</v>
      </c>
      <c r="P27" t="s">
        <v>1348</v>
      </c>
      <c r="Q27">
        <v>3</v>
      </c>
      <c r="R27" t="s">
        <v>1512</v>
      </c>
      <c r="S27"/>
      <c r="T27" t="s">
        <v>1493</v>
      </c>
      <c r="U27" t="s">
        <v>2015</v>
      </c>
      <c r="V27"/>
      <c r="W27" t="s">
        <v>1458</v>
      </c>
      <c r="X27"/>
      <c r="Y27"/>
      <c r="Z27"/>
      <c r="AA27" s="18" t="s">
        <v>2016</v>
      </c>
      <c r="AB27" s="61" t="str">
        <f t="shared" si="0"/>
        <v>What is the average (weighted avg) regional / geopoltical risk score across top suppliers?_Geo Political Risk</v>
      </c>
    </row>
    <row r="28" spans="1:28" ht="145" hidden="1" x14ac:dyDescent="0.35">
      <c r="A28">
        <v>10</v>
      </c>
      <c r="B28" t="s">
        <v>1451</v>
      </c>
      <c r="C28" t="s">
        <v>1452</v>
      </c>
      <c r="D28" t="s">
        <v>1224</v>
      </c>
      <c r="E28" t="s">
        <v>1453</v>
      </c>
      <c r="F28"/>
      <c r="G28" t="s">
        <v>1269</v>
      </c>
      <c r="H28" t="s">
        <v>1273</v>
      </c>
      <c r="I28">
        <v>0.25</v>
      </c>
      <c r="J28" t="s">
        <v>1641</v>
      </c>
      <c r="K28"/>
      <c r="L28" t="s">
        <v>1648</v>
      </c>
      <c r="M28" t="s">
        <v>1345</v>
      </c>
      <c r="N28" t="s">
        <v>1346</v>
      </c>
      <c r="O28" t="s">
        <v>1347</v>
      </c>
      <c r="P28" t="s">
        <v>1348</v>
      </c>
      <c r="Q28">
        <v>3</v>
      </c>
      <c r="R28" t="s">
        <v>1512</v>
      </c>
      <c r="S28"/>
      <c r="T28" t="s">
        <v>1493</v>
      </c>
      <c r="U28" t="s">
        <v>2015</v>
      </c>
      <c r="V28"/>
      <c r="W28" t="s">
        <v>1458</v>
      </c>
      <c r="X28"/>
      <c r="Y28"/>
      <c r="Z28"/>
      <c r="AA28" s="18" t="s">
        <v>2016</v>
      </c>
      <c r="AB28" s="61" t="str">
        <f t="shared" si="0"/>
        <v>What is the average (weighted avg) regional / geopoltical risk score across top suppliers?_Geo Political Risk</v>
      </c>
    </row>
    <row r="29" spans="1:28" ht="145" hidden="1" x14ac:dyDescent="0.35">
      <c r="A29">
        <v>10</v>
      </c>
      <c r="B29" t="s">
        <v>1451</v>
      </c>
      <c r="C29" t="s">
        <v>1452</v>
      </c>
      <c r="D29" t="s">
        <v>1224</v>
      </c>
      <c r="E29" t="s">
        <v>1453</v>
      </c>
      <c r="F29"/>
      <c r="G29" t="s">
        <v>1269</v>
      </c>
      <c r="H29" t="s">
        <v>1273</v>
      </c>
      <c r="I29">
        <v>0.25</v>
      </c>
      <c r="J29" t="s">
        <v>1641</v>
      </c>
      <c r="K29"/>
      <c r="L29" t="s">
        <v>1648</v>
      </c>
      <c r="M29" t="s">
        <v>1345</v>
      </c>
      <c r="N29" t="s">
        <v>1346</v>
      </c>
      <c r="O29" t="s">
        <v>1347</v>
      </c>
      <c r="P29" t="s">
        <v>1348</v>
      </c>
      <c r="Q29">
        <v>3</v>
      </c>
      <c r="R29" t="s">
        <v>1512</v>
      </c>
      <c r="S29"/>
      <c r="T29" t="s">
        <v>1493</v>
      </c>
      <c r="U29" t="s">
        <v>2015</v>
      </c>
      <c r="V29"/>
      <c r="W29" t="s">
        <v>1458</v>
      </c>
      <c r="X29"/>
      <c r="Y29"/>
      <c r="Z29"/>
      <c r="AA29" s="18" t="s">
        <v>2016</v>
      </c>
      <c r="AB29" s="61" t="str">
        <f t="shared" si="0"/>
        <v>What is the average (weighted avg) regional / geopoltical risk score across top suppliers?_Geo Political Risk</v>
      </c>
    </row>
    <row r="30" spans="1:28" ht="145" hidden="1" x14ac:dyDescent="0.35">
      <c r="A30">
        <v>10</v>
      </c>
      <c r="B30" t="s">
        <v>1451</v>
      </c>
      <c r="C30" t="s">
        <v>1452</v>
      </c>
      <c r="D30" t="s">
        <v>1224</v>
      </c>
      <c r="E30" t="s">
        <v>1453</v>
      </c>
      <c r="F30"/>
      <c r="G30" t="s">
        <v>1269</v>
      </c>
      <c r="H30" t="s">
        <v>1273</v>
      </c>
      <c r="I30">
        <v>0.25</v>
      </c>
      <c r="J30" t="s">
        <v>1641</v>
      </c>
      <c r="K30"/>
      <c r="L30" t="s">
        <v>1648</v>
      </c>
      <c r="M30" t="s">
        <v>1345</v>
      </c>
      <c r="N30" t="s">
        <v>1346</v>
      </c>
      <c r="O30" t="s">
        <v>1347</v>
      </c>
      <c r="P30" t="s">
        <v>1348</v>
      </c>
      <c r="Q30">
        <v>3</v>
      </c>
      <c r="R30" t="s">
        <v>1512</v>
      </c>
      <c r="S30"/>
      <c r="T30" t="s">
        <v>1493</v>
      </c>
      <c r="U30" t="s">
        <v>2015</v>
      </c>
      <c r="V30"/>
      <c r="W30" t="s">
        <v>1458</v>
      </c>
      <c r="X30"/>
      <c r="Y30"/>
      <c r="Z30"/>
      <c r="AA30" s="18" t="s">
        <v>2016</v>
      </c>
      <c r="AB30" s="61" t="str">
        <f t="shared" si="0"/>
        <v>What is the average (weighted avg) regional / geopoltical risk score across top suppliers?_Geo Political Risk</v>
      </c>
    </row>
    <row r="31" spans="1:28" ht="145" hidden="1" x14ac:dyDescent="0.35">
      <c r="A31">
        <v>10</v>
      </c>
      <c r="B31" t="s">
        <v>1451</v>
      </c>
      <c r="C31" t="s">
        <v>1452</v>
      </c>
      <c r="D31" t="s">
        <v>1224</v>
      </c>
      <c r="E31" t="s">
        <v>1453</v>
      </c>
      <c r="F31"/>
      <c r="G31" t="s">
        <v>1269</v>
      </c>
      <c r="H31" t="s">
        <v>1273</v>
      </c>
      <c r="I31">
        <v>0.25</v>
      </c>
      <c r="J31" t="s">
        <v>1641</v>
      </c>
      <c r="K31"/>
      <c r="L31" t="s">
        <v>1648</v>
      </c>
      <c r="M31" t="s">
        <v>1345</v>
      </c>
      <c r="N31" t="s">
        <v>1346</v>
      </c>
      <c r="O31" t="s">
        <v>1347</v>
      </c>
      <c r="P31" t="s">
        <v>1348</v>
      </c>
      <c r="Q31">
        <v>3</v>
      </c>
      <c r="R31" t="s">
        <v>1512</v>
      </c>
      <c r="S31"/>
      <c r="T31" t="s">
        <v>1493</v>
      </c>
      <c r="U31" t="s">
        <v>2015</v>
      </c>
      <c r="V31"/>
      <c r="W31" t="s">
        <v>1458</v>
      </c>
      <c r="X31"/>
      <c r="Y31"/>
      <c r="Z31"/>
      <c r="AA31" s="18" t="s">
        <v>2016</v>
      </c>
      <c r="AB31" s="61" t="str">
        <f t="shared" si="0"/>
        <v>What is the average (weighted avg) regional / geopoltical risk score across top suppliers?_Geo Political Risk</v>
      </c>
    </row>
    <row r="32" spans="1:28" ht="145" hidden="1" x14ac:dyDescent="0.35">
      <c r="A32">
        <v>10</v>
      </c>
      <c r="B32" t="s">
        <v>1451</v>
      </c>
      <c r="C32" t="s">
        <v>1452</v>
      </c>
      <c r="D32" t="s">
        <v>1224</v>
      </c>
      <c r="E32" t="s">
        <v>1453</v>
      </c>
      <c r="F32"/>
      <c r="G32" t="s">
        <v>1269</v>
      </c>
      <c r="H32" t="s">
        <v>1273</v>
      </c>
      <c r="I32">
        <v>0.25</v>
      </c>
      <c r="J32" t="s">
        <v>1641</v>
      </c>
      <c r="K32"/>
      <c r="L32" t="s">
        <v>1648</v>
      </c>
      <c r="M32" t="s">
        <v>1345</v>
      </c>
      <c r="N32" t="s">
        <v>1346</v>
      </c>
      <c r="O32" t="s">
        <v>1347</v>
      </c>
      <c r="P32" t="s">
        <v>1348</v>
      </c>
      <c r="Q32">
        <v>3</v>
      </c>
      <c r="R32" t="s">
        <v>1512</v>
      </c>
      <c r="S32"/>
      <c r="T32" t="s">
        <v>1493</v>
      </c>
      <c r="U32" t="s">
        <v>2015</v>
      </c>
      <c r="V32"/>
      <c r="W32" t="s">
        <v>1458</v>
      </c>
      <c r="X32"/>
      <c r="Y32"/>
      <c r="Z32"/>
      <c r="AA32" s="18" t="s">
        <v>2016</v>
      </c>
      <c r="AB32" s="61" t="str">
        <f t="shared" si="0"/>
        <v>What is the average (weighted avg) regional / geopoltical risk score across top suppliers?_Geo Political Risk</v>
      </c>
    </row>
    <row r="33" spans="1:28" ht="145" hidden="1" x14ac:dyDescent="0.35">
      <c r="A33">
        <v>10</v>
      </c>
      <c r="B33" t="s">
        <v>1451</v>
      </c>
      <c r="C33" t="s">
        <v>1452</v>
      </c>
      <c r="D33" t="s">
        <v>1224</v>
      </c>
      <c r="E33" t="s">
        <v>1453</v>
      </c>
      <c r="F33"/>
      <c r="G33" t="s">
        <v>1269</v>
      </c>
      <c r="H33" t="s">
        <v>1273</v>
      </c>
      <c r="I33">
        <v>0.25</v>
      </c>
      <c r="J33" t="s">
        <v>1641</v>
      </c>
      <c r="K33"/>
      <c r="L33" t="s">
        <v>1648</v>
      </c>
      <c r="M33" t="s">
        <v>1345</v>
      </c>
      <c r="N33" t="s">
        <v>1346</v>
      </c>
      <c r="O33" t="s">
        <v>1347</v>
      </c>
      <c r="P33" t="s">
        <v>1348</v>
      </c>
      <c r="Q33">
        <v>3</v>
      </c>
      <c r="R33" t="s">
        <v>1512</v>
      </c>
      <c r="S33"/>
      <c r="T33" t="s">
        <v>1493</v>
      </c>
      <c r="U33" t="s">
        <v>2015</v>
      </c>
      <c r="V33"/>
      <c r="W33" t="s">
        <v>1458</v>
      </c>
      <c r="X33"/>
      <c r="Y33"/>
      <c r="Z33"/>
      <c r="AA33" s="18" t="s">
        <v>2016</v>
      </c>
      <c r="AB33" s="61" t="str">
        <f t="shared" si="0"/>
        <v>What is the average (weighted avg) regional / geopoltical risk score across top suppliers?_Geo Political Risk</v>
      </c>
    </row>
    <row r="34" spans="1:28" ht="145" hidden="1" x14ac:dyDescent="0.35">
      <c r="A34">
        <v>10</v>
      </c>
      <c r="B34" t="s">
        <v>1451</v>
      </c>
      <c r="C34" t="s">
        <v>1452</v>
      </c>
      <c r="D34" t="s">
        <v>1224</v>
      </c>
      <c r="E34" t="s">
        <v>1453</v>
      </c>
      <c r="F34"/>
      <c r="G34" t="s">
        <v>1269</v>
      </c>
      <c r="H34" t="s">
        <v>1273</v>
      </c>
      <c r="I34">
        <v>0.25</v>
      </c>
      <c r="J34" t="s">
        <v>1641</v>
      </c>
      <c r="K34"/>
      <c r="L34" t="s">
        <v>1648</v>
      </c>
      <c r="M34" t="s">
        <v>1345</v>
      </c>
      <c r="N34" t="s">
        <v>1346</v>
      </c>
      <c r="O34" t="s">
        <v>1347</v>
      </c>
      <c r="P34" t="s">
        <v>1348</v>
      </c>
      <c r="Q34">
        <v>3</v>
      </c>
      <c r="R34" t="s">
        <v>1512</v>
      </c>
      <c r="S34"/>
      <c r="T34" t="s">
        <v>1493</v>
      </c>
      <c r="U34" t="s">
        <v>2015</v>
      </c>
      <c r="V34"/>
      <c r="W34" t="s">
        <v>1458</v>
      </c>
      <c r="X34"/>
      <c r="Y34"/>
      <c r="Z34"/>
      <c r="AA34" s="18" t="s">
        <v>2016</v>
      </c>
      <c r="AB34" s="61" t="str">
        <f t="shared" ref="AB34:AB54" si="1">CONCATENATE(H34,"_",R34)</f>
        <v>What is the average (weighted avg) regional / geopoltical risk score across top suppliers?_Geo Political Risk</v>
      </c>
    </row>
    <row r="35" spans="1:28" ht="145" hidden="1" x14ac:dyDescent="0.35">
      <c r="A35">
        <v>10</v>
      </c>
      <c r="B35" t="s">
        <v>1451</v>
      </c>
      <c r="C35" t="s">
        <v>1452</v>
      </c>
      <c r="D35" t="s">
        <v>1224</v>
      </c>
      <c r="E35" t="s">
        <v>1453</v>
      </c>
      <c r="F35"/>
      <c r="G35" t="s">
        <v>1269</v>
      </c>
      <c r="H35" t="s">
        <v>1273</v>
      </c>
      <c r="I35">
        <v>0.25</v>
      </c>
      <c r="J35" t="s">
        <v>1641</v>
      </c>
      <c r="K35"/>
      <c r="L35" t="s">
        <v>1648</v>
      </c>
      <c r="M35" t="s">
        <v>1345</v>
      </c>
      <c r="N35" t="s">
        <v>1346</v>
      </c>
      <c r="O35" t="s">
        <v>1347</v>
      </c>
      <c r="P35" t="s">
        <v>1348</v>
      </c>
      <c r="Q35">
        <v>3</v>
      </c>
      <c r="R35" t="s">
        <v>1512</v>
      </c>
      <c r="S35"/>
      <c r="T35" t="s">
        <v>1493</v>
      </c>
      <c r="U35" t="s">
        <v>2015</v>
      </c>
      <c r="V35"/>
      <c r="W35" t="s">
        <v>1458</v>
      </c>
      <c r="X35"/>
      <c r="Y35"/>
      <c r="Z35"/>
      <c r="AA35" s="18" t="s">
        <v>2016</v>
      </c>
      <c r="AB35" s="61" t="str">
        <f t="shared" si="1"/>
        <v>What is the average (weighted avg) regional / geopoltical risk score across top suppliers?_Geo Political Risk</v>
      </c>
    </row>
    <row r="36" spans="1:28" ht="145" hidden="1" x14ac:dyDescent="0.35">
      <c r="A36">
        <v>10</v>
      </c>
      <c r="B36" t="s">
        <v>1451</v>
      </c>
      <c r="C36" t="s">
        <v>1452</v>
      </c>
      <c r="D36" t="s">
        <v>1224</v>
      </c>
      <c r="E36" t="s">
        <v>1453</v>
      </c>
      <c r="F36"/>
      <c r="G36" t="s">
        <v>1269</v>
      </c>
      <c r="H36" t="s">
        <v>1273</v>
      </c>
      <c r="I36">
        <v>0.25</v>
      </c>
      <c r="J36" t="s">
        <v>1641</v>
      </c>
      <c r="K36"/>
      <c r="L36" t="s">
        <v>1648</v>
      </c>
      <c r="M36" t="s">
        <v>1345</v>
      </c>
      <c r="N36" t="s">
        <v>1346</v>
      </c>
      <c r="O36" t="s">
        <v>1347</v>
      </c>
      <c r="P36" t="s">
        <v>1348</v>
      </c>
      <c r="Q36">
        <v>3</v>
      </c>
      <c r="R36" t="s">
        <v>1512</v>
      </c>
      <c r="S36"/>
      <c r="T36" t="s">
        <v>1493</v>
      </c>
      <c r="U36" t="s">
        <v>2015</v>
      </c>
      <c r="V36"/>
      <c r="W36" t="s">
        <v>1458</v>
      </c>
      <c r="X36"/>
      <c r="Y36"/>
      <c r="Z36"/>
      <c r="AA36" s="18" t="s">
        <v>2016</v>
      </c>
      <c r="AB36" s="61" t="str">
        <f t="shared" si="1"/>
        <v>What is the average (weighted avg) regional / geopoltical risk score across top suppliers?_Geo Political Risk</v>
      </c>
    </row>
    <row r="37" spans="1:28" ht="145" hidden="1" x14ac:dyDescent="0.35">
      <c r="A37">
        <v>10</v>
      </c>
      <c r="B37" t="s">
        <v>1451</v>
      </c>
      <c r="C37" t="s">
        <v>1452</v>
      </c>
      <c r="D37" t="s">
        <v>1224</v>
      </c>
      <c r="E37" t="s">
        <v>1453</v>
      </c>
      <c r="F37"/>
      <c r="G37" t="s">
        <v>1269</v>
      </c>
      <c r="H37" t="s">
        <v>1273</v>
      </c>
      <c r="I37">
        <v>0.25</v>
      </c>
      <c r="J37" t="s">
        <v>1641</v>
      </c>
      <c r="K37"/>
      <c r="L37" t="s">
        <v>1648</v>
      </c>
      <c r="M37" t="s">
        <v>1345</v>
      </c>
      <c r="N37" t="s">
        <v>1346</v>
      </c>
      <c r="O37" t="s">
        <v>1347</v>
      </c>
      <c r="P37" t="s">
        <v>1348</v>
      </c>
      <c r="Q37">
        <v>3</v>
      </c>
      <c r="R37" t="s">
        <v>1512</v>
      </c>
      <c r="S37"/>
      <c r="T37" t="s">
        <v>1493</v>
      </c>
      <c r="U37" t="s">
        <v>2015</v>
      </c>
      <c r="V37"/>
      <c r="W37" t="s">
        <v>1458</v>
      </c>
      <c r="X37"/>
      <c r="Y37"/>
      <c r="Z37"/>
      <c r="AA37" s="18" t="s">
        <v>2016</v>
      </c>
      <c r="AB37" s="61" t="str">
        <f t="shared" si="1"/>
        <v>What is the average (weighted avg) regional / geopoltical risk score across top suppliers?_Geo Political Risk</v>
      </c>
    </row>
    <row r="38" spans="1:28" ht="145" hidden="1" x14ac:dyDescent="0.35">
      <c r="A38">
        <v>10</v>
      </c>
      <c r="B38" t="s">
        <v>1451</v>
      </c>
      <c r="C38" t="s">
        <v>1452</v>
      </c>
      <c r="D38" t="s">
        <v>1224</v>
      </c>
      <c r="E38" t="s">
        <v>1453</v>
      </c>
      <c r="F38"/>
      <c r="G38" t="s">
        <v>1269</v>
      </c>
      <c r="H38" t="s">
        <v>1273</v>
      </c>
      <c r="I38">
        <v>0.25</v>
      </c>
      <c r="J38" t="s">
        <v>1641</v>
      </c>
      <c r="K38"/>
      <c r="L38" t="s">
        <v>1648</v>
      </c>
      <c r="M38" t="s">
        <v>1345</v>
      </c>
      <c r="N38" t="s">
        <v>1346</v>
      </c>
      <c r="O38" t="s">
        <v>1347</v>
      </c>
      <c r="P38" t="s">
        <v>1348</v>
      </c>
      <c r="Q38">
        <v>3</v>
      </c>
      <c r="R38" t="s">
        <v>1512</v>
      </c>
      <c r="S38"/>
      <c r="T38" t="s">
        <v>1493</v>
      </c>
      <c r="U38" t="s">
        <v>2015</v>
      </c>
      <c r="V38"/>
      <c r="W38" t="s">
        <v>1458</v>
      </c>
      <c r="X38"/>
      <c r="Y38"/>
      <c r="Z38"/>
      <c r="AA38" s="18" t="s">
        <v>2016</v>
      </c>
      <c r="AB38" s="61" t="str">
        <f t="shared" si="1"/>
        <v>What is the average (weighted avg) regional / geopoltical risk score across top suppliers?_Geo Political Risk</v>
      </c>
    </row>
    <row r="39" spans="1:28" ht="145" hidden="1" x14ac:dyDescent="0.35">
      <c r="A39">
        <v>10</v>
      </c>
      <c r="B39" t="s">
        <v>1451</v>
      </c>
      <c r="C39" t="s">
        <v>1452</v>
      </c>
      <c r="D39" t="s">
        <v>1224</v>
      </c>
      <c r="E39" t="s">
        <v>1453</v>
      </c>
      <c r="F39"/>
      <c r="G39" t="s">
        <v>1269</v>
      </c>
      <c r="H39" t="s">
        <v>1273</v>
      </c>
      <c r="I39">
        <v>0.25</v>
      </c>
      <c r="J39" t="s">
        <v>1641</v>
      </c>
      <c r="K39"/>
      <c r="L39" t="s">
        <v>1648</v>
      </c>
      <c r="M39" t="s">
        <v>1345</v>
      </c>
      <c r="N39" t="s">
        <v>1346</v>
      </c>
      <c r="O39" t="s">
        <v>1347</v>
      </c>
      <c r="P39" t="s">
        <v>1348</v>
      </c>
      <c r="Q39">
        <v>3</v>
      </c>
      <c r="R39" t="s">
        <v>1512</v>
      </c>
      <c r="S39"/>
      <c r="T39" t="s">
        <v>1493</v>
      </c>
      <c r="U39" t="s">
        <v>2015</v>
      </c>
      <c r="V39"/>
      <c r="W39" t="s">
        <v>1458</v>
      </c>
      <c r="X39"/>
      <c r="Y39"/>
      <c r="Z39"/>
      <c r="AA39" s="18" t="s">
        <v>2016</v>
      </c>
      <c r="AB39" s="61" t="str">
        <f t="shared" si="1"/>
        <v>What is the average (weighted avg) regional / geopoltical risk score across top suppliers?_Geo Political Risk</v>
      </c>
    </row>
    <row r="40" spans="1:28" ht="145" hidden="1" x14ac:dyDescent="0.35">
      <c r="A40">
        <v>10</v>
      </c>
      <c r="B40" t="s">
        <v>1451</v>
      </c>
      <c r="C40" t="s">
        <v>1452</v>
      </c>
      <c r="D40" t="s">
        <v>1224</v>
      </c>
      <c r="E40" t="s">
        <v>1453</v>
      </c>
      <c r="F40"/>
      <c r="G40" t="s">
        <v>1269</v>
      </c>
      <c r="H40" t="s">
        <v>1273</v>
      </c>
      <c r="I40">
        <v>0.25</v>
      </c>
      <c r="J40" t="s">
        <v>1641</v>
      </c>
      <c r="K40"/>
      <c r="L40" t="s">
        <v>1648</v>
      </c>
      <c r="M40" t="s">
        <v>1345</v>
      </c>
      <c r="N40" t="s">
        <v>1346</v>
      </c>
      <c r="O40" t="s">
        <v>1347</v>
      </c>
      <c r="P40" t="s">
        <v>1348</v>
      </c>
      <c r="Q40">
        <v>3</v>
      </c>
      <c r="R40" t="s">
        <v>1512</v>
      </c>
      <c r="S40"/>
      <c r="T40" t="s">
        <v>1493</v>
      </c>
      <c r="U40" t="s">
        <v>2015</v>
      </c>
      <c r="V40"/>
      <c r="W40" t="s">
        <v>1458</v>
      </c>
      <c r="X40"/>
      <c r="Y40"/>
      <c r="Z40"/>
      <c r="AA40" s="18" t="s">
        <v>2016</v>
      </c>
      <c r="AB40" s="61" t="str">
        <f t="shared" si="1"/>
        <v>What is the average (weighted avg) regional / geopoltical risk score across top suppliers?_Geo Political Risk</v>
      </c>
    </row>
    <row r="41" spans="1:28" ht="145" hidden="1" x14ac:dyDescent="0.35">
      <c r="A41">
        <v>10</v>
      </c>
      <c r="B41" t="s">
        <v>1451</v>
      </c>
      <c r="C41" t="s">
        <v>1452</v>
      </c>
      <c r="D41" t="s">
        <v>1224</v>
      </c>
      <c r="E41" t="s">
        <v>1453</v>
      </c>
      <c r="F41"/>
      <c r="G41" t="s">
        <v>1269</v>
      </c>
      <c r="H41" t="s">
        <v>1273</v>
      </c>
      <c r="I41">
        <v>0.25</v>
      </c>
      <c r="J41" t="s">
        <v>1641</v>
      </c>
      <c r="K41"/>
      <c r="L41" t="s">
        <v>1648</v>
      </c>
      <c r="M41" t="s">
        <v>1345</v>
      </c>
      <c r="N41" t="s">
        <v>1346</v>
      </c>
      <c r="O41" t="s">
        <v>1347</v>
      </c>
      <c r="P41" t="s">
        <v>1348</v>
      </c>
      <c r="Q41">
        <v>3</v>
      </c>
      <c r="R41" t="s">
        <v>1512</v>
      </c>
      <c r="S41"/>
      <c r="T41" t="s">
        <v>1493</v>
      </c>
      <c r="U41" t="s">
        <v>2015</v>
      </c>
      <c r="V41"/>
      <c r="W41" t="s">
        <v>1458</v>
      </c>
      <c r="X41"/>
      <c r="Y41"/>
      <c r="Z41"/>
      <c r="AA41" s="18" t="s">
        <v>2016</v>
      </c>
      <c r="AB41" s="61" t="str">
        <f t="shared" si="1"/>
        <v>What is the average (weighted avg) regional / geopoltical risk score across top suppliers?_Geo Political Risk</v>
      </c>
    </row>
    <row r="42" spans="1:28" ht="145" hidden="1" x14ac:dyDescent="0.35">
      <c r="A42">
        <v>10</v>
      </c>
      <c r="B42" t="s">
        <v>1451</v>
      </c>
      <c r="C42" t="s">
        <v>1452</v>
      </c>
      <c r="D42" t="s">
        <v>1224</v>
      </c>
      <c r="E42" t="s">
        <v>1453</v>
      </c>
      <c r="F42"/>
      <c r="G42" t="s">
        <v>1269</v>
      </c>
      <c r="H42" t="s">
        <v>1273</v>
      </c>
      <c r="I42">
        <v>0.25</v>
      </c>
      <c r="J42" t="s">
        <v>1641</v>
      </c>
      <c r="K42"/>
      <c r="L42" t="s">
        <v>1648</v>
      </c>
      <c r="M42" t="s">
        <v>1345</v>
      </c>
      <c r="N42" t="s">
        <v>1346</v>
      </c>
      <c r="O42" t="s">
        <v>1347</v>
      </c>
      <c r="P42" t="s">
        <v>1348</v>
      </c>
      <c r="Q42">
        <v>3</v>
      </c>
      <c r="R42" t="s">
        <v>1512</v>
      </c>
      <c r="S42"/>
      <c r="T42" t="s">
        <v>1493</v>
      </c>
      <c r="U42" t="s">
        <v>2015</v>
      </c>
      <c r="V42"/>
      <c r="W42" t="s">
        <v>1458</v>
      </c>
      <c r="X42"/>
      <c r="Y42"/>
      <c r="Z42"/>
      <c r="AA42" s="18" t="s">
        <v>2016</v>
      </c>
      <c r="AB42" s="61" t="str">
        <f t="shared" si="1"/>
        <v>What is the average (weighted avg) regional / geopoltical risk score across top suppliers?_Geo Political Risk</v>
      </c>
    </row>
    <row r="43" spans="1:28" ht="145" hidden="1" x14ac:dyDescent="0.35">
      <c r="A43">
        <v>10</v>
      </c>
      <c r="B43" t="s">
        <v>1451</v>
      </c>
      <c r="C43" t="s">
        <v>1452</v>
      </c>
      <c r="D43" t="s">
        <v>1224</v>
      </c>
      <c r="E43" t="s">
        <v>1453</v>
      </c>
      <c r="F43"/>
      <c r="G43" t="s">
        <v>1269</v>
      </c>
      <c r="H43" t="s">
        <v>1273</v>
      </c>
      <c r="I43">
        <v>0.25</v>
      </c>
      <c r="J43" t="s">
        <v>1641</v>
      </c>
      <c r="K43"/>
      <c r="L43" t="s">
        <v>1648</v>
      </c>
      <c r="M43" t="s">
        <v>1345</v>
      </c>
      <c r="N43" t="s">
        <v>1346</v>
      </c>
      <c r="O43" t="s">
        <v>1347</v>
      </c>
      <c r="P43" t="s">
        <v>1348</v>
      </c>
      <c r="Q43">
        <v>3</v>
      </c>
      <c r="R43" t="s">
        <v>1512</v>
      </c>
      <c r="S43"/>
      <c r="T43" t="s">
        <v>1493</v>
      </c>
      <c r="U43" t="s">
        <v>2015</v>
      </c>
      <c r="V43"/>
      <c r="W43" t="s">
        <v>1458</v>
      </c>
      <c r="X43"/>
      <c r="Y43"/>
      <c r="Z43"/>
      <c r="AA43" s="18" t="s">
        <v>2016</v>
      </c>
      <c r="AB43" s="61" t="str">
        <f t="shared" si="1"/>
        <v>What is the average (weighted avg) regional / geopoltical risk score across top suppliers?_Geo Political Risk</v>
      </c>
    </row>
    <row r="44" spans="1:28" ht="145" hidden="1" x14ac:dyDescent="0.35">
      <c r="A44">
        <v>10</v>
      </c>
      <c r="B44" t="s">
        <v>1451</v>
      </c>
      <c r="C44" t="s">
        <v>1452</v>
      </c>
      <c r="D44" t="s">
        <v>1224</v>
      </c>
      <c r="E44" t="s">
        <v>1453</v>
      </c>
      <c r="F44"/>
      <c r="G44" t="s">
        <v>1269</v>
      </c>
      <c r="H44" t="s">
        <v>1273</v>
      </c>
      <c r="I44">
        <v>0.25</v>
      </c>
      <c r="J44" t="s">
        <v>1641</v>
      </c>
      <c r="K44"/>
      <c r="L44" t="s">
        <v>1648</v>
      </c>
      <c r="M44" t="s">
        <v>1345</v>
      </c>
      <c r="N44" t="s">
        <v>1346</v>
      </c>
      <c r="O44" t="s">
        <v>1347</v>
      </c>
      <c r="P44" t="s">
        <v>1348</v>
      </c>
      <c r="Q44">
        <v>3</v>
      </c>
      <c r="R44" t="s">
        <v>1512</v>
      </c>
      <c r="S44"/>
      <c r="T44" t="s">
        <v>1493</v>
      </c>
      <c r="U44" t="s">
        <v>2015</v>
      </c>
      <c r="V44"/>
      <c r="W44" t="s">
        <v>1458</v>
      </c>
      <c r="X44"/>
      <c r="Y44"/>
      <c r="Z44"/>
      <c r="AA44" s="18" t="s">
        <v>2016</v>
      </c>
      <c r="AB44" s="61" t="str">
        <f t="shared" si="1"/>
        <v>What is the average (weighted avg) regional / geopoltical risk score across top suppliers?_Geo Political Risk</v>
      </c>
    </row>
    <row r="45" spans="1:28" ht="145" hidden="1" x14ac:dyDescent="0.35">
      <c r="A45">
        <v>10</v>
      </c>
      <c r="B45" t="s">
        <v>1451</v>
      </c>
      <c r="C45" t="s">
        <v>1452</v>
      </c>
      <c r="D45" t="s">
        <v>1224</v>
      </c>
      <c r="E45" t="s">
        <v>1453</v>
      </c>
      <c r="F45"/>
      <c r="G45" t="s">
        <v>1269</v>
      </c>
      <c r="H45" t="s">
        <v>1273</v>
      </c>
      <c r="I45">
        <v>0.25</v>
      </c>
      <c r="J45" t="s">
        <v>1641</v>
      </c>
      <c r="K45"/>
      <c r="L45" t="s">
        <v>1648</v>
      </c>
      <c r="M45" t="s">
        <v>1345</v>
      </c>
      <c r="N45" t="s">
        <v>1346</v>
      </c>
      <c r="O45" t="s">
        <v>1347</v>
      </c>
      <c r="P45" t="s">
        <v>1348</v>
      </c>
      <c r="Q45">
        <v>3</v>
      </c>
      <c r="R45" t="s">
        <v>1512</v>
      </c>
      <c r="S45"/>
      <c r="T45" t="s">
        <v>1493</v>
      </c>
      <c r="U45" t="s">
        <v>2015</v>
      </c>
      <c r="V45"/>
      <c r="W45" t="s">
        <v>1458</v>
      </c>
      <c r="X45"/>
      <c r="Y45"/>
      <c r="Z45"/>
      <c r="AA45" s="18" t="s">
        <v>2016</v>
      </c>
      <c r="AB45" s="61" t="str">
        <f t="shared" si="1"/>
        <v>What is the average (weighted avg) regional / geopoltical risk score across top suppliers?_Geo Political Risk</v>
      </c>
    </row>
    <row r="46" spans="1:28" ht="145" hidden="1" x14ac:dyDescent="0.35">
      <c r="A46">
        <v>10</v>
      </c>
      <c r="B46" t="s">
        <v>1451</v>
      </c>
      <c r="C46" t="s">
        <v>1452</v>
      </c>
      <c r="D46" t="s">
        <v>1224</v>
      </c>
      <c r="E46" t="s">
        <v>1453</v>
      </c>
      <c r="F46"/>
      <c r="G46" t="s">
        <v>1269</v>
      </c>
      <c r="H46" t="s">
        <v>1273</v>
      </c>
      <c r="I46">
        <v>0.25</v>
      </c>
      <c r="J46" t="s">
        <v>1641</v>
      </c>
      <c r="K46"/>
      <c r="L46" t="s">
        <v>1648</v>
      </c>
      <c r="M46" t="s">
        <v>1345</v>
      </c>
      <c r="N46" t="s">
        <v>1346</v>
      </c>
      <c r="O46" t="s">
        <v>1347</v>
      </c>
      <c r="P46" t="s">
        <v>1348</v>
      </c>
      <c r="Q46">
        <v>3</v>
      </c>
      <c r="R46" t="s">
        <v>1512</v>
      </c>
      <c r="S46"/>
      <c r="T46" t="s">
        <v>1493</v>
      </c>
      <c r="U46" t="s">
        <v>2015</v>
      </c>
      <c r="V46"/>
      <c r="W46" t="s">
        <v>1458</v>
      </c>
      <c r="X46"/>
      <c r="Y46"/>
      <c r="Z46"/>
      <c r="AA46" s="18" t="s">
        <v>2016</v>
      </c>
      <c r="AB46" s="61" t="str">
        <f t="shared" si="1"/>
        <v>What is the average (weighted avg) regional / geopoltical risk score across top suppliers?_Geo Political Risk</v>
      </c>
    </row>
    <row r="47" spans="1:28" ht="145" hidden="1" x14ac:dyDescent="0.35">
      <c r="A47">
        <v>10</v>
      </c>
      <c r="B47" t="s">
        <v>1451</v>
      </c>
      <c r="C47" t="s">
        <v>1452</v>
      </c>
      <c r="D47" t="s">
        <v>1224</v>
      </c>
      <c r="E47" t="s">
        <v>1453</v>
      </c>
      <c r="F47"/>
      <c r="G47" t="s">
        <v>1269</v>
      </c>
      <c r="H47" t="s">
        <v>1273</v>
      </c>
      <c r="I47">
        <v>0.25</v>
      </c>
      <c r="J47" t="s">
        <v>1641</v>
      </c>
      <c r="K47"/>
      <c r="L47" t="s">
        <v>1648</v>
      </c>
      <c r="M47" t="s">
        <v>1345</v>
      </c>
      <c r="N47" t="s">
        <v>1346</v>
      </c>
      <c r="O47" t="s">
        <v>1347</v>
      </c>
      <c r="P47" t="s">
        <v>1348</v>
      </c>
      <c r="Q47">
        <v>3</v>
      </c>
      <c r="R47" t="s">
        <v>1512</v>
      </c>
      <c r="S47"/>
      <c r="T47" t="s">
        <v>1493</v>
      </c>
      <c r="U47" t="s">
        <v>2015</v>
      </c>
      <c r="V47"/>
      <c r="W47" t="s">
        <v>1458</v>
      </c>
      <c r="X47"/>
      <c r="Y47"/>
      <c r="Z47"/>
      <c r="AA47" s="18" t="s">
        <v>2016</v>
      </c>
      <c r="AB47" s="61" t="str">
        <f t="shared" si="1"/>
        <v>What is the average (weighted avg) regional / geopoltical risk score across top suppliers?_Geo Political Risk</v>
      </c>
    </row>
    <row r="48" spans="1:28" ht="145" hidden="1" x14ac:dyDescent="0.35">
      <c r="A48">
        <v>10</v>
      </c>
      <c r="B48" t="s">
        <v>1451</v>
      </c>
      <c r="C48" t="s">
        <v>1452</v>
      </c>
      <c r="D48" t="s">
        <v>1224</v>
      </c>
      <c r="E48" t="s">
        <v>1453</v>
      </c>
      <c r="F48"/>
      <c r="G48" t="s">
        <v>1269</v>
      </c>
      <c r="H48" t="s">
        <v>1273</v>
      </c>
      <c r="I48">
        <v>0.25</v>
      </c>
      <c r="J48" t="s">
        <v>1641</v>
      </c>
      <c r="K48"/>
      <c r="L48" t="s">
        <v>1648</v>
      </c>
      <c r="M48" t="s">
        <v>1345</v>
      </c>
      <c r="N48" t="s">
        <v>1346</v>
      </c>
      <c r="O48" t="s">
        <v>1347</v>
      </c>
      <c r="P48" t="s">
        <v>1348</v>
      </c>
      <c r="Q48">
        <v>3</v>
      </c>
      <c r="R48" t="s">
        <v>1512</v>
      </c>
      <c r="S48"/>
      <c r="T48" t="s">
        <v>1493</v>
      </c>
      <c r="U48" t="s">
        <v>2015</v>
      </c>
      <c r="V48"/>
      <c r="W48" t="s">
        <v>1458</v>
      </c>
      <c r="X48"/>
      <c r="Y48"/>
      <c r="Z48"/>
      <c r="AA48" s="18" t="s">
        <v>2016</v>
      </c>
      <c r="AB48" s="61" t="str">
        <f t="shared" si="1"/>
        <v>What is the average (weighted avg) regional / geopoltical risk score across top suppliers?_Geo Political Risk</v>
      </c>
    </row>
    <row r="49" spans="1:28" ht="145" hidden="1" x14ac:dyDescent="0.35">
      <c r="A49">
        <v>10</v>
      </c>
      <c r="B49" t="s">
        <v>1451</v>
      </c>
      <c r="C49" t="s">
        <v>1452</v>
      </c>
      <c r="D49" t="s">
        <v>1224</v>
      </c>
      <c r="E49" t="s">
        <v>1453</v>
      </c>
      <c r="F49"/>
      <c r="G49" t="s">
        <v>1269</v>
      </c>
      <c r="H49" t="s">
        <v>1273</v>
      </c>
      <c r="I49">
        <v>0.25</v>
      </c>
      <c r="J49" t="s">
        <v>1641</v>
      </c>
      <c r="K49"/>
      <c r="L49" t="s">
        <v>1648</v>
      </c>
      <c r="M49" t="s">
        <v>1345</v>
      </c>
      <c r="N49" t="s">
        <v>1346</v>
      </c>
      <c r="O49" t="s">
        <v>1347</v>
      </c>
      <c r="P49" t="s">
        <v>1348</v>
      </c>
      <c r="Q49">
        <v>3</v>
      </c>
      <c r="R49" t="s">
        <v>1512</v>
      </c>
      <c r="S49"/>
      <c r="T49" t="s">
        <v>1493</v>
      </c>
      <c r="U49" t="s">
        <v>2015</v>
      </c>
      <c r="V49"/>
      <c r="W49" t="s">
        <v>1458</v>
      </c>
      <c r="X49"/>
      <c r="Y49"/>
      <c r="Z49"/>
      <c r="AA49" s="18" t="s">
        <v>2016</v>
      </c>
      <c r="AB49" s="61" t="str">
        <f t="shared" si="1"/>
        <v>What is the average (weighted avg) regional / geopoltical risk score across top suppliers?_Geo Political Risk</v>
      </c>
    </row>
    <row r="50" spans="1:28" ht="145" hidden="1" x14ac:dyDescent="0.35">
      <c r="A50">
        <v>10</v>
      </c>
      <c r="B50" t="s">
        <v>1451</v>
      </c>
      <c r="C50" t="s">
        <v>1452</v>
      </c>
      <c r="D50" t="s">
        <v>1224</v>
      </c>
      <c r="E50" t="s">
        <v>1453</v>
      </c>
      <c r="F50"/>
      <c r="G50" t="s">
        <v>1269</v>
      </c>
      <c r="H50" t="s">
        <v>1273</v>
      </c>
      <c r="I50">
        <v>0.25</v>
      </c>
      <c r="J50" t="s">
        <v>1641</v>
      </c>
      <c r="K50"/>
      <c r="L50" t="s">
        <v>1648</v>
      </c>
      <c r="M50" t="s">
        <v>1345</v>
      </c>
      <c r="N50" t="s">
        <v>1346</v>
      </c>
      <c r="O50" t="s">
        <v>1347</v>
      </c>
      <c r="P50" t="s">
        <v>1348</v>
      </c>
      <c r="Q50">
        <v>3</v>
      </c>
      <c r="R50" t="s">
        <v>1512</v>
      </c>
      <c r="S50"/>
      <c r="T50" t="s">
        <v>1493</v>
      </c>
      <c r="U50" t="s">
        <v>2015</v>
      </c>
      <c r="V50"/>
      <c r="W50" t="s">
        <v>1458</v>
      </c>
      <c r="X50"/>
      <c r="Y50"/>
      <c r="Z50"/>
      <c r="AA50" s="18" t="s">
        <v>2016</v>
      </c>
      <c r="AB50" s="61" t="str">
        <f t="shared" si="1"/>
        <v>What is the average (weighted avg) regional / geopoltical risk score across top suppliers?_Geo Political Risk</v>
      </c>
    </row>
    <row r="51" spans="1:28" ht="145" hidden="1" x14ac:dyDescent="0.35">
      <c r="A51">
        <v>10</v>
      </c>
      <c r="B51" t="s">
        <v>1451</v>
      </c>
      <c r="C51" t="s">
        <v>1452</v>
      </c>
      <c r="D51" t="s">
        <v>1224</v>
      </c>
      <c r="E51" t="s">
        <v>1453</v>
      </c>
      <c r="F51"/>
      <c r="G51" t="s">
        <v>1269</v>
      </c>
      <c r="H51" t="s">
        <v>1273</v>
      </c>
      <c r="I51">
        <v>0.25</v>
      </c>
      <c r="J51" t="s">
        <v>1641</v>
      </c>
      <c r="K51"/>
      <c r="L51" t="s">
        <v>1648</v>
      </c>
      <c r="M51" t="s">
        <v>1345</v>
      </c>
      <c r="N51" t="s">
        <v>1346</v>
      </c>
      <c r="O51" t="s">
        <v>1347</v>
      </c>
      <c r="P51" t="s">
        <v>1348</v>
      </c>
      <c r="Q51">
        <v>3</v>
      </c>
      <c r="R51" t="s">
        <v>1512</v>
      </c>
      <c r="S51"/>
      <c r="T51" t="s">
        <v>1493</v>
      </c>
      <c r="U51" t="s">
        <v>2015</v>
      </c>
      <c r="V51"/>
      <c r="W51" t="s">
        <v>1458</v>
      </c>
      <c r="X51"/>
      <c r="Y51"/>
      <c r="Z51"/>
      <c r="AA51" s="18" t="s">
        <v>2016</v>
      </c>
      <c r="AB51" s="61" t="str">
        <f t="shared" si="1"/>
        <v>What is the average (weighted avg) regional / geopoltical risk score across top suppliers?_Geo Political Risk</v>
      </c>
    </row>
    <row r="52" spans="1:28" ht="145" hidden="1" x14ac:dyDescent="0.35">
      <c r="A52">
        <v>10</v>
      </c>
      <c r="B52" t="s">
        <v>1451</v>
      </c>
      <c r="C52" t="s">
        <v>1452</v>
      </c>
      <c r="D52" t="s">
        <v>1224</v>
      </c>
      <c r="E52" t="s">
        <v>1453</v>
      </c>
      <c r="F52"/>
      <c r="G52" t="s">
        <v>1269</v>
      </c>
      <c r="H52" t="s">
        <v>1273</v>
      </c>
      <c r="I52">
        <v>0.25</v>
      </c>
      <c r="J52" t="s">
        <v>1641</v>
      </c>
      <c r="K52"/>
      <c r="L52" t="s">
        <v>1648</v>
      </c>
      <c r="M52" t="s">
        <v>1345</v>
      </c>
      <c r="N52" t="s">
        <v>1346</v>
      </c>
      <c r="O52" t="s">
        <v>1347</v>
      </c>
      <c r="P52" t="s">
        <v>1348</v>
      </c>
      <c r="Q52">
        <v>3</v>
      </c>
      <c r="R52" t="s">
        <v>1512</v>
      </c>
      <c r="S52"/>
      <c r="T52" t="s">
        <v>1493</v>
      </c>
      <c r="U52" t="s">
        <v>2015</v>
      </c>
      <c r="V52"/>
      <c r="W52" t="s">
        <v>1458</v>
      </c>
      <c r="X52"/>
      <c r="Y52"/>
      <c r="Z52"/>
      <c r="AA52" s="18" t="s">
        <v>2016</v>
      </c>
      <c r="AB52" s="61" t="str">
        <f t="shared" si="1"/>
        <v>What is the average (weighted avg) regional / geopoltical risk score across top suppliers?_Geo Political Risk</v>
      </c>
    </row>
    <row r="53" spans="1:28" ht="145" hidden="1" x14ac:dyDescent="0.35">
      <c r="A53">
        <v>10</v>
      </c>
      <c r="B53" t="s">
        <v>1451</v>
      </c>
      <c r="C53" t="s">
        <v>1452</v>
      </c>
      <c r="D53" t="s">
        <v>1224</v>
      </c>
      <c r="E53" t="s">
        <v>1453</v>
      </c>
      <c r="F53"/>
      <c r="G53" t="s">
        <v>1269</v>
      </c>
      <c r="H53" t="s">
        <v>1273</v>
      </c>
      <c r="I53">
        <v>0.25</v>
      </c>
      <c r="J53" t="s">
        <v>1641</v>
      </c>
      <c r="K53"/>
      <c r="L53" t="s">
        <v>1648</v>
      </c>
      <c r="M53" t="s">
        <v>1345</v>
      </c>
      <c r="N53" t="s">
        <v>1346</v>
      </c>
      <c r="O53" t="s">
        <v>1347</v>
      </c>
      <c r="P53" t="s">
        <v>1348</v>
      </c>
      <c r="Q53">
        <v>3</v>
      </c>
      <c r="R53" t="s">
        <v>1512</v>
      </c>
      <c r="S53"/>
      <c r="T53" t="s">
        <v>1493</v>
      </c>
      <c r="U53" t="s">
        <v>2015</v>
      </c>
      <c r="V53"/>
      <c r="W53" t="s">
        <v>1458</v>
      </c>
      <c r="X53"/>
      <c r="Y53"/>
      <c r="Z53"/>
      <c r="AA53" s="18" t="s">
        <v>2016</v>
      </c>
      <c r="AB53" s="61" t="str">
        <f t="shared" si="1"/>
        <v>What is the average (weighted avg) regional / geopoltical risk score across top suppliers?_Geo Political Risk</v>
      </c>
    </row>
    <row r="54" spans="1:28" ht="145" hidden="1" x14ac:dyDescent="0.35">
      <c r="A54">
        <v>10</v>
      </c>
      <c r="B54" t="s">
        <v>1451</v>
      </c>
      <c r="C54" t="s">
        <v>1452</v>
      </c>
      <c r="D54" t="s">
        <v>1224</v>
      </c>
      <c r="E54" t="s">
        <v>1453</v>
      </c>
      <c r="F54"/>
      <c r="G54" t="s">
        <v>1269</v>
      </c>
      <c r="H54" t="s">
        <v>1273</v>
      </c>
      <c r="I54">
        <v>0.25</v>
      </c>
      <c r="J54" t="s">
        <v>1641</v>
      </c>
      <c r="K54"/>
      <c r="L54" t="s">
        <v>1648</v>
      </c>
      <c r="M54" t="s">
        <v>1345</v>
      </c>
      <c r="N54" t="s">
        <v>1346</v>
      </c>
      <c r="O54" t="s">
        <v>1347</v>
      </c>
      <c r="P54" t="s">
        <v>1348</v>
      </c>
      <c r="Q54">
        <v>3</v>
      </c>
      <c r="R54" t="s">
        <v>1512</v>
      </c>
      <c r="S54"/>
      <c r="T54" t="s">
        <v>1493</v>
      </c>
      <c r="U54" t="s">
        <v>2015</v>
      </c>
      <c r="V54"/>
      <c r="W54" t="s">
        <v>1458</v>
      </c>
      <c r="X54"/>
      <c r="Y54"/>
      <c r="Z54"/>
      <c r="AA54" s="18" t="s">
        <v>2016</v>
      </c>
      <c r="AB54" s="61" t="str">
        <f t="shared" si="1"/>
        <v>What is the average (weighted avg) regional / geopoltical risk score across top suppliers?_Geo Political Risk</v>
      </c>
    </row>
  </sheetData>
  <autoFilter ref="A1:AB54" xr:uid="{6B648AB2-1695-4AAB-A836-0BD32E39C3CA}">
    <filterColumn colId="0">
      <filters>
        <filter val="6"/>
      </filters>
    </filterColumn>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9086-1EAC-4A00-98ED-69E6CBAA2E2D}">
  <sheetPr filterMode="1"/>
  <dimension ref="A1:B301"/>
  <sheetViews>
    <sheetView workbookViewId="0">
      <selection activeCell="A12" sqref="A12:B14"/>
    </sheetView>
  </sheetViews>
  <sheetFormatPr defaultColWidth="48.453125" defaultRowHeight="14.5" x14ac:dyDescent="0.35"/>
  <cols>
    <col min="1" max="16384" width="48.453125" style="18"/>
  </cols>
  <sheetData>
    <row r="1" spans="1:2" s="32" customFormat="1" x14ac:dyDescent="0.35">
      <c r="A1" s="32" t="s">
        <v>1430</v>
      </c>
      <c r="B1" s="32" t="s">
        <v>1424</v>
      </c>
    </row>
    <row r="2" spans="1:2" x14ac:dyDescent="0.35">
      <c r="A2" s="18" t="s">
        <v>1446</v>
      </c>
      <c r="B2" s="18" t="s">
        <v>1499</v>
      </c>
    </row>
    <row r="3" spans="1:2" x14ac:dyDescent="0.35">
      <c r="A3" s="18" t="s">
        <v>1446</v>
      </c>
      <c r="B3" s="18" t="s">
        <v>1508</v>
      </c>
    </row>
    <row r="4" spans="1:2" x14ac:dyDescent="0.35">
      <c r="A4" s="18" t="s">
        <v>1446</v>
      </c>
      <c r="B4" s="18" t="s">
        <v>1511</v>
      </c>
    </row>
    <row r="5" spans="1:2" x14ac:dyDescent="0.35">
      <c r="A5" s="18" t="s">
        <v>1446</v>
      </c>
      <c r="B5" s="18" t="s">
        <v>1475</v>
      </c>
    </row>
    <row r="6" spans="1:2" x14ac:dyDescent="0.35">
      <c r="A6" s="18" t="s">
        <v>1446</v>
      </c>
      <c r="B6" s="18" t="s">
        <v>1510</v>
      </c>
    </row>
    <row r="7" spans="1:2" x14ac:dyDescent="0.35">
      <c r="A7" s="18" t="s">
        <v>1446</v>
      </c>
      <c r="B7" s="18" t="s">
        <v>1506</v>
      </c>
    </row>
    <row r="8" spans="1:2" x14ac:dyDescent="0.35">
      <c r="A8" s="18" t="s">
        <v>1446</v>
      </c>
      <c r="B8" s="18" t="s">
        <v>1514</v>
      </c>
    </row>
    <row r="9" spans="1:2" x14ac:dyDescent="0.35">
      <c r="A9" s="18" t="s">
        <v>1582</v>
      </c>
      <c r="B9" s="18" t="s">
        <v>1454</v>
      </c>
    </row>
    <row r="10" spans="1:2" x14ac:dyDescent="0.35">
      <c r="A10" s="18" t="s">
        <v>1582</v>
      </c>
      <c r="B10" s="18" t="s">
        <v>1463</v>
      </c>
    </row>
    <row r="11" spans="1:2" x14ac:dyDescent="0.35">
      <c r="A11" s="18" t="s">
        <v>1582</v>
      </c>
      <c r="B11" s="18" t="s">
        <v>1465</v>
      </c>
    </row>
    <row r="12" spans="1:2" x14ac:dyDescent="0.35">
      <c r="A12" s="18" t="s">
        <v>1448</v>
      </c>
      <c r="B12" s="18" t="s">
        <v>1504</v>
      </c>
    </row>
    <row r="13" spans="1:2" x14ac:dyDescent="0.35">
      <c r="A13" s="18" t="s">
        <v>1448</v>
      </c>
      <c r="B13" s="18" t="s">
        <v>1505</v>
      </c>
    </row>
    <row r="14" spans="1:2" ht="43.5" x14ac:dyDescent="0.35">
      <c r="A14" s="18" t="s">
        <v>1519</v>
      </c>
      <c r="B14" s="18" t="s">
        <v>1517</v>
      </c>
    </row>
    <row r="15" spans="1:2" ht="43.5" x14ac:dyDescent="0.35">
      <c r="A15" s="18" t="s">
        <v>1519</v>
      </c>
      <c r="B15" s="18" t="s">
        <v>1524</v>
      </c>
    </row>
    <row r="16" spans="1:2" x14ac:dyDescent="0.35">
      <c r="A16" s="18" t="s">
        <v>1449</v>
      </c>
      <c r="B16" s="18" t="s">
        <v>1512</v>
      </c>
    </row>
    <row r="17" spans="2:2" hidden="1" x14ac:dyDescent="0.35">
      <c r="B17" s="18" t="s">
        <v>1528</v>
      </c>
    </row>
    <row r="18" spans="2:2" hidden="1" x14ac:dyDescent="0.35">
      <c r="B18" s="18" t="s">
        <v>1532</v>
      </c>
    </row>
    <row r="19" spans="2:2" ht="29" hidden="1" x14ac:dyDescent="0.35">
      <c r="B19" s="18" t="s">
        <v>1483</v>
      </c>
    </row>
    <row r="20" spans="2:2" hidden="1" x14ac:dyDescent="0.35">
      <c r="B20" s="18" t="s">
        <v>1500</v>
      </c>
    </row>
    <row r="21" spans="2:2" hidden="1" x14ac:dyDescent="0.35">
      <c r="B21" s="18" t="s">
        <v>1488</v>
      </c>
    </row>
    <row r="22" spans="2:2" hidden="1" x14ac:dyDescent="0.35">
      <c r="B22" s="18" t="s">
        <v>1499</v>
      </c>
    </row>
    <row r="23" spans="2:2" hidden="1" x14ac:dyDescent="0.35">
      <c r="B23" s="18" t="s">
        <v>1529</v>
      </c>
    </row>
    <row r="24" spans="2:2" hidden="1" x14ac:dyDescent="0.35">
      <c r="B24" s="18" t="s">
        <v>1508</v>
      </c>
    </row>
    <row r="25" spans="2:2" hidden="1" x14ac:dyDescent="0.35">
      <c r="B25" s="18" t="s">
        <v>1531</v>
      </c>
    </row>
    <row r="26" spans="2:2" hidden="1" x14ac:dyDescent="0.35">
      <c r="B26" s="18" t="s">
        <v>1511</v>
      </c>
    </row>
    <row r="27" spans="2:2" hidden="1" x14ac:dyDescent="0.35">
      <c r="B27" s="18" t="s">
        <v>1504</v>
      </c>
    </row>
    <row r="28" spans="2:2" hidden="1" x14ac:dyDescent="0.35">
      <c r="B28" s="18" t="s">
        <v>1509</v>
      </c>
    </row>
    <row r="29" spans="2:2" hidden="1" x14ac:dyDescent="0.35">
      <c r="B29" s="18" t="s">
        <v>1512</v>
      </c>
    </row>
    <row r="30" spans="2:2" hidden="1" x14ac:dyDescent="0.35">
      <c r="B30" s="18" t="s">
        <v>1475</v>
      </c>
    </row>
    <row r="31" spans="2:2" hidden="1" x14ac:dyDescent="0.35">
      <c r="B31" s="18" t="s">
        <v>1505</v>
      </c>
    </row>
    <row r="32" spans="2:2" hidden="1" x14ac:dyDescent="0.35">
      <c r="B32" s="18" t="s">
        <v>1510</v>
      </c>
    </row>
    <row r="33" spans="2:2" ht="29" hidden="1" x14ac:dyDescent="0.35">
      <c r="B33" s="18" t="s">
        <v>1481</v>
      </c>
    </row>
    <row r="34" spans="2:2" hidden="1" x14ac:dyDescent="0.35">
      <c r="B34" s="18" t="s">
        <v>1496</v>
      </c>
    </row>
    <row r="35" spans="2:2" hidden="1" x14ac:dyDescent="0.35">
      <c r="B35" s="18" t="s">
        <v>1494</v>
      </c>
    </row>
    <row r="36" spans="2:2" hidden="1" x14ac:dyDescent="0.35">
      <c r="B36" s="18" t="s">
        <v>1495</v>
      </c>
    </row>
    <row r="37" spans="2:2" hidden="1" x14ac:dyDescent="0.35">
      <c r="B37" s="18" t="s">
        <v>1492</v>
      </c>
    </row>
    <row r="38" spans="2:2" hidden="1" x14ac:dyDescent="0.35">
      <c r="B38" s="18" t="s">
        <v>1502</v>
      </c>
    </row>
    <row r="39" spans="2:2" hidden="1" x14ac:dyDescent="0.35">
      <c r="B39" s="18" t="s">
        <v>1503</v>
      </c>
    </row>
    <row r="40" spans="2:2" hidden="1" x14ac:dyDescent="0.35">
      <c r="B40" s="18" t="s">
        <v>1501</v>
      </c>
    </row>
    <row r="41" spans="2:2" hidden="1" x14ac:dyDescent="0.35">
      <c r="B41" s="18" t="s">
        <v>1490</v>
      </c>
    </row>
    <row r="42" spans="2:2" hidden="1" x14ac:dyDescent="0.35">
      <c r="B42" s="18" t="s">
        <v>1507</v>
      </c>
    </row>
    <row r="43" spans="2:2" hidden="1" x14ac:dyDescent="0.35">
      <c r="B43" s="18" t="s">
        <v>1477</v>
      </c>
    </row>
    <row r="44" spans="2:2" hidden="1" x14ac:dyDescent="0.35">
      <c r="B44" s="18" t="s">
        <v>1513</v>
      </c>
    </row>
    <row r="45" spans="2:2" hidden="1" x14ac:dyDescent="0.35">
      <c r="B45" s="18" t="s">
        <v>1454</v>
      </c>
    </row>
    <row r="46" spans="2:2" hidden="1" x14ac:dyDescent="0.35">
      <c r="B46" s="18" t="s">
        <v>1463</v>
      </c>
    </row>
    <row r="47" spans="2:2" hidden="1" x14ac:dyDescent="0.35">
      <c r="B47" s="18" t="s">
        <v>1530</v>
      </c>
    </row>
    <row r="48" spans="2:2" ht="29" hidden="1" x14ac:dyDescent="0.35">
      <c r="B48" s="18" t="s">
        <v>1486</v>
      </c>
    </row>
    <row r="49" spans="1:2" hidden="1" x14ac:dyDescent="0.35">
      <c r="B49" s="18" t="s">
        <v>1465</v>
      </c>
    </row>
    <row r="50" spans="1:2" hidden="1" x14ac:dyDescent="0.35">
      <c r="B50" s="18" t="s">
        <v>1516</v>
      </c>
    </row>
    <row r="51" spans="1:2" hidden="1" x14ac:dyDescent="0.35">
      <c r="B51" s="18" t="s">
        <v>1517</v>
      </c>
    </row>
    <row r="52" spans="1:2" hidden="1" x14ac:dyDescent="0.35">
      <c r="B52" s="18" t="s">
        <v>1515</v>
      </c>
    </row>
    <row r="53" spans="1:2" hidden="1" x14ac:dyDescent="0.35">
      <c r="B53" s="18" t="s">
        <v>1524</v>
      </c>
    </row>
    <row r="54" spans="1:2" ht="29" hidden="1" x14ac:dyDescent="0.35">
      <c r="B54" s="18" t="s">
        <v>1467</v>
      </c>
    </row>
    <row r="55" spans="1:2" hidden="1" x14ac:dyDescent="0.35">
      <c r="B55" s="18" t="s">
        <v>1506</v>
      </c>
    </row>
    <row r="56" spans="1:2" hidden="1" x14ac:dyDescent="0.35">
      <c r="B56" s="18" t="s">
        <v>1514</v>
      </c>
    </row>
    <row r="57" spans="1:2" hidden="1" x14ac:dyDescent="0.35">
      <c r="B57" s="18" t="s">
        <v>1471</v>
      </c>
    </row>
    <row r="58" spans="1:2" x14ac:dyDescent="0.35">
      <c r="A58"/>
      <c r="B58"/>
    </row>
    <row r="59" spans="1:2" x14ac:dyDescent="0.35">
      <c r="A59"/>
      <c r="B59"/>
    </row>
    <row r="60" spans="1:2" x14ac:dyDescent="0.35">
      <c r="A60"/>
      <c r="B60"/>
    </row>
    <row r="61" spans="1:2" x14ac:dyDescent="0.35">
      <c r="A61"/>
      <c r="B61"/>
    </row>
    <row r="62" spans="1:2" x14ac:dyDescent="0.35">
      <c r="A62"/>
      <c r="B62"/>
    </row>
    <row r="63" spans="1:2" x14ac:dyDescent="0.35">
      <c r="A63"/>
      <c r="B63"/>
    </row>
    <row r="64" spans="1:2" x14ac:dyDescent="0.35">
      <c r="A64"/>
      <c r="B64"/>
    </row>
    <row r="65" spans="1:2" x14ac:dyDescent="0.35">
      <c r="A65"/>
      <c r="B65"/>
    </row>
    <row r="66" spans="1:2" x14ac:dyDescent="0.35">
      <c r="A66"/>
      <c r="B66"/>
    </row>
    <row r="67" spans="1:2" x14ac:dyDescent="0.35">
      <c r="A67"/>
      <c r="B67"/>
    </row>
    <row r="68" spans="1:2" x14ac:dyDescent="0.35">
      <c r="A68"/>
      <c r="B68"/>
    </row>
    <row r="69" spans="1:2" x14ac:dyDescent="0.35">
      <c r="A69"/>
      <c r="B69"/>
    </row>
    <row r="70" spans="1:2" x14ac:dyDescent="0.35">
      <c r="A70"/>
      <c r="B70"/>
    </row>
    <row r="71" spans="1:2" x14ac:dyDescent="0.35">
      <c r="A71"/>
      <c r="B71"/>
    </row>
    <row r="72" spans="1:2" x14ac:dyDescent="0.35">
      <c r="A72"/>
      <c r="B72"/>
    </row>
    <row r="73" spans="1:2" x14ac:dyDescent="0.35">
      <c r="A73"/>
      <c r="B73"/>
    </row>
    <row r="74" spans="1:2" x14ac:dyDescent="0.35">
      <c r="A74"/>
      <c r="B74"/>
    </row>
    <row r="75" spans="1:2" x14ac:dyDescent="0.35">
      <c r="A75"/>
      <c r="B75"/>
    </row>
    <row r="76" spans="1:2" x14ac:dyDescent="0.35">
      <c r="A76"/>
      <c r="B76"/>
    </row>
    <row r="77" spans="1:2" x14ac:dyDescent="0.35">
      <c r="A77"/>
      <c r="B77"/>
    </row>
    <row r="78" spans="1:2" x14ac:dyDescent="0.35">
      <c r="A78"/>
      <c r="B78"/>
    </row>
    <row r="79" spans="1:2" x14ac:dyDescent="0.35">
      <c r="A79"/>
      <c r="B79"/>
    </row>
    <row r="80" spans="1:2" x14ac:dyDescent="0.35">
      <c r="A80"/>
      <c r="B80"/>
    </row>
    <row r="81" spans="1:2" x14ac:dyDescent="0.35">
      <c r="A81"/>
      <c r="B81"/>
    </row>
    <row r="82" spans="1:2" x14ac:dyDescent="0.35">
      <c r="A82"/>
      <c r="B82"/>
    </row>
    <row r="83" spans="1:2" x14ac:dyDescent="0.35">
      <c r="A83"/>
      <c r="B83"/>
    </row>
    <row r="84" spans="1:2" x14ac:dyDescent="0.35">
      <c r="A84"/>
      <c r="B84"/>
    </row>
    <row r="85" spans="1:2" x14ac:dyDescent="0.35">
      <c r="A85"/>
      <c r="B85"/>
    </row>
    <row r="86" spans="1:2" x14ac:dyDescent="0.35">
      <c r="A86"/>
      <c r="B86"/>
    </row>
    <row r="87" spans="1:2" x14ac:dyDescent="0.35">
      <c r="A87"/>
      <c r="B87"/>
    </row>
    <row r="88" spans="1:2" x14ac:dyDescent="0.35">
      <c r="A88"/>
      <c r="B88"/>
    </row>
    <row r="89" spans="1:2" x14ac:dyDescent="0.35">
      <c r="A89"/>
      <c r="B89"/>
    </row>
    <row r="90" spans="1:2" x14ac:dyDescent="0.35">
      <c r="A90"/>
      <c r="B90"/>
    </row>
    <row r="91" spans="1:2" x14ac:dyDescent="0.35">
      <c r="A91"/>
      <c r="B91"/>
    </row>
    <row r="92" spans="1:2" x14ac:dyDescent="0.35">
      <c r="A92"/>
      <c r="B92"/>
    </row>
    <row r="93" spans="1:2" x14ac:dyDescent="0.35">
      <c r="A93"/>
      <c r="B93"/>
    </row>
    <row r="94" spans="1:2" x14ac:dyDescent="0.35">
      <c r="A94"/>
      <c r="B94"/>
    </row>
    <row r="95" spans="1:2" x14ac:dyDescent="0.35">
      <c r="A95"/>
      <c r="B95"/>
    </row>
    <row r="96" spans="1:2" x14ac:dyDescent="0.35">
      <c r="A96"/>
      <c r="B96"/>
    </row>
    <row r="97" spans="1:2" x14ac:dyDescent="0.35">
      <c r="A97"/>
      <c r="B97"/>
    </row>
    <row r="98" spans="1:2" x14ac:dyDescent="0.35">
      <c r="A98"/>
      <c r="B98"/>
    </row>
    <row r="99" spans="1:2" x14ac:dyDescent="0.35">
      <c r="A99"/>
      <c r="B99"/>
    </row>
    <row r="100" spans="1:2" x14ac:dyDescent="0.35">
      <c r="A100"/>
      <c r="B100"/>
    </row>
    <row r="101" spans="1:2" x14ac:dyDescent="0.35">
      <c r="A101"/>
      <c r="B101"/>
    </row>
    <row r="102" spans="1:2" x14ac:dyDescent="0.35">
      <c r="A102"/>
      <c r="B102"/>
    </row>
    <row r="103" spans="1:2" x14ac:dyDescent="0.35">
      <c r="A103"/>
      <c r="B103"/>
    </row>
    <row r="104" spans="1:2" x14ac:dyDescent="0.35">
      <c r="A104"/>
      <c r="B104"/>
    </row>
    <row r="105" spans="1:2" x14ac:dyDescent="0.35">
      <c r="A105"/>
      <c r="B105"/>
    </row>
    <row r="106" spans="1:2" x14ac:dyDescent="0.35">
      <c r="A106"/>
      <c r="B106"/>
    </row>
    <row r="107" spans="1:2" x14ac:dyDescent="0.35">
      <c r="A107"/>
      <c r="B107"/>
    </row>
    <row r="108" spans="1:2" x14ac:dyDescent="0.35">
      <c r="A108"/>
      <c r="B108"/>
    </row>
    <row r="109" spans="1:2" x14ac:dyDescent="0.35">
      <c r="A109"/>
      <c r="B109"/>
    </row>
    <row r="110" spans="1:2" x14ac:dyDescent="0.35">
      <c r="A110"/>
      <c r="B110"/>
    </row>
    <row r="111" spans="1:2" x14ac:dyDescent="0.35">
      <c r="A111"/>
      <c r="B111"/>
    </row>
    <row r="112" spans="1:2" x14ac:dyDescent="0.35">
      <c r="A112"/>
      <c r="B112"/>
    </row>
    <row r="113" spans="1:2" x14ac:dyDescent="0.35">
      <c r="A113"/>
      <c r="B113"/>
    </row>
    <row r="114" spans="1:2" x14ac:dyDescent="0.35">
      <c r="A114"/>
      <c r="B114"/>
    </row>
    <row r="115" spans="1:2" x14ac:dyDescent="0.35">
      <c r="A115"/>
      <c r="B115"/>
    </row>
    <row r="116" spans="1:2" x14ac:dyDescent="0.35">
      <c r="A116"/>
      <c r="B116"/>
    </row>
    <row r="117" spans="1:2" x14ac:dyDescent="0.35">
      <c r="A117"/>
      <c r="B117"/>
    </row>
    <row r="118" spans="1:2" x14ac:dyDescent="0.35">
      <c r="A118"/>
      <c r="B118"/>
    </row>
    <row r="119" spans="1:2" x14ac:dyDescent="0.35">
      <c r="A119"/>
      <c r="B119"/>
    </row>
    <row r="120" spans="1:2" x14ac:dyDescent="0.35">
      <c r="A120"/>
      <c r="B120"/>
    </row>
    <row r="121" spans="1:2" x14ac:dyDescent="0.35">
      <c r="A121"/>
      <c r="B121"/>
    </row>
    <row r="122" spans="1:2" x14ac:dyDescent="0.35">
      <c r="A122"/>
      <c r="B122"/>
    </row>
    <row r="123" spans="1:2" x14ac:dyDescent="0.35">
      <c r="A123"/>
      <c r="B123"/>
    </row>
    <row r="124" spans="1:2" x14ac:dyDescent="0.35">
      <c r="A124"/>
      <c r="B124"/>
    </row>
    <row r="125" spans="1:2" x14ac:dyDescent="0.35">
      <c r="A125"/>
      <c r="B125"/>
    </row>
    <row r="126" spans="1:2" x14ac:dyDescent="0.35">
      <c r="A126"/>
      <c r="B126"/>
    </row>
    <row r="127" spans="1:2" x14ac:dyDescent="0.35">
      <c r="A127"/>
      <c r="B127"/>
    </row>
    <row r="128" spans="1:2" x14ac:dyDescent="0.35">
      <c r="A128"/>
      <c r="B128"/>
    </row>
    <row r="129" spans="1:2" x14ac:dyDescent="0.35">
      <c r="A129"/>
      <c r="B129"/>
    </row>
    <row r="130" spans="1:2" x14ac:dyDescent="0.35">
      <c r="A130"/>
      <c r="B130"/>
    </row>
    <row r="131" spans="1:2" x14ac:dyDescent="0.35">
      <c r="A131"/>
      <c r="B131"/>
    </row>
    <row r="132" spans="1:2" x14ac:dyDescent="0.35">
      <c r="A132"/>
      <c r="B132"/>
    </row>
    <row r="133" spans="1:2" x14ac:dyDescent="0.35">
      <c r="A133"/>
      <c r="B133"/>
    </row>
    <row r="134" spans="1:2" x14ac:dyDescent="0.35">
      <c r="A134"/>
      <c r="B134"/>
    </row>
    <row r="135" spans="1:2" x14ac:dyDescent="0.35">
      <c r="A135"/>
      <c r="B135"/>
    </row>
    <row r="136" spans="1:2" x14ac:dyDescent="0.35">
      <c r="A136"/>
      <c r="B136"/>
    </row>
    <row r="137" spans="1:2" x14ac:dyDescent="0.35">
      <c r="A137"/>
      <c r="B137"/>
    </row>
    <row r="138" spans="1:2" x14ac:dyDescent="0.35">
      <c r="A138"/>
      <c r="B138"/>
    </row>
    <row r="139" spans="1:2" x14ac:dyDescent="0.35">
      <c r="A139"/>
      <c r="B139"/>
    </row>
    <row r="140" spans="1:2" x14ac:dyDescent="0.35">
      <c r="A140"/>
      <c r="B140"/>
    </row>
    <row r="141" spans="1:2" x14ac:dyDescent="0.35">
      <c r="A141"/>
      <c r="B141"/>
    </row>
    <row r="142" spans="1:2" x14ac:dyDescent="0.35">
      <c r="A142"/>
      <c r="B142"/>
    </row>
    <row r="143" spans="1:2" x14ac:dyDescent="0.35">
      <c r="A143"/>
      <c r="B143"/>
    </row>
    <row r="144" spans="1:2" x14ac:dyDescent="0.35">
      <c r="A144"/>
      <c r="B144"/>
    </row>
    <row r="145" spans="1:2" x14ac:dyDescent="0.35">
      <c r="A145"/>
      <c r="B145"/>
    </row>
    <row r="146" spans="1:2" x14ac:dyDescent="0.35">
      <c r="A146"/>
      <c r="B146"/>
    </row>
    <row r="147" spans="1:2" x14ac:dyDescent="0.35">
      <c r="A147"/>
      <c r="B147"/>
    </row>
    <row r="148" spans="1:2" x14ac:dyDescent="0.35">
      <c r="A148"/>
      <c r="B148"/>
    </row>
    <row r="149" spans="1:2" x14ac:dyDescent="0.35">
      <c r="A149"/>
      <c r="B149"/>
    </row>
    <row r="150" spans="1:2" x14ac:dyDescent="0.35">
      <c r="A150"/>
      <c r="B150"/>
    </row>
    <row r="151" spans="1:2" x14ac:dyDescent="0.35">
      <c r="A151"/>
      <c r="B151"/>
    </row>
    <row r="152" spans="1:2" x14ac:dyDescent="0.35">
      <c r="A152"/>
      <c r="B152"/>
    </row>
    <row r="153" spans="1:2" x14ac:dyDescent="0.35">
      <c r="A153"/>
      <c r="B153"/>
    </row>
    <row r="154" spans="1:2" x14ac:dyDescent="0.35">
      <c r="A154"/>
      <c r="B154"/>
    </row>
    <row r="155" spans="1:2" x14ac:dyDescent="0.35">
      <c r="A155"/>
      <c r="B155"/>
    </row>
    <row r="156" spans="1:2" x14ac:dyDescent="0.35">
      <c r="A156"/>
      <c r="B156"/>
    </row>
    <row r="157" spans="1:2" x14ac:dyDescent="0.35">
      <c r="A157"/>
      <c r="B157"/>
    </row>
    <row r="158" spans="1:2" x14ac:dyDescent="0.35">
      <c r="A158"/>
      <c r="B158"/>
    </row>
    <row r="159" spans="1:2" x14ac:dyDescent="0.35">
      <c r="A159"/>
      <c r="B159"/>
    </row>
    <row r="160" spans="1:2" x14ac:dyDescent="0.35">
      <c r="A160"/>
      <c r="B160"/>
    </row>
    <row r="161" spans="1:2" x14ac:dyDescent="0.35">
      <c r="A161"/>
      <c r="B161"/>
    </row>
    <row r="162" spans="1:2" x14ac:dyDescent="0.35">
      <c r="A162"/>
      <c r="B162"/>
    </row>
    <row r="163" spans="1:2" x14ac:dyDescent="0.35">
      <c r="A163"/>
      <c r="B163"/>
    </row>
    <row r="164" spans="1:2" x14ac:dyDescent="0.35">
      <c r="A164"/>
      <c r="B164"/>
    </row>
    <row r="165" spans="1:2" x14ac:dyDescent="0.35">
      <c r="A165"/>
      <c r="B165"/>
    </row>
    <row r="166" spans="1:2" x14ac:dyDescent="0.35">
      <c r="A166"/>
      <c r="B166"/>
    </row>
    <row r="167" spans="1:2" x14ac:dyDescent="0.35">
      <c r="A167"/>
      <c r="B167"/>
    </row>
    <row r="168" spans="1:2" x14ac:dyDescent="0.35">
      <c r="A168"/>
      <c r="B168"/>
    </row>
    <row r="169" spans="1:2" x14ac:dyDescent="0.35">
      <c r="A169"/>
      <c r="B169"/>
    </row>
    <row r="170" spans="1:2" x14ac:dyDescent="0.35">
      <c r="A170"/>
      <c r="B170"/>
    </row>
    <row r="171" spans="1:2" x14ac:dyDescent="0.35">
      <c r="A171"/>
      <c r="B171"/>
    </row>
    <row r="172" spans="1:2" x14ac:dyDescent="0.35">
      <c r="A172"/>
      <c r="B172"/>
    </row>
    <row r="173" spans="1:2" x14ac:dyDescent="0.35">
      <c r="A173"/>
      <c r="B173"/>
    </row>
    <row r="174" spans="1:2" x14ac:dyDescent="0.35">
      <c r="A174"/>
      <c r="B174"/>
    </row>
    <row r="175" spans="1:2" x14ac:dyDescent="0.35">
      <c r="A175"/>
      <c r="B175"/>
    </row>
    <row r="176" spans="1:2" x14ac:dyDescent="0.35">
      <c r="A176"/>
      <c r="B176"/>
    </row>
    <row r="177" spans="1:2" x14ac:dyDescent="0.35">
      <c r="A177"/>
      <c r="B177"/>
    </row>
    <row r="178" spans="1:2" x14ac:dyDescent="0.35">
      <c r="A178"/>
      <c r="B178"/>
    </row>
    <row r="179" spans="1:2" x14ac:dyDescent="0.35">
      <c r="A179"/>
      <c r="B179"/>
    </row>
    <row r="180" spans="1:2" x14ac:dyDescent="0.35">
      <c r="A180"/>
      <c r="B180"/>
    </row>
    <row r="181" spans="1:2" x14ac:dyDescent="0.35">
      <c r="A181"/>
      <c r="B181"/>
    </row>
    <row r="182" spans="1:2" x14ac:dyDescent="0.35">
      <c r="A182"/>
      <c r="B182"/>
    </row>
    <row r="183" spans="1:2" x14ac:dyDescent="0.35">
      <c r="A183"/>
      <c r="B183"/>
    </row>
    <row r="184" spans="1:2" x14ac:dyDescent="0.35">
      <c r="A184"/>
      <c r="B184"/>
    </row>
    <row r="185" spans="1:2" x14ac:dyDescent="0.35">
      <c r="A185"/>
      <c r="B185"/>
    </row>
    <row r="186" spans="1:2" x14ac:dyDescent="0.35">
      <c r="A186"/>
      <c r="B186"/>
    </row>
    <row r="187" spans="1:2" x14ac:dyDescent="0.35">
      <c r="A187"/>
      <c r="B187"/>
    </row>
    <row r="188" spans="1:2" x14ac:dyDescent="0.35">
      <c r="A188"/>
      <c r="B188"/>
    </row>
    <row r="189" spans="1:2" x14ac:dyDescent="0.35">
      <c r="A189"/>
      <c r="B189"/>
    </row>
    <row r="190" spans="1:2" x14ac:dyDescent="0.35">
      <c r="A190"/>
      <c r="B190"/>
    </row>
    <row r="191" spans="1:2" x14ac:dyDescent="0.35">
      <c r="A191"/>
      <c r="B191"/>
    </row>
    <row r="192" spans="1:2" x14ac:dyDescent="0.35">
      <c r="A192"/>
      <c r="B192"/>
    </row>
    <row r="193" spans="1:2" x14ac:dyDescent="0.35">
      <c r="A193"/>
      <c r="B193"/>
    </row>
    <row r="194" spans="1:2" x14ac:dyDescent="0.35">
      <c r="A194"/>
      <c r="B194"/>
    </row>
    <row r="195" spans="1:2" x14ac:dyDescent="0.35">
      <c r="A195"/>
      <c r="B195"/>
    </row>
    <row r="196" spans="1:2" x14ac:dyDescent="0.35">
      <c r="A196"/>
      <c r="B196"/>
    </row>
    <row r="197" spans="1:2" x14ac:dyDescent="0.35">
      <c r="A197"/>
      <c r="B197"/>
    </row>
    <row r="198" spans="1:2" x14ac:dyDescent="0.35">
      <c r="A198"/>
      <c r="B198"/>
    </row>
    <row r="199" spans="1:2" x14ac:dyDescent="0.35">
      <c r="A199"/>
      <c r="B199"/>
    </row>
    <row r="200" spans="1:2" x14ac:dyDescent="0.35">
      <c r="A200"/>
      <c r="B200"/>
    </row>
    <row r="201" spans="1:2" x14ac:dyDescent="0.35">
      <c r="A201"/>
      <c r="B201"/>
    </row>
    <row r="202" spans="1:2" x14ac:dyDescent="0.35">
      <c r="A202"/>
      <c r="B202"/>
    </row>
    <row r="203" spans="1:2" x14ac:dyDescent="0.35">
      <c r="A203"/>
      <c r="B203"/>
    </row>
    <row r="204" spans="1:2" x14ac:dyDescent="0.35">
      <c r="A204"/>
      <c r="B204"/>
    </row>
    <row r="205" spans="1:2" x14ac:dyDescent="0.35">
      <c r="A205"/>
      <c r="B205"/>
    </row>
    <row r="206" spans="1:2" x14ac:dyDescent="0.35">
      <c r="A206"/>
      <c r="B206"/>
    </row>
    <row r="207" spans="1:2" x14ac:dyDescent="0.35">
      <c r="A207"/>
      <c r="B207"/>
    </row>
    <row r="208" spans="1:2" x14ac:dyDescent="0.35">
      <c r="A208"/>
      <c r="B208"/>
    </row>
    <row r="209" spans="1:2" x14ac:dyDescent="0.35">
      <c r="A209"/>
      <c r="B209"/>
    </row>
    <row r="210" spans="1:2" x14ac:dyDescent="0.35">
      <c r="A210"/>
      <c r="B210"/>
    </row>
    <row r="211" spans="1:2" x14ac:dyDescent="0.35">
      <c r="A211"/>
      <c r="B211"/>
    </row>
    <row r="212" spans="1:2" x14ac:dyDescent="0.35">
      <c r="A212"/>
      <c r="B212"/>
    </row>
    <row r="213" spans="1:2" x14ac:dyDescent="0.35">
      <c r="A213"/>
      <c r="B213"/>
    </row>
    <row r="214" spans="1:2" x14ac:dyDescent="0.35">
      <c r="A214"/>
      <c r="B214"/>
    </row>
    <row r="215" spans="1:2" x14ac:dyDescent="0.35">
      <c r="A215"/>
      <c r="B215"/>
    </row>
    <row r="216" spans="1:2" x14ac:dyDescent="0.35">
      <c r="A216"/>
      <c r="B216"/>
    </row>
    <row r="217" spans="1:2" x14ac:dyDescent="0.35">
      <c r="A217"/>
      <c r="B217"/>
    </row>
    <row r="218" spans="1:2" x14ac:dyDescent="0.35">
      <c r="A218"/>
      <c r="B218"/>
    </row>
    <row r="219" spans="1:2" x14ac:dyDescent="0.35">
      <c r="A219"/>
      <c r="B219"/>
    </row>
    <row r="220" spans="1:2" x14ac:dyDescent="0.35">
      <c r="A220"/>
      <c r="B220"/>
    </row>
    <row r="221" spans="1:2" x14ac:dyDescent="0.35">
      <c r="A221"/>
      <c r="B221"/>
    </row>
    <row r="222" spans="1:2" x14ac:dyDescent="0.35">
      <c r="A222"/>
      <c r="B222"/>
    </row>
    <row r="223" spans="1:2" x14ac:dyDescent="0.35">
      <c r="A223"/>
      <c r="B223"/>
    </row>
    <row r="224" spans="1:2" x14ac:dyDescent="0.35">
      <c r="A224"/>
      <c r="B224"/>
    </row>
    <row r="225" spans="1:2" x14ac:dyDescent="0.35">
      <c r="A225"/>
      <c r="B225"/>
    </row>
    <row r="226" spans="1:2" x14ac:dyDescent="0.35">
      <c r="A226"/>
      <c r="B226"/>
    </row>
    <row r="227" spans="1:2" x14ac:dyDescent="0.35">
      <c r="A227"/>
      <c r="B227"/>
    </row>
    <row r="228" spans="1:2" x14ac:dyDescent="0.35">
      <c r="A228"/>
      <c r="B228"/>
    </row>
    <row r="229" spans="1:2" x14ac:dyDescent="0.35">
      <c r="A229"/>
      <c r="B229"/>
    </row>
    <row r="230" spans="1:2" x14ac:dyDescent="0.35">
      <c r="A230"/>
      <c r="B230"/>
    </row>
    <row r="231" spans="1:2" x14ac:dyDescent="0.35">
      <c r="A231"/>
      <c r="B231"/>
    </row>
    <row r="232" spans="1:2" x14ac:dyDescent="0.35">
      <c r="A232"/>
      <c r="B232"/>
    </row>
    <row r="233" spans="1:2" x14ac:dyDescent="0.35">
      <c r="A233"/>
      <c r="B233"/>
    </row>
    <row r="234" spans="1:2" x14ac:dyDescent="0.35">
      <c r="A234"/>
      <c r="B234"/>
    </row>
    <row r="235" spans="1:2" x14ac:dyDescent="0.35">
      <c r="A235"/>
      <c r="B235"/>
    </row>
    <row r="236" spans="1:2" x14ac:dyDescent="0.35">
      <c r="A236"/>
      <c r="B236"/>
    </row>
    <row r="237" spans="1:2" x14ac:dyDescent="0.35">
      <c r="A237"/>
      <c r="B237"/>
    </row>
    <row r="238" spans="1:2" x14ac:dyDescent="0.35">
      <c r="A238"/>
      <c r="B238"/>
    </row>
    <row r="239" spans="1:2" x14ac:dyDescent="0.35">
      <c r="A239"/>
      <c r="B239"/>
    </row>
    <row r="240" spans="1:2" x14ac:dyDescent="0.35">
      <c r="A240"/>
      <c r="B240"/>
    </row>
    <row r="241" spans="1:2" x14ac:dyDescent="0.35">
      <c r="A241"/>
      <c r="B241"/>
    </row>
    <row r="242" spans="1:2" x14ac:dyDescent="0.35">
      <c r="A242"/>
      <c r="B242"/>
    </row>
    <row r="243" spans="1:2" x14ac:dyDescent="0.35">
      <c r="A243"/>
      <c r="B243"/>
    </row>
    <row r="244" spans="1:2" x14ac:dyDescent="0.35">
      <c r="A244"/>
      <c r="B244"/>
    </row>
    <row r="245" spans="1:2" x14ac:dyDescent="0.35">
      <c r="A245"/>
      <c r="B245"/>
    </row>
    <row r="246" spans="1:2" x14ac:dyDescent="0.35">
      <c r="A246"/>
      <c r="B246"/>
    </row>
    <row r="247" spans="1:2" x14ac:dyDescent="0.35">
      <c r="A247"/>
      <c r="B247"/>
    </row>
    <row r="248" spans="1:2" x14ac:dyDescent="0.35">
      <c r="A248"/>
      <c r="B248"/>
    </row>
    <row r="249" spans="1:2" x14ac:dyDescent="0.35">
      <c r="A249"/>
      <c r="B249"/>
    </row>
    <row r="250" spans="1:2" x14ac:dyDescent="0.35">
      <c r="A250"/>
      <c r="B250"/>
    </row>
    <row r="251" spans="1:2" x14ac:dyDescent="0.35">
      <c r="A251"/>
      <c r="B251"/>
    </row>
    <row r="252" spans="1:2" x14ac:dyDescent="0.35">
      <c r="A252"/>
      <c r="B252"/>
    </row>
    <row r="253" spans="1:2" x14ac:dyDescent="0.35">
      <c r="A253"/>
      <c r="B253"/>
    </row>
    <row r="254" spans="1:2" x14ac:dyDescent="0.35">
      <c r="A254"/>
      <c r="B254"/>
    </row>
    <row r="255" spans="1:2" x14ac:dyDescent="0.35">
      <c r="A255"/>
      <c r="B255"/>
    </row>
    <row r="256" spans="1:2" x14ac:dyDescent="0.35">
      <c r="A256"/>
      <c r="B256"/>
    </row>
    <row r="257" spans="1:2" x14ac:dyDescent="0.35">
      <c r="A257"/>
      <c r="B257"/>
    </row>
    <row r="258" spans="1:2" x14ac:dyDescent="0.35">
      <c r="A258"/>
      <c r="B258"/>
    </row>
    <row r="259" spans="1:2" x14ac:dyDescent="0.35">
      <c r="A259"/>
      <c r="B259"/>
    </row>
    <row r="260" spans="1:2" x14ac:dyDescent="0.35">
      <c r="A260"/>
      <c r="B260"/>
    </row>
    <row r="261" spans="1:2" x14ac:dyDescent="0.35">
      <c r="A261"/>
      <c r="B261"/>
    </row>
    <row r="262" spans="1:2" x14ac:dyDescent="0.35">
      <c r="A262"/>
      <c r="B262"/>
    </row>
    <row r="263" spans="1:2" x14ac:dyDescent="0.35">
      <c r="A263"/>
      <c r="B263"/>
    </row>
    <row r="264" spans="1:2" x14ac:dyDescent="0.35">
      <c r="A264"/>
      <c r="B264"/>
    </row>
    <row r="265" spans="1:2" x14ac:dyDescent="0.35">
      <c r="A265"/>
      <c r="B265"/>
    </row>
    <row r="266" spans="1:2" x14ac:dyDescent="0.35">
      <c r="A266"/>
      <c r="B266"/>
    </row>
    <row r="267" spans="1:2" x14ac:dyDescent="0.35">
      <c r="A267"/>
      <c r="B267"/>
    </row>
    <row r="268" spans="1:2" x14ac:dyDescent="0.35">
      <c r="A268"/>
      <c r="B268"/>
    </row>
    <row r="269" spans="1:2" x14ac:dyDescent="0.35">
      <c r="A269"/>
      <c r="B269"/>
    </row>
    <row r="270" spans="1:2" x14ac:dyDescent="0.35">
      <c r="A270"/>
      <c r="B270"/>
    </row>
    <row r="271" spans="1:2" x14ac:dyDescent="0.35">
      <c r="A271"/>
      <c r="B271"/>
    </row>
    <row r="272" spans="1:2" x14ac:dyDescent="0.35">
      <c r="A272"/>
      <c r="B272"/>
    </row>
    <row r="273" spans="1:2" x14ac:dyDescent="0.35">
      <c r="A273"/>
      <c r="B273"/>
    </row>
    <row r="274" spans="1:2" x14ac:dyDescent="0.35">
      <c r="A274"/>
      <c r="B274"/>
    </row>
    <row r="275" spans="1:2" x14ac:dyDescent="0.35">
      <c r="A275"/>
      <c r="B275"/>
    </row>
    <row r="276" spans="1:2" x14ac:dyDescent="0.35">
      <c r="A276"/>
      <c r="B276"/>
    </row>
    <row r="277" spans="1:2" x14ac:dyDescent="0.35">
      <c r="A277"/>
      <c r="B277"/>
    </row>
    <row r="278" spans="1:2" x14ac:dyDescent="0.35">
      <c r="A278"/>
      <c r="B278"/>
    </row>
    <row r="279" spans="1:2" x14ac:dyDescent="0.35">
      <c r="A279"/>
      <c r="B279"/>
    </row>
    <row r="280" spans="1:2" x14ac:dyDescent="0.35">
      <c r="A280"/>
      <c r="B280"/>
    </row>
    <row r="281" spans="1:2" x14ac:dyDescent="0.35">
      <c r="A281"/>
      <c r="B281"/>
    </row>
    <row r="282" spans="1:2" x14ac:dyDescent="0.35">
      <c r="A282"/>
      <c r="B282"/>
    </row>
    <row r="283" spans="1:2" x14ac:dyDescent="0.35">
      <c r="A283"/>
      <c r="B283"/>
    </row>
    <row r="284" spans="1:2" x14ac:dyDescent="0.35">
      <c r="A284"/>
      <c r="B284"/>
    </row>
    <row r="285" spans="1:2" x14ac:dyDescent="0.35">
      <c r="A285"/>
      <c r="B285"/>
    </row>
    <row r="286" spans="1:2" x14ac:dyDescent="0.35">
      <c r="A286"/>
      <c r="B286"/>
    </row>
    <row r="287" spans="1:2" x14ac:dyDescent="0.35">
      <c r="A287"/>
      <c r="B287"/>
    </row>
    <row r="288" spans="1:2" x14ac:dyDescent="0.35">
      <c r="A288"/>
      <c r="B288"/>
    </row>
    <row r="289" spans="1:2" x14ac:dyDescent="0.35">
      <c r="A289"/>
      <c r="B289"/>
    </row>
    <row r="290" spans="1:2" x14ac:dyDescent="0.35">
      <c r="A290"/>
      <c r="B290"/>
    </row>
    <row r="291" spans="1:2" x14ac:dyDescent="0.35">
      <c r="A291"/>
      <c r="B291"/>
    </row>
    <row r="292" spans="1:2" x14ac:dyDescent="0.35">
      <c r="A292"/>
      <c r="B292"/>
    </row>
    <row r="293" spans="1:2" x14ac:dyDescent="0.35">
      <c r="A293"/>
      <c r="B293"/>
    </row>
    <row r="294" spans="1:2" x14ac:dyDescent="0.35">
      <c r="A294"/>
      <c r="B294"/>
    </row>
    <row r="295" spans="1:2" x14ac:dyDescent="0.35">
      <c r="A295"/>
      <c r="B295"/>
    </row>
    <row r="296" spans="1:2" x14ac:dyDescent="0.35">
      <c r="A296"/>
      <c r="B296"/>
    </row>
    <row r="297" spans="1:2" x14ac:dyDescent="0.35">
      <c r="A297"/>
      <c r="B297"/>
    </row>
    <row r="298" spans="1:2" x14ac:dyDescent="0.35">
      <c r="A298"/>
      <c r="B298"/>
    </row>
    <row r="299" spans="1:2" x14ac:dyDescent="0.35">
      <c r="A299"/>
      <c r="B299"/>
    </row>
    <row r="300" spans="1:2" x14ac:dyDescent="0.35">
      <c r="A300"/>
      <c r="B300"/>
    </row>
    <row r="301" spans="1:2" x14ac:dyDescent="0.35">
      <c r="A301"/>
      <c r="B301"/>
    </row>
  </sheetData>
  <autoFilter ref="A1:B57" xr:uid="{1F259086-1EAC-4A00-98ED-69E6CBAA2E2D}">
    <filterColumn colId="0">
      <customFilters>
        <customFilter operator="notEqual" val=" "/>
      </customFilters>
    </filterColumn>
    <sortState xmlns:xlrd2="http://schemas.microsoft.com/office/spreadsheetml/2017/richdata2" ref="A2:B57">
      <sortCondition ref="A1:A57"/>
    </sortState>
  </autoFilter>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E173-9099-4BC3-B1EF-5EEB928A016E}">
  <dimension ref="A1:Q26"/>
  <sheetViews>
    <sheetView workbookViewId="0">
      <selection activeCell="O11" sqref="O11"/>
    </sheetView>
  </sheetViews>
  <sheetFormatPr defaultRowHeight="14.5" x14ac:dyDescent="0.35"/>
  <cols>
    <col min="15" max="15" width="14.7265625" bestFit="1" customWidth="1"/>
    <col min="16" max="16" width="5.453125" customWidth="1"/>
  </cols>
  <sheetData>
    <row r="1" spans="1:17" x14ac:dyDescent="0.35">
      <c r="A1" t="s">
        <v>2017</v>
      </c>
      <c r="C1" t="s">
        <v>2018</v>
      </c>
      <c r="E1" t="s">
        <v>2019</v>
      </c>
      <c r="G1" t="s">
        <v>2018</v>
      </c>
      <c r="J1" t="s">
        <v>2020</v>
      </c>
      <c r="L1" t="s">
        <v>2018</v>
      </c>
      <c r="O1" t="s">
        <v>2021</v>
      </c>
      <c r="Q1" t="s">
        <v>2018</v>
      </c>
    </row>
    <row r="2" spans="1:17" x14ac:dyDescent="0.35">
      <c r="B2">
        <v>1</v>
      </c>
      <c r="C2" t="s">
        <v>2022</v>
      </c>
      <c r="F2">
        <v>1</v>
      </c>
      <c r="G2" t="s">
        <v>2023</v>
      </c>
      <c r="K2">
        <v>1</v>
      </c>
      <c r="L2" t="s">
        <v>2023</v>
      </c>
      <c r="P2">
        <v>1</v>
      </c>
      <c r="Q2" t="s">
        <v>2023</v>
      </c>
    </row>
    <row r="3" spans="1:17" x14ac:dyDescent="0.35">
      <c r="B3">
        <v>2</v>
      </c>
      <c r="C3" t="s">
        <v>2022</v>
      </c>
      <c r="F3">
        <v>2</v>
      </c>
      <c r="G3" t="s">
        <v>2022</v>
      </c>
      <c r="K3">
        <v>2</v>
      </c>
      <c r="L3" t="s">
        <v>2024</v>
      </c>
      <c r="P3">
        <v>2</v>
      </c>
      <c r="Q3" t="s">
        <v>2024</v>
      </c>
    </row>
    <row r="4" spans="1:17" x14ac:dyDescent="0.35">
      <c r="B4">
        <v>3</v>
      </c>
      <c r="C4" t="s">
        <v>2022</v>
      </c>
      <c r="F4">
        <v>3</v>
      </c>
      <c r="G4" t="s">
        <v>2022</v>
      </c>
      <c r="K4">
        <v>3</v>
      </c>
      <c r="L4" t="s">
        <v>2022</v>
      </c>
      <c r="P4">
        <v>3</v>
      </c>
      <c r="Q4" t="s">
        <v>2023</v>
      </c>
    </row>
    <row r="5" spans="1:17" x14ac:dyDescent="0.35">
      <c r="B5">
        <v>4</v>
      </c>
      <c r="C5" t="s">
        <v>2022</v>
      </c>
      <c r="F5">
        <v>4</v>
      </c>
      <c r="G5" t="s">
        <v>2022</v>
      </c>
      <c r="K5">
        <v>4</v>
      </c>
      <c r="L5" t="s">
        <v>2022</v>
      </c>
      <c r="P5">
        <v>4</v>
      </c>
      <c r="Q5" t="s">
        <v>2023</v>
      </c>
    </row>
    <row r="8" spans="1:17" x14ac:dyDescent="0.35">
      <c r="A8" t="s">
        <v>2025</v>
      </c>
      <c r="E8" t="s">
        <v>2025</v>
      </c>
      <c r="J8" t="s">
        <v>2025</v>
      </c>
      <c r="O8" t="s">
        <v>2025</v>
      </c>
    </row>
    <row r="9" spans="1:17" x14ac:dyDescent="0.35">
      <c r="A9" t="s">
        <v>2026</v>
      </c>
      <c r="E9" t="s">
        <v>586</v>
      </c>
      <c r="J9" t="s">
        <v>2027</v>
      </c>
      <c r="O9" t="s">
        <v>2028</v>
      </c>
    </row>
    <row r="11" spans="1:17" x14ac:dyDescent="0.35">
      <c r="A11" t="s">
        <v>2029</v>
      </c>
      <c r="E11" t="s">
        <v>2029</v>
      </c>
      <c r="J11" t="s">
        <v>2030</v>
      </c>
      <c r="O11" t="s">
        <v>2031</v>
      </c>
    </row>
    <row r="14" spans="1:17" s="39" customFormat="1" ht="5.15" customHeight="1" x14ac:dyDescent="0.35"/>
    <row r="16" spans="1:17" x14ac:dyDescent="0.35">
      <c r="E16" t="s">
        <v>2032</v>
      </c>
      <c r="G16" t="s">
        <v>2018</v>
      </c>
      <c r="J16" t="s">
        <v>2020</v>
      </c>
      <c r="L16" t="s">
        <v>2018</v>
      </c>
      <c r="O16" t="s">
        <v>2021</v>
      </c>
      <c r="Q16" t="s">
        <v>2018</v>
      </c>
    </row>
    <row r="17" spans="5:17" x14ac:dyDescent="0.35">
      <c r="F17">
        <v>1</v>
      </c>
      <c r="G17" t="s">
        <v>2033</v>
      </c>
      <c r="K17">
        <v>1</v>
      </c>
      <c r="L17" t="s">
        <v>2033</v>
      </c>
      <c r="P17">
        <v>1</v>
      </c>
      <c r="Q17" t="s">
        <v>2033</v>
      </c>
    </row>
    <row r="18" spans="5:17" x14ac:dyDescent="0.35">
      <c r="F18">
        <v>2</v>
      </c>
      <c r="G18" t="s">
        <v>2022</v>
      </c>
      <c r="K18">
        <v>2</v>
      </c>
      <c r="L18" t="s">
        <v>2024</v>
      </c>
      <c r="P18">
        <v>2</v>
      </c>
      <c r="Q18" t="s">
        <v>2024</v>
      </c>
    </row>
    <row r="19" spans="5:17" x14ac:dyDescent="0.35">
      <c r="F19">
        <v>3</v>
      </c>
      <c r="G19" t="s">
        <v>2022</v>
      </c>
      <c r="K19">
        <v>3</v>
      </c>
      <c r="L19" t="s">
        <v>2022</v>
      </c>
      <c r="P19">
        <v>3</v>
      </c>
      <c r="Q19" t="s">
        <v>2024</v>
      </c>
    </row>
    <row r="20" spans="5:17" x14ac:dyDescent="0.35">
      <c r="F20">
        <v>4</v>
      </c>
      <c r="G20" t="s">
        <v>2022</v>
      </c>
      <c r="K20">
        <v>4</v>
      </c>
      <c r="L20" t="s">
        <v>2022</v>
      </c>
      <c r="P20">
        <v>4</v>
      </c>
      <c r="Q20" t="s">
        <v>2034</v>
      </c>
    </row>
    <row r="23" spans="5:17" x14ac:dyDescent="0.35">
      <c r="E23" t="s">
        <v>2025</v>
      </c>
      <c r="J23" t="s">
        <v>2025</v>
      </c>
      <c r="O23" t="s">
        <v>2025</v>
      </c>
    </row>
    <row r="24" spans="5:17" x14ac:dyDescent="0.35">
      <c r="E24" t="s">
        <v>2035</v>
      </c>
      <c r="J24" t="s">
        <v>2036</v>
      </c>
      <c r="O24" t="s">
        <v>2037</v>
      </c>
    </row>
    <row r="26" spans="5:17" x14ac:dyDescent="0.35">
      <c r="E26" t="s">
        <v>2029</v>
      </c>
      <c r="J26" t="s">
        <v>2030</v>
      </c>
      <c r="O26" t="s">
        <v>2031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37E2-4BC8-41F5-AA52-3FC3C629F3D4}">
  <dimension ref="A1:AL288"/>
  <sheetViews>
    <sheetView topLeftCell="AJ1" zoomScale="80" zoomScaleNormal="80" workbookViewId="0">
      <selection activeCell="AK2" sqref="AK2"/>
    </sheetView>
  </sheetViews>
  <sheetFormatPr defaultColWidth="8.7265625" defaultRowHeight="14.5" x14ac:dyDescent="0.35"/>
  <cols>
    <col min="1" max="1" width="10.453125" style="18" bestFit="1" customWidth="1"/>
    <col min="2" max="2" width="24.1796875" style="18" bestFit="1" customWidth="1"/>
    <col min="3" max="3" width="15.81640625" style="18" bestFit="1" customWidth="1"/>
    <col min="4" max="4" width="10.54296875" style="18" bestFit="1" customWidth="1"/>
    <col min="5" max="5" width="12.26953125" style="18" bestFit="1" customWidth="1"/>
    <col min="6" max="6" width="6.453125" style="18" bestFit="1" customWidth="1"/>
    <col min="7" max="7" width="42.81640625" style="18" customWidth="1"/>
    <col min="8" max="8" width="75.1796875" style="18" customWidth="1"/>
    <col min="9" max="9" width="10.7265625" style="18" bestFit="1" customWidth="1"/>
    <col min="10" max="10" width="21.81640625" style="18" bestFit="1" customWidth="1"/>
    <col min="11" max="11" width="29.81640625" style="18" bestFit="1" customWidth="1"/>
    <col min="12" max="12" width="34.1796875" style="18" customWidth="1"/>
    <col min="13" max="13" width="42.453125" style="18" customWidth="1"/>
    <col min="14" max="14" width="43.81640625" style="18" customWidth="1"/>
    <col min="15" max="15" width="17.54296875" style="18" bestFit="1" customWidth="1"/>
    <col min="16" max="16" width="13.1796875" style="18" bestFit="1" customWidth="1"/>
    <col min="17" max="17" width="13.7265625" style="18" bestFit="1" customWidth="1"/>
    <col min="18" max="18" width="12.54296875" style="18" bestFit="1" customWidth="1"/>
    <col min="19" max="19" width="24.54296875" style="18" bestFit="1" customWidth="1"/>
    <col min="20" max="20" width="25.26953125" style="18" bestFit="1" customWidth="1"/>
    <col min="21" max="21" width="24.1796875" style="18" bestFit="1" customWidth="1"/>
    <col min="22" max="22" width="24.7265625" style="18" bestFit="1" customWidth="1"/>
    <col min="23" max="23" width="31.1796875" style="18" bestFit="1" customWidth="1"/>
    <col min="24" max="24" width="15.1796875" style="18" bestFit="1" customWidth="1"/>
    <col min="25" max="25" width="26.7265625" style="18" bestFit="1" customWidth="1"/>
    <col min="26" max="26" width="27.26953125" style="18" bestFit="1" customWidth="1"/>
    <col min="27" max="27" width="14.7265625" style="18" bestFit="1" customWidth="1"/>
    <col min="28" max="28" width="15.26953125" style="18" bestFit="1" customWidth="1"/>
    <col min="29" max="29" width="16" style="18" bestFit="1" customWidth="1"/>
    <col min="30" max="30" width="31.81640625" style="18" bestFit="1" customWidth="1"/>
    <col min="31" max="31" width="25.81640625" style="18" bestFit="1" customWidth="1"/>
    <col min="32" max="32" width="26.453125" style="18" bestFit="1" customWidth="1"/>
    <col min="33" max="33" width="23.26953125" style="18" customWidth="1"/>
    <col min="34" max="34" width="104.81640625" style="18" customWidth="1"/>
    <col min="35" max="35" width="12.1796875" style="18" bestFit="1" customWidth="1"/>
    <col min="36" max="36" width="100.453125" style="18" customWidth="1"/>
    <col min="37" max="37" width="120.7265625" style="26" customWidth="1"/>
    <col min="38" max="38" width="61.1796875" style="18" customWidth="1"/>
    <col min="39" max="16384" width="8.7265625" style="18"/>
  </cols>
  <sheetData>
    <row r="1" spans="1:38" ht="29" x14ac:dyDescent="0.35">
      <c r="A1" s="60" t="s">
        <v>1389</v>
      </c>
      <c r="B1" s="60" t="s">
        <v>1390</v>
      </c>
      <c r="C1" s="60" t="s">
        <v>1391</v>
      </c>
      <c r="D1" s="60" t="s">
        <v>7</v>
      </c>
      <c r="E1" s="60" t="s">
        <v>8</v>
      </c>
      <c r="F1" s="60" t="s">
        <v>1210</v>
      </c>
      <c r="G1" s="60" t="s">
        <v>1211</v>
      </c>
      <c r="H1" s="60" t="s">
        <v>1395</v>
      </c>
      <c r="I1" s="60" t="s">
        <v>1213</v>
      </c>
      <c r="J1" s="60" t="s">
        <v>20</v>
      </c>
      <c r="K1" s="60" t="s">
        <v>11</v>
      </c>
      <c r="L1" s="60" t="s">
        <v>12</v>
      </c>
      <c r="M1" s="60" t="s">
        <v>13</v>
      </c>
      <c r="N1" s="60" t="s">
        <v>14</v>
      </c>
      <c r="O1" s="60" t="s">
        <v>1396</v>
      </c>
      <c r="P1" s="60" t="s">
        <v>15</v>
      </c>
      <c r="Q1" s="60" t="s">
        <v>16</v>
      </c>
      <c r="R1" s="60" t="s">
        <v>1298</v>
      </c>
      <c r="S1" s="60" t="s">
        <v>1402</v>
      </c>
      <c r="T1" s="60" t="s">
        <v>1403</v>
      </c>
      <c r="U1" s="60" t="s">
        <v>1404</v>
      </c>
      <c r="V1" s="60" t="s">
        <v>1405</v>
      </c>
      <c r="W1" s="60" t="s">
        <v>1406</v>
      </c>
      <c r="X1" s="60" t="s">
        <v>1407</v>
      </c>
      <c r="Y1" s="60" t="s">
        <v>1409</v>
      </c>
      <c r="Z1" s="60" t="s">
        <v>1410</v>
      </c>
      <c r="AA1" s="60" t="s">
        <v>2038</v>
      </c>
      <c r="AB1" s="60" t="s">
        <v>2039</v>
      </c>
      <c r="AC1" s="60" t="s">
        <v>1415</v>
      </c>
      <c r="AD1" s="60" t="s">
        <v>1416</v>
      </c>
      <c r="AE1" s="60" t="s">
        <v>2040</v>
      </c>
      <c r="AF1" s="60" t="s">
        <v>2041</v>
      </c>
      <c r="AG1" s="60" t="s">
        <v>2042</v>
      </c>
      <c r="AH1" s="60" t="s">
        <v>1425</v>
      </c>
      <c r="AI1" s="60" t="s">
        <v>2043</v>
      </c>
      <c r="AJ1" s="60" t="s">
        <v>2044</v>
      </c>
      <c r="AK1" s="66" t="s">
        <v>2045</v>
      </c>
      <c r="AL1" s="18" t="s">
        <v>1831</v>
      </c>
    </row>
    <row r="2" spans="1:38" ht="174" x14ac:dyDescent="0.35">
      <c r="A2" s="32">
        <v>1</v>
      </c>
      <c r="B2" s="32" t="s">
        <v>1451</v>
      </c>
      <c r="C2" s="32" t="s">
        <v>1452</v>
      </c>
      <c r="D2" s="32" t="s">
        <v>1224</v>
      </c>
      <c r="E2" s="32" t="s">
        <v>1453</v>
      </c>
      <c r="F2" s="32"/>
      <c r="G2" s="32" t="s">
        <v>1292</v>
      </c>
      <c r="H2" s="32" t="s">
        <v>1321</v>
      </c>
      <c r="I2" s="32"/>
      <c r="J2" s="32" t="s">
        <v>1228</v>
      </c>
      <c r="K2" s="32" t="s">
        <v>1317</v>
      </c>
      <c r="L2" s="32" t="s">
        <v>1318</v>
      </c>
      <c r="M2" s="32" t="s">
        <v>1319</v>
      </c>
      <c r="N2" s="32" t="s">
        <v>1320</v>
      </c>
      <c r="O2" s="32">
        <v>2</v>
      </c>
      <c r="P2" s="32">
        <v>0.04</v>
      </c>
      <c r="Q2" s="32">
        <v>0.1</v>
      </c>
      <c r="R2" s="32">
        <v>0.8</v>
      </c>
      <c r="S2" s="32">
        <v>6.7500000000000004E-2</v>
      </c>
      <c r="T2" s="32">
        <v>8.2500000000000004E-2</v>
      </c>
      <c r="U2" s="32">
        <v>2700000</v>
      </c>
      <c r="V2" s="32">
        <v>3300000</v>
      </c>
      <c r="W2" s="32"/>
      <c r="X2" s="32"/>
      <c r="Y2" s="32"/>
      <c r="Z2" s="32"/>
      <c r="AA2" s="32">
        <v>0.02</v>
      </c>
      <c r="AB2" s="32">
        <v>0.05</v>
      </c>
      <c r="AC2" s="32">
        <v>3.5000000000000003E-2</v>
      </c>
      <c r="AD2" s="32">
        <v>0.19178082191780821</v>
      </c>
      <c r="AE2" s="32">
        <v>517808.21917808219</v>
      </c>
      <c r="AF2" s="32">
        <v>632876.71232876705</v>
      </c>
      <c r="AG2" s="32" t="s">
        <v>1454</v>
      </c>
      <c r="AH2" s="32" t="s">
        <v>1455</v>
      </c>
      <c r="AI2" s="32" t="s">
        <v>2046</v>
      </c>
      <c r="AJ2" s="32" t="s">
        <v>2047</v>
      </c>
      <c r="AK2" s="28" t="s">
        <v>2048</v>
      </c>
      <c r="AL2" s="18" t="str">
        <f>CONCATENATE(G2,"_",AJ2)</f>
        <v>To what extent have you explored bundling of volumes across different types of vegetable oils to maximize economies of scale?_If a large number of countries/regions (&gt;3-4) contributte to the top &gt;80% spend, then call out these countries/examples with potential for consolidation. If SKU/item level data is available, share examples of top SKUs/items that have a one-to-many mapping between plants/countries/regions-to-suppliers</v>
      </c>
    </row>
    <row r="3" spans="1:38" ht="58" x14ac:dyDescent="0.35">
      <c r="A3" s="32">
        <v>1</v>
      </c>
      <c r="B3" s="32" t="s">
        <v>1451</v>
      </c>
      <c r="C3" s="32" t="s">
        <v>1452</v>
      </c>
      <c r="D3" s="32" t="s">
        <v>1224</v>
      </c>
      <c r="E3" s="32" t="s">
        <v>1453</v>
      </c>
      <c r="F3" s="32"/>
      <c r="G3" s="32" t="s">
        <v>1292</v>
      </c>
      <c r="H3" s="32" t="s">
        <v>1462</v>
      </c>
      <c r="I3" s="32"/>
      <c r="J3" s="32" t="s">
        <v>1228</v>
      </c>
      <c r="K3" s="32" t="s">
        <v>1317</v>
      </c>
      <c r="L3" s="32" t="s">
        <v>1318</v>
      </c>
      <c r="M3" s="32" t="s">
        <v>1319</v>
      </c>
      <c r="N3" s="32" t="s">
        <v>1320</v>
      </c>
      <c r="O3" s="32">
        <v>2</v>
      </c>
      <c r="P3" s="32">
        <v>0.04</v>
      </c>
      <c r="Q3" s="32">
        <v>0.1</v>
      </c>
      <c r="R3" s="32">
        <v>0.8</v>
      </c>
      <c r="S3" s="32">
        <v>6.7857142857142866E-2</v>
      </c>
      <c r="T3" s="32">
        <v>8.2857142857142865E-2</v>
      </c>
      <c r="U3" s="32">
        <v>2714285.714285715</v>
      </c>
      <c r="V3" s="32">
        <v>3314285.714285715</v>
      </c>
      <c r="W3" s="32"/>
      <c r="X3" s="32"/>
      <c r="Y3" s="32"/>
      <c r="Z3" s="32"/>
      <c r="AA3" s="32">
        <v>0.02</v>
      </c>
      <c r="AB3" s="32">
        <v>0.05</v>
      </c>
      <c r="AC3" s="32">
        <v>3.5000000000000003E-2</v>
      </c>
      <c r="AD3" s="32">
        <v>0.19178082191780821</v>
      </c>
      <c r="AE3" s="32">
        <v>520547.94520547963</v>
      </c>
      <c r="AF3" s="32">
        <v>635616.43835616438</v>
      </c>
      <c r="AG3" s="32" t="s">
        <v>1463</v>
      </c>
      <c r="AH3" s="32" t="s">
        <v>1464</v>
      </c>
      <c r="AI3" s="32" t="s">
        <v>2046</v>
      </c>
      <c r="AJ3" s="32"/>
      <c r="AK3" s="28"/>
      <c r="AL3" s="18" t="str">
        <f t="shared" ref="AL3:AL66" si="0">CONCATENATE(G3,"_",AJ3)</f>
        <v>To what extent have you explored bundling of volumes across different types of vegetable oils to maximize economies of scale?_</v>
      </c>
    </row>
    <row r="4" spans="1:38" ht="58" x14ac:dyDescent="0.35">
      <c r="A4" s="32">
        <v>1</v>
      </c>
      <c r="B4" s="32" t="s">
        <v>1451</v>
      </c>
      <c r="C4" s="32" t="s">
        <v>1452</v>
      </c>
      <c r="D4" s="32" t="s">
        <v>1224</v>
      </c>
      <c r="E4" s="32" t="s">
        <v>1453</v>
      </c>
      <c r="F4" s="32"/>
      <c r="G4" s="32" t="s">
        <v>1292</v>
      </c>
      <c r="H4" s="32" t="s">
        <v>1462</v>
      </c>
      <c r="I4" s="32"/>
      <c r="J4" s="32" t="s">
        <v>1228</v>
      </c>
      <c r="K4" s="32" t="s">
        <v>1317</v>
      </c>
      <c r="L4" s="32" t="s">
        <v>1318</v>
      </c>
      <c r="M4" s="32" t="s">
        <v>1319</v>
      </c>
      <c r="N4" s="32" t="s">
        <v>1320</v>
      </c>
      <c r="O4" s="32">
        <v>2</v>
      </c>
      <c r="P4" s="32">
        <v>0.04</v>
      </c>
      <c r="Q4" s="32">
        <v>0.1</v>
      </c>
      <c r="R4" s="32">
        <v>0.8</v>
      </c>
      <c r="S4" s="32">
        <v>6.7857142857142866E-2</v>
      </c>
      <c r="T4" s="32">
        <v>8.2857142857142865E-2</v>
      </c>
      <c r="U4" s="32">
        <v>2714285.714285715</v>
      </c>
      <c r="V4" s="32">
        <v>3314285.714285715</v>
      </c>
      <c r="W4" s="32"/>
      <c r="X4" s="32"/>
      <c r="Y4" s="32"/>
      <c r="Z4" s="32"/>
      <c r="AA4" s="32">
        <v>0.02</v>
      </c>
      <c r="AB4" s="32">
        <v>0.05</v>
      </c>
      <c r="AC4" s="32">
        <v>3.5000000000000003E-2</v>
      </c>
      <c r="AD4" s="32">
        <v>0.19178082191780821</v>
      </c>
      <c r="AE4" s="32">
        <v>520547.94520547963</v>
      </c>
      <c r="AF4" s="32">
        <v>635616.43835616438</v>
      </c>
      <c r="AG4" s="32" t="s">
        <v>1465</v>
      </c>
      <c r="AH4" s="32" t="s">
        <v>1466</v>
      </c>
      <c r="AI4" s="32" t="s">
        <v>2046</v>
      </c>
      <c r="AJ4" s="32"/>
      <c r="AK4" s="28"/>
      <c r="AL4" s="18" t="str">
        <f t="shared" si="0"/>
        <v>To what extent have you explored bundling of volumes across different types of vegetable oils to maximize economies of scale?_</v>
      </c>
    </row>
    <row r="5" spans="1:38" ht="87" x14ac:dyDescent="0.35">
      <c r="A5" s="32">
        <v>1</v>
      </c>
      <c r="B5" s="32" t="s">
        <v>1451</v>
      </c>
      <c r="C5" s="32" t="s">
        <v>1452</v>
      </c>
      <c r="D5" s="32" t="s">
        <v>1224</v>
      </c>
      <c r="E5" s="32" t="s">
        <v>1453</v>
      </c>
      <c r="F5" s="32"/>
      <c r="G5" s="32" t="s">
        <v>1292</v>
      </c>
      <c r="H5" s="32" t="s">
        <v>1462</v>
      </c>
      <c r="I5" s="32"/>
      <c r="J5" s="32" t="s">
        <v>1228</v>
      </c>
      <c r="K5" s="32" t="s">
        <v>1317</v>
      </c>
      <c r="L5" s="32" t="s">
        <v>1318</v>
      </c>
      <c r="M5" s="32" t="s">
        <v>1319</v>
      </c>
      <c r="N5" s="32" t="s">
        <v>1320</v>
      </c>
      <c r="O5" s="32">
        <v>2</v>
      </c>
      <c r="P5" s="32">
        <v>0.04</v>
      </c>
      <c r="Q5" s="32">
        <v>0.1</v>
      </c>
      <c r="R5" s="32">
        <v>0.8</v>
      </c>
      <c r="S5" s="32">
        <v>6.7857142857142866E-2</v>
      </c>
      <c r="T5" s="32">
        <v>8.2857142857142865E-2</v>
      </c>
      <c r="U5" s="32">
        <v>2714285.714285715</v>
      </c>
      <c r="V5" s="32">
        <v>3314285.714285715</v>
      </c>
      <c r="W5" s="32"/>
      <c r="X5" s="32"/>
      <c r="Y5" s="32"/>
      <c r="Z5" s="32"/>
      <c r="AA5" s="32">
        <v>0.02</v>
      </c>
      <c r="AB5" s="32">
        <v>0.05</v>
      </c>
      <c r="AC5" s="32">
        <v>3.5000000000000003E-2</v>
      </c>
      <c r="AD5" s="32">
        <v>0.19178082191780821</v>
      </c>
      <c r="AE5" s="32">
        <v>520547.94520547963</v>
      </c>
      <c r="AF5" s="32">
        <v>635616.43835616438</v>
      </c>
      <c r="AG5" s="32" t="s">
        <v>1467</v>
      </c>
      <c r="AH5" s="32" t="s">
        <v>1468</v>
      </c>
      <c r="AI5" s="32" t="s">
        <v>2046</v>
      </c>
      <c r="AJ5" s="32" t="s">
        <v>1469</v>
      </c>
      <c r="AK5" s="28" t="s">
        <v>2049</v>
      </c>
      <c r="AL5" s="18" t="str">
        <f t="shared" si="0"/>
        <v>To what extent have you explored bundling of volumes across different types of vegetable oils to maximize economies of scale?_In case this proof-point shows high fragmentation in bottom 20% spend, then augment the initiative by describing the extent of fragmentation e.g., &gt;90% supplier make up the bottom 20% spend.</v>
      </c>
    </row>
    <row r="6" spans="1:38" ht="145" x14ac:dyDescent="0.35">
      <c r="A6" s="32">
        <v>1</v>
      </c>
      <c r="B6" s="32" t="s">
        <v>1451</v>
      </c>
      <c r="C6" s="32" t="s">
        <v>1452</v>
      </c>
      <c r="D6" s="32" t="s">
        <v>1224</v>
      </c>
      <c r="E6" s="32" t="s">
        <v>1453</v>
      </c>
      <c r="F6" s="32"/>
      <c r="G6" s="32" t="s">
        <v>1292</v>
      </c>
      <c r="H6" s="32" t="s">
        <v>1462</v>
      </c>
      <c r="I6" s="32"/>
      <c r="J6" s="32" t="s">
        <v>1228</v>
      </c>
      <c r="K6" s="32" t="s">
        <v>1317</v>
      </c>
      <c r="L6" s="32" t="s">
        <v>1318</v>
      </c>
      <c r="M6" s="32" t="s">
        <v>1319</v>
      </c>
      <c r="N6" s="32" t="s">
        <v>1320</v>
      </c>
      <c r="O6" s="32">
        <v>2</v>
      </c>
      <c r="P6" s="32">
        <v>0.04</v>
      </c>
      <c r="Q6" s="32">
        <v>0.1</v>
      </c>
      <c r="R6" s="32">
        <v>0.8</v>
      </c>
      <c r="S6" s="32">
        <v>6.7857142857142866E-2</v>
      </c>
      <c r="T6" s="32">
        <v>8.2857142857142865E-2</v>
      </c>
      <c r="U6" s="32">
        <v>2714285.714285715</v>
      </c>
      <c r="V6" s="32">
        <v>3314285.714285715</v>
      </c>
      <c r="W6" s="32"/>
      <c r="X6" s="32"/>
      <c r="Y6" s="32"/>
      <c r="Z6" s="32"/>
      <c r="AA6" s="32">
        <v>0.02</v>
      </c>
      <c r="AB6" s="32">
        <v>0.05</v>
      </c>
      <c r="AC6" s="32">
        <v>3.5000000000000003E-2</v>
      </c>
      <c r="AD6" s="32">
        <v>0.19178082191780821</v>
      </c>
      <c r="AE6" s="32">
        <v>520547.94520547963</v>
      </c>
      <c r="AF6" s="32">
        <v>635616.43835616438</v>
      </c>
      <c r="AG6" s="32" t="s">
        <v>1471</v>
      </c>
      <c r="AH6" s="32" t="s">
        <v>1472</v>
      </c>
      <c r="AI6" s="32" t="s">
        <v>2046</v>
      </c>
      <c r="AJ6" s="32" t="s">
        <v>1473</v>
      </c>
      <c r="AK6" s="28" t="s">
        <v>2050</v>
      </c>
      <c r="AL6" s="18" t="str">
        <f t="shared" si="0"/>
        <v>To what extent have you explored bundling of volumes across different types of vegetable oils to maximize economies of scale?_If top categories and/or SKUs/items have multiple suppliers; and if these suppliers provide similar/identical products and services; then callout these examples of suppliers that can be consolidated</v>
      </c>
    </row>
    <row r="7" spans="1:38" ht="58" x14ac:dyDescent="0.35">
      <c r="A7" s="32">
        <v>1</v>
      </c>
      <c r="B7" s="32" t="s">
        <v>1451</v>
      </c>
      <c r="C7" s="32" t="s">
        <v>1452</v>
      </c>
      <c r="D7" s="32" t="s">
        <v>1224</v>
      </c>
      <c r="E7" s="32" t="s">
        <v>1453</v>
      </c>
      <c r="F7" s="32"/>
      <c r="G7" s="32" t="s">
        <v>1292</v>
      </c>
      <c r="H7" s="32" t="s">
        <v>1462</v>
      </c>
      <c r="I7" s="32"/>
      <c r="J7" s="32" t="s">
        <v>1228</v>
      </c>
      <c r="K7" s="32" t="s">
        <v>1317</v>
      </c>
      <c r="L7" s="32" t="s">
        <v>1318</v>
      </c>
      <c r="M7" s="32" t="s">
        <v>1319</v>
      </c>
      <c r="N7" s="32" t="s">
        <v>1320</v>
      </c>
      <c r="O7" s="32">
        <v>2</v>
      </c>
      <c r="P7" s="32">
        <v>0.04</v>
      </c>
      <c r="Q7" s="32">
        <v>0.1</v>
      </c>
      <c r="R7" s="32">
        <v>0.8</v>
      </c>
      <c r="S7" s="32">
        <v>6.7857142857142866E-2</v>
      </c>
      <c r="T7" s="32">
        <v>8.2857142857142865E-2</v>
      </c>
      <c r="U7" s="32">
        <v>2714285.714285715</v>
      </c>
      <c r="V7" s="32">
        <v>3314285.714285715</v>
      </c>
      <c r="W7" s="32"/>
      <c r="X7" s="32"/>
      <c r="Y7" s="32"/>
      <c r="Z7" s="32"/>
      <c r="AA7" s="32">
        <v>0.02</v>
      </c>
      <c r="AB7" s="32">
        <v>0.05</v>
      </c>
      <c r="AC7" s="32">
        <v>3.5000000000000003E-2</v>
      </c>
      <c r="AD7" s="32">
        <v>0.19178082191780821</v>
      </c>
      <c r="AE7" s="32">
        <v>520547.94520547963</v>
      </c>
      <c r="AF7" s="32">
        <v>635616.43835616438</v>
      </c>
      <c r="AG7" s="32" t="s">
        <v>1475</v>
      </c>
      <c r="AH7" s="32" t="s">
        <v>1476</v>
      </c>
      <c r="AI7" s="32" t="s">
        <v>2046</v>
      </c>
      <c r="AJ7" s="32"/>
      <c r="AK7" s="28"/>
      <c r="AL7" s="18" t="str">
        <f t="shared" si="0"/>
        <v>To what extent have you explored bundling of volumes across different types of vegetable oils to maximize economies of scale?_</v>
      </c>
    </row>
    <row r="8" spans="1:38" ht="116" x14ac:dyDescent="0.35">
      <c r="A8" s="32">
        <v>1</v>
      </c>
      <c r="B8" s="32" t="s">
        <v>1451</v>
      </c>
      <c r="C8" s="32" t="s">
        <v>1452</v>
      </c>
      <c r="D8" s="32" t="s">
        <v>1224</v>
      </c>
      <c r="E8" s="32" t="s">
        <v>1453</v>
      </c>
      <c r="F8" s="32"/>
      <c r="G8" s="32" t="s">
        <v>1292</v>
      </c>
      <c r="H8" s="32" t="s">
        <v>1462</v>
      </c>
      <c r="I8" s="32"/>
      <c r="J8" s="32" t="s">
        <v>1228</v>
      </c>
      <c r="K8" s="32" t="s">
        <v>1317</v>
      </c>
      <c r="L8" s="32" t="s">
        <v>1318</v>
      </c>
      <c r="M8" s="32" t="s">
        <v>1319</v>
      </c>
      <c r="N8" s="32" t="s">
        <v>1320</v>
      </c>
      <c r="O8" s="32">
        <v>2</v>
      </c>
      <c r="P8" s="32">
        <v>0.04</v>
      </c>
      <c r="Q8" s="32">
        <v>0.1</v>
      </c>
      <c r="R8" s="32">
        <v>0.8</v>
      </c>
      <c r="S8" s="32">
        <v>6.7857142857142866E-2</v>
      </c>
      <c r="T8" s="32">
        <v>8.2857142857142865E-2</v>
      </c>
      <c r="U8" s="32">
        <v>2714285.714285715</v>
      </c>
      <c r="V8" s="32">
        <v>3314285.714285715</v>
      </c>
      <c r="W8" s="32"/>
      <c r="X8" s="32"/>
      <c r="Y8" s="32"/>
      <c r="Z8" s="32"/>
      <c r="AA8" s="32">
        <v>0.02</v>
      </c>
      <c r="AB8" s="32">
        <v>0.05</v>
      </c>
      <c r="AC8" s="32">
        <v>3.5000000000000003E-2</v>
      </c>
      <c r="AD8" s="32">
        <v>0.19178082191780821</v>
      </c>
      <c r="AE8" s="32">
        <v>520547.94520547963</v>
      </c>
      <c r="AF8" s="32">
        <v>635616.43835616438</v>
      </c>
      <c r="AG8" s="32" t="s">
        <v>1477</v>
      </c>
      <c r="AH8" s="32" t="s">
        <v>1478</v>
      </c>
      <c r="AI8" s="32" t="s">
        <v>2046</v>
      </c>
      <c r="AJ8" s="32" t="s">
        <v>2051</v>
      </c>
      <c r="AK8" s="28" t="s">
        <v>2052</v>
      </c>
      <c r="AL8" s="18" t="str">
        <f t="shared" si="0"/>
        <v>To what extent have you explored bundling of volumes across different types of vegetable oils to maximize economies of scale?_If this hypothesis is tested and holds true, then callout examples of the highest spend SKUs that have price variations across suppliers</v>
      </c>
    </row>
    <row r="9" spans="1:38" ht="58" x14ac:dyDescent="0.35">
      <c r="A9" s="32">
        <v>1</v>
      </c>
      <c r="B9" s="32" t="s">
        <v>1451</v>
      </c>
      <c r="C9" s="32" t="s">
        <v>1452</v>
      </c>
      <c r="D9" s="32" t="s">
        <v>1224</v>
      </c>
      <c r="E9" s="32" t="s">
        <v>1453</v>
      </c>
      <c r="F9" s="32"/>
      <c r="G9" s="32" t="s">
        <v>1292</v>
      </c>
      <c r="H9" s="32" t="s">
        <v>1462</v>
      </c>
      <c r="I9" s="32"/>
      <c r="J9" s="32" t="s">
        <v>1228</v>
      </c>
      <c r="K9" s="32" t="s">
        <v>1317</v>
      </c>
      <c r="L9" s="32" t="s">
        <v>1318</v>
      </c>
      <c r="M9" s="32" t="s">
        <v>1319</v>
      </c>
      <c r="N9" s="32" t="s">
        <v>1320</v>
      </c>
      <c r="O9" s="32">
        <v>2</v>
      </c>
      <c r="P9" s="32">
        <v>0.04</v>
      </c>
      <c r="Q9" s="32">
        <v>0.1</v>
      </c>
      <c r="R9" s="32">
        <v>0.8</v>
      </c>
      <c r="S9" s="32">
        <v>6.7857142857142866E-2</v>
      </c>
      <c r="T9" s="32">
        <v>8.2857142857142865E-2</v>
      </c>
      <c r="U9" s="32">
        <v>2714285.714285715</v>
      </c>
      <c r="V9" s="32">
        <v>3314285.714285715</v>
      </c>
      <c r="W9" s="32"/>
      <c r="X9" s="32"/>
      <c r="Y9" s="32"/>
      <c r="Z9" s="32"/>
      <c r="AA9" s="32">
        <v>0.02</v>
      </c>
      <c r="AB9" s="32">
        <v>0.05</v>
      </c>
      <c r="AC9" s="32">
        <v>3.5000000000000003E-2</v>
      </c>
      <c r="AD9" s="32">
        <v>0.19178082191780821</v>
      </c>
      <c r="AE9" s="32">
        <v>520547.94520547963</v>
      </c>
      <c r="AF9" s="32">
        <v>635616.43835616438</v>
      </c>
      <c r="AG9" s="32" t="s">
        <v>1481</v>
      </c>
      <c r="AH9" s="32" t="s">
        <v>1482</v>
      </c>
      <c r="AI9" s="32" t="s">
        <v>2046</v>
      </c>
      <c r="AJ9" s="32"/>
      <c r="AK9" s="28"/>
      <c r="AL9" s="18" t="str">
        <f t="shared" si="0"/>
        <v>To what extent have you explored bundling of volumes across different types of vegetable oils to maximize economies of scale?_</v>
      </c>
    </row>
    <row r="10" spans="1:38" ht="58" x14ac:dyDescent="0.35">
      <c r="A10" s="32">
        <v>1</v>
      </c>
      <c r="B10" s="32" t="s">
        <v>1451</v>
      </c>
      <c r="C10" s="32" t="s">
        <v>1452</v>
      </c>
      <c r="D10" s="32" t="s">
        <v>1224</v>
      </c>
      <c r="E10" s="32" t="s">
        <v>1453</v>
      </c>
      <c r="F10" s="32"/>
      <c r="G10" s="32" t="s">
        <v>1292</v>
      </c>
      <c r="H10" s="32" t="s">
        <v>1462</v>
      </c>
      <c r="I10" s="32"/>
      <c r="J10" s="32" t="s">
        <v>1228</v>
      </c>
      <c r="K10" s="32" t="s">
        <v>1317</v>
      </c>
      <c r="L10" s="32" t="s">
        <v>1318</v>
      </c>
      <c r="M10" s="32" t="s">
        <v>1319</v>
      </c>
      <c r="N10" s="32" t="s">
        <v>1320</v>
      </c>
      <c r="O10" s="32">
        <v>2</v>
      </c>
      <c r="P10" s="32">
        <v>0.04</v>
      </c>
      <c r="Q10" s="32">
        <v>0.1</v>
      </c>
      <c r="R10" s="32">
        <v>0.8</v>
      </c>
      <c r="S10" s="32">
        <v>6.7857142857142866E-2</v>
      </c>
      <c r="T10" s="32">
        <v>8.2857142857142865E-2</v>
      </c>
      <c r="U10" s="32">
        <v>2714285.714285715</v>
      </c>
      <c r="V10" s="32">
        <v>3314285.714285715</v>
      </c>
      <c r="W10" s="32"/>
      <c r="X10" s="32"/>
      <c r="Y10" s="32"/>
      <c r="Z10" s="32"/>
      <c r="AA10" s="32">
        <v>0.02</v>
      </c>
      <c r="AB10" s="32">
        <v>0.05</v>
      </c>
      <c r="AC10" s="32">
        <v>3.5000000000000003E-2</v>
      </c>
      <c r="AD10" s="32">
        <v>0.19178082191780821</v>
      </c>
      <c r="AE10" s="32">
        <v>520547.94520547963</v>
      </c>
      <c r="AF10" s="32">
        <v>635616.43835616438</v>
      </c>
      <c r="AG10" s="32" t="s">
        <v>1483</v>
      </c>
      <c r="AH10" s="32" t="s">
        <v>1484</v>
      </c>
      <c r="AI10" s="32" t="s">
        <v>2046</v>
      </c>
      <c r="AJ10" s="32"/>
      <c r="AK10" s="28"/>
      <c r="AL10" s="18" t="str">
        <f t="shared" si="0"/>
        <v>To what extent have you explored bundling of volumes across different types of vegetable oils to maximize economies of scale?_</v>
      </c>
    </row>
    <row r="11" spans="1:38" ht="58" x14ac:dyDescent="0.35">
      <c r="A11" s="32">
        <v>1</v>
      </c>
      <c r="B11" s="32" t="s">
        <v>1451</v>
      </c>
      <c r="C11" s="32" t="s">
        <v>1452</v>
      </c>
      <c r="D11" s="32" t="s">
        <v>1224</v>
      </c>
      <c r="E11" s="32" t="s">
        <v>1453</v>
      </c>
      <c r="F11" s="32"/>
      <c r="G11" s="32" t="s">
        <v>1292</v>
      </c>
      <c r="H11" s="32" t="s">
        <v>1462</v>
      </c>
      <c r="I11" s="32"/>
      <c r="J11" s="32" t="s">
        <v>1228</v>
      </c>
      <c r="K11" s="32" t="s">
        <v>1317</v>
      </c>
      <c r="L11" s="32" t="s">
        <v>1318</v>
      </c>
      <c r="M11" s="32" t="s">
        <v>1319</v>
      </c>
      <c r="N11" s="32" t="s">
        <v>1320</v>
      </c>
      <c r="O11" s="32">
        <v>2</v>
      </c>
      <c r="P11" s="32">
        <v>0.04</v>
      </c>
      <c r="Q11" s="32">
        <v>0.1</v>
      </c>
      <c r="R11" s="32">
        <v>0.8</v>
      </c>
      <c r="S11" s="32">
        <v>6.7857142857142866E-2</v>
      </c>
      <c r="T11" s="32">
        <v>8.2857142857142865E-2</v>
      </c>
      <c r="U11" s="32">
        <v>2714285.714285715</v>
      </c>
      <c r="V11" s="32">
        <v>3314285.714285715</v>
      </c>
      <c r="W11" s="32"/>
      <c r="X11" s="32"/>
      <c r="Y11" s="32"/>
      <c r="Z11" s="32"/>
      <c r="AA11" s="32">
        <v>0.02</v>
      </c>
      <c r="AB11" s="32">
        <v>0.05</v>
      </c>
      <c r="AC11" s="32">
        <v>3.5000000000000003E-2</v>
      </c>
      <c r="AD11" s="32">
        <v>0.19178082191780821</v>
      </c>
      <c r="AE11" s="32">
        <v>520547.94520547963</v>
      </c>
      <c r="AF11" s="32">
        <v>635616.43835616438</v>
      </c>
      <c r="AG11" s="32" t="s">
        <v>1486</v>
      </c>
      <c r="AH11" s="32" t="s">
        <v>1487</v>
      </c>
      <c r="AI11" s="32" t="s">
        <v>2046</v>
      </c>
      <c r="AJ11" s="32"/>
      <c r="AK11" s="28"/>
      <c r="AL11" s="18" t="str">
        <f t="shared" si="0"/>
        <v>To what extent have you explored bundling of volumes across different types of vegetable oils to maximize economies of scale?_</v>
      </c>
    </row>
    <row r="12" spans="1:38" ht="58" x14ac:dyDescent="0.35">
      <c r="A12" s="32">
        <v>1</v>
      </c>
      <c r="B12" s="32" t="s">
        <v>1451</v>
      </c>
      <c r="C12" s="32" t="s">
        <v>1452</v>
      </c>
      <c r="D12" s="32" t="s">
        <v>1224</v>
      </c>
      <c r="E12" s="32" t="s">
        <v>1453</v>
      </c>
      <c r="F12" s="32"/>
      <c r="G12" s="32" t="s">
        <v>1292</v>
      </c>
      <c r="H12" s="32" t="s">
        <v>1462</v>
      </c>
      <c r="I12" s="32"/>
      <c r="J12" s="32" t="s">
        <v>1228</v>
      </c>
      <c r="K12" s="32" t="s">
        <v>1317</v>
      </c>
      <c r="L12" s="32" t="s">
        <v>1318</v>
      </c>
      <c r="M12" s="32" t="s">
        <v>1319</v>
      </c>
      <c r="N12" s="32" t="s">
        <v>1320</v>
      </c>
      <c r="O12" s="32">
        <v>2</v>
      </c>
      <c r="P12" s="32">
        <v>0.04</v>
      </c>
      <c r="Q12" s="32">
        <v>0.1</v>
      </c>
      <c r="R12" s="32">
        <v>0.8</v>
      </c>
      <c r="S12" s="32">
        <v>6.7857142857142866E-2</v>
      </c>
      <c r="T12" s="32">
        <v>8.2857142857142865E-2</v>
      </c>
      <c r="U12" s="32">
        <v>2714285.714285715</v>
      </c>
      <c r="V12" s="32">
        <v>3314285.714285715</v>
      </c>
      <c r="W12" s="32"/>
      <c r="X12" s="32"/>
      <c r="Y12" s="32"/>
      <c r="Z12" s="32"/>
      <c r="AA12" s="32">
        <v>0.02</v>
      </c>
      <c r="AB12" s="32">
        <v>0.05</v>
      </c>
      <c r="AC12" s="32">
        <v>3.5000000000000003E-2</v>
      </c>
      <c r="AD12" s="32">
        <v>0.19178082191780821</v>
      </c>
      <c r="AE12" s="32">
        <v>520547.94520547963</v>
      </c>
      <c r="AF12" s="32">
        <v>635616.43835616438</v>
      </c>
      <c r="AG12" s="32" t="s">
        <v>1488</v>
      </c>
      <c r="AH12" s="32" t="s">
        <v>1489</v>
      </c>
      <c r="AI12" s="32" t="s">
        <v>2046</v>
      </c>
      <c r="AJ12" s="32"/>
      <c r="AK12" s="28"/>
      <c r="AL12" s="18" t="str">
        <f t="shared" si="0"/>
        <v>To what extent have you explored bundling of volumes across different types of vegetable oils to maximize economies of scale?_</v>
      </c>
    </row>
    <row r="13" spans="1:38" ht="58" x14ac:dyDescent="0.35">
      <c r="A13" s="32">
        <v>1</v>
      </c>
      <c r="B13" s="32" t="s">
        <v>1451</v>
      </c>
      <c r="C13" s="32" t="s">
        <v>1452</v>
      </c>
      <c r="D13" s="32" t="s">
        <v>1224</v>
      </c>
      <c r="E13" s="32" t="s">
        <v>1453</v>
      </c>
      <c r="F13" s="32"/>
      <c r="G13" s="32" t="s">
        <v>1292</v>
      </c>
      <c r="H13" s="32" t="s">
        <v>1462</v>
      </c>
      <c r="I13" s="32"/>
      <c r="J13" s="32" t="s">
        <v>1228</v>
      </c>
      <c r="K13" s="32" t="s">
        <v>1317</v>
      </c>
      <c r="L13" s="32" t="s">
        <v>1318</v>
      </c>
      <c r="M13" s="32" t="s">
        <v>1319</v>
      </c>
      <c r="N13" s="32" t="s">
        <v>1320</v>
      </c>
      <c r="O13" s="32">
        <v>2</v>
      </c>
      <c r="P13" s="32">
        <v>0.04</v>
      </c>
      <c r="Q13" s="32">
        <v>0.1</v>
      </c>
      <c r="R13" s="32">
        <v>0.8</v>
      </c>
      <c r="S13" s="32">
        <v>6.7857142857142866E-2</v>
      </c>
      <c r="T13" s="32">
        <v>8.2857142857142865E-2</v>
      </c>
      <c r="U13" s="32">
        <v>2714285.714285715</v>
      </c>
      <c r="V13" s="32">
        <v>3314285.714285715</v>
      </c>
      <c r="W13" s="32"/>
      <c r="X13" s="32"/>
      <c r="Y13" s="32"/>
      <c r="Z13" s="32"/>
      <c r="AA13" s="32">
        <v>0.02</v>
      </c>
      <c r="AB13" s="32">
        <v>0.05</v>
      </c>
      <c r="AC13" s="32">
        <v>3.5000000000000003E-2</v>
      </c>
      <c r="AD13" s="32">
        <v>0.19178082191780821</v>
      </c>
      <c r="AE13" s="32">
        <v>520547.94520547963</v>
      </c>
      <c r="AF13" s="32">
        <v>635616.43835616438</v>
      </c>
      <c r="AG13" s="32" t="s">
        <v>1490</v>
      </c>
      <c r="AH13" s="32" t="s">
        <v>1491</v>
      </c>
      <c r="AI13" s="32" t="s">
        <v>2046</v>
      </c>
      <c r="AJ13" s="32"/>
      <c r="AK13" s="28"/>
      <c r="AL13" s="18" t="str">
        <f t="shared" si="0"/>
        <v>To what extent have you explored bundling of volumes across different types of vegetable oils to maximize economies of scale?_</v>
      </c>
    </row>
    <row r="14" spans="1:38" ht="58" x14ac:dyDescent="0.35">
      <c r="A14" s="32">
        <v>1</v>
      </c>
      <c r="B14" s="32" t="s">
        <v>1451</v>
      </c>
      <c r="C14" s="32" t="s">
        <v>1452</v>
      </c>
      <c r="D14" s="32" t="s">
        <v>1224</v>
      </c>
      <c r="E14" s="32" t="s">
        <v>1453</v>
      </c>
      <c r="F14" s="32"/>
      <c r="G14" s="32" t="s">
        <v>1292</v>
      </c>
      <c r="H14" s="32" t="s">
        <v>1462</v>
      </c>
      <c r="I14" s="32"/>
      <c r="J14" s="32" t="s">
        <v>1228</v>
      </c>
      <c r="K14" s="32" t="s">
        <v>1317</v>
      </c>
      <c r="L14" s="32" t="s">
        <v>1318</v>
      </c>
      <c r="M14" s="32" t="s">
        <v>1319</v>
      </c>
      <c r="N14" s="32" t="s">
        <v>1320</v>
      </c>
      <c r="O14" s="32">
        <v>2</v>
      </c>
      <c r="P14" s="32">
        <v>0.04</v>
      </c>
      <c r="Q14" s="32">
        <v>0.1</v>
      </c>
      <c r="R14" s="32">
        <v>0.8</v>
      </c>
      <c r="S14" s="32">
        <v>6.7857142857142866E-2</v>
      </c>
      <c r="T14" s="32">
        <v>8.2857142857142865E-2</v>
      </c>
      <c r="U14" s="32">
        <v>2714285.714285715</v>
      </c>
      <c r="V14" s="32">
        <v>3314285.714285715</v>
      </c>
      <c r="W14" s="32"/>
      <c r="X14" s="32"/>
      <c r="Y14" s="32"/>
      <c r="Z14" s="32"/>
      <c r="AA14" s="32">
        <v>0.02</v>
      </c>
      <c r="AB14" s="32">
        <v>0.05</v>
      </c>
      <c r="AC14" s="32">
        <v>3.5000000000000003E-2</v>
      </c>
      <c r="AD14" s="32">
        <v>0.19178082191780821</v>
      </c>
      <c r="AE14" s="32">
        <v>520547.94520547963</v>
      </c>
      <c r="AF14" s="32">
        <v>635616.43835616438</v>
      </c>
      <c r="AG14" s="32" t="s">
        <v>1492</v>
      </c>
      <c r="AH14" s="32"/>
      <c r="AI14" s="32" t="s">
        <v>1493</v>
      </c>
      <c r="AJ14" s="32"/>
      <c r="AK14" s="28"/>
      <c r="AL14" s="18" t="str">
        <f t="shared" si="0"/>
        <v>To what extent have you explored bundling of volumes across different types of vegetable oils to maximize economies of scale?_</v>
      </c>
    </row>
    <row r="15" spans="1:38" ht="58" x14ac:dyDescent="0.35">
      <c r="A15" s="32">
        <v>1</v>
      </c>
      <c r="B15" s="32" t="s">
        <v>1451</v>
      </c>
      <c r="C15" s="32" t="s">
        <v>1452</v>
      </c>
      <c r="D15" s="32" t="s">
        <v>1224</v>
      </c>
      <c r="E15" s="32" t="s">
        <v>1453</v>
      </c>
      <c r="F15" s="32"/>
      <c r="G15" s="32" t="s">
        <v>1292</v>
      </c>
      <c r="H15" s="32" t="s">
        <v>1462</v>
      </c>
      <c r="I15" s="32"/>
      <c r="J15" s="32" t="s">
        <v>1228</v>
      </c>
      <c r="K15" s="32" t="s">
        <v>1317</v>
      </c>
      <c r="L15" s="32" t="s">
        <v>1318</v>
      </c>
      <c r="M15" s="32" t="s">
        <v>1319</v>
      </c>
      <c r="N15" s="32" t="s">
        <v>1320</v>
      </c>
      <c r="O15" s="32">
        <v>2</v>
      </c>
      <c r="P15" s="32">
        <v>0.04</v>
      </c>
      <c r="Q15" s="32">
        <v>0.1</v>
      </c>
      <c r="R15" s="32">
        <v>0.8</v>
      </c>
      <c r="S15" s="32">
        <v>6.7857142857142866E-2</v>
      </c>
      <c r="T15" s="32">
        <v>8.2857142857142865E-2</v>
      </c>
      <c r="U15" s="32">
        <v>2714285.714285715</v>
      </c>
      <c r="V15" s="32">
        <v>3314285.714285715</v>
      </c>
      <c r="W15" s="32"/>
      <c r="X15" s="32"/>
      <c r="Y15" s="32"/>
      <c r="Z15" s="32"/>
      <c r="AA15" s="32">
        <v>0.02</v>
      </c>
      <c r="AB15" s="32">
        <v>0.05</v>
      </c>
      <c r="AC15" s="32">
        <v>3.5000000000000003E-2</v>
      </c>
      <c r="AD15" s="32">
        <v>0.19178082191780821</v>
      </c>
      <c r="AE15" s="32">
        <v>520547.94520547963</v>
      </c>
      <c r="AF15" s="32">
        <v>635616.43835616438</v>
      </c>
      <c r="AG15" s="32" t="s">
        <v>1494</v>
      </c>
      <c r="AH15" s="32"/>
      <c r="AI15" s="32" t="s">
        <v>1493</v>
      </c>
      <c r="AJ15" s="32"/>
      <c r="AK15" s="28"/>
      <c r="AL15" s="18" t="str">
        <f t="shared" si="0"/>
        <v>To what extent have you explored bundling of volumes across different types of vegetable oils to maximize economies of scale?_</v>
      </c>
    </row>
    <row r="16" spans="1:38" ht="58" x14ac:dyDescent="0.35">
      <c r="A16" s="32">
        <v>1</v>
      </c>
      <c r="B16" s="32" t="s">
        <v>1451</v>
      </c>
      <c r="C16" s="32" t="s">
        <v>1452</v>
      </c>
      <c r="D16" s="32" t="s">
        <v>1224</v>
      </c>
      <c r="E16" s="32" t="s">
        <v>1453</v>
      </c>
      <c r="F16" s="32"/>
      <c r="G16" s="32" t="s">
        <v>1292</v>
      </c>
      <c r="H16" s="32" t="s">
        <v>1462</v>
      </c>
      <c r="I16" s="32"/>
      <c r="J16" s="32" t="s">
        <v>1228</v>
      </c>
      <c r="K16" s="32" t="s">
        <v>1317</v>
      </c>
      <c r="L16" s="32" t="s">
        <v>1318</v>
      </c>
      <c r="M16" s="32" t="s">
        <v>1319</v>
      </c>
      <c r="N16" s="32" t="s">
        <v>1320</v>
      </c>
      <c r="O16" s="32">
        <v>2</v>
      </c>
      <c r="P16" s="32">
        <v>0.04</v>
      </c>
      <c r="Q16" s="32">
        <v>0.1</v>
      </c>
      <c r="R16" s="32">
        <v>0.8</v>
      </c>
      <c r="S16" s="32">
        <v>6.7857142857142866E-2</v>
      </c>
      <c r="T16" s="32">
        <v>8.2857142857142865E-2</v>
      </c>
      <c r="U16" s="32">
        <v>2714285.714285715</v>
      </c>
      <c r="V16" s="32">
        <v>3314285.714285715</v>
      </c>
      <c r="W16" s="32"/>
      <c r="X16" s="32"/>
      <c r="Y16" s="32"/>
      <c r="Z16" s="32"/>
      <c r="AA16" s="32">
        <v>0.02</v>
      </c>
      <c r="AB16" s="32">
        <v>0.05</v>
      </c>
      <c r="AC16" s="32">
        <v>3.5000000000000003E-2</v>
      </c>
      <c r="AD16" s="32">
        <v>0.19178082191780821</v>
      </c>
      <c r="AE16" s="32">
        <v>520547.94520547963</v>
      </c>
      <c r="AF16" s="32">
        <v>635616.43835616438</v>
      </c>
      <c r="AG16" s="32" t="s">
        <v>1495</v>
      </c>
      <c r="AH16" s="32"/>
      <c r="AI16" s="32" t="s">
        <v>1493</v>
      </c>
      <c r="AJ16" s="32"/>
      <c r="AK16" s="28"/>
      <c r="AL16" s="18" t="str">
        <f t="shared" si="0"/>
        <v>To what extent have you explored bundling of volumes across different types of vegetable oils to maximize economies of scale?_</v>
      </c>
    </row>
    <row r="17" spans="1:38" ht="145" x14ac:dyDescent="0.35">
      <c r="A17" s="32">
        <v>1</v>
      </c>
      <c r="B17" s="32" t="s">
        <v>1451</v>
      </c>
      <c r="C17" s="32" t="s">
        <v>1452</v>
      </c>
      <c r="D17" s="32" t="s">
        <v>1224</v>
      </c>
      <c r="E17" s="32" t="s">
        <v>1453</v>
      </c>
      <c r="F17" s="32"/>
      <c r="G17" s="32" t="s">
        <v>1292</v>
      </c>
      <c r="H17" s="32" t="s">
        <v>1462</v>
      </c>
      <c r="I17" s="32"/>
      <c r="J17" s="32" t="s">
        <v>1228</v>
      </c>
      <c r="K17" s="32" t="s">
        <v>1317</v>
      </c>
      <c r="L17" s="32" t="s">
        <v>1318</v>
      </c>
      <c r="M17" s="32" t="s">
        <v>1319</v>
      </c>
      <c r="N17" s="32" t="s">
        <v>1320</v>
      </c>
      <c r="O17" s="32">
        <v>2</v>
      </c>
      <c r="P17" s="32">
        <v>0.04</v>
      </c>
      <c r="Q17" s="32">
        <v>0.1</v>
      </c>
      <c r="R17" s="32">
        <v>0.8</v>
      </c>
      <c r="S17" s="32">
        <v>6.7857142857142866E-2</v>
      </c>
      <c r="T17" s="32">
        <v>8.2857142857142865E-2</v>
      </c>
      <c r="U17" s="32">
        <v>2714285.714285715</v>
      </c>
      <c r="V17" s="32">
        <v>3314285.714285715</v>
      </c>
      <c r="W17" s="32"/>
      <c r="X17" s="32"/>
      <c r="Y17" s="32"/>
      <c r="Z17" s="32"/>
      <c r="AA17" s="32">
        <v>0.02</v>
      </c>
      <c r="AB17" s="32">
        <v>0.05</v>
      </c>
      <c r="AC17" s="32">
        <v>3.5000000000000003E-2</v>
      </c>
      <c r="AD17" s="32">
        <v>0.19178082191780821</v>
      </c>
      <c r="AE17" s="32">
        <v>520547.94520547963</v>
      </c>
      <c r="AF17" s="32">
        <v>635616.43835616438</v>
      </c>
      <c r="AG17" s="32" t="s">
        <v>1496</v>
      </c>
      <c r="AH17" s="32"/>
      <c r="AI17" s="32" t="s">
        <v>1493</v>
      </c>
      <c r="AJ17" s="32" t="s">
        <v>1497</v>
      </c>
      <c r="AK17" s="28" t="s">
        <v>2050</v>
      </c>
      <c r="AL17" s="18" t="str">
        <f t="shared" si="0"/>
        <v>To what extent have you explored bundling of volumes across different types of vegetable oils to maximize economies of scale?_In case there are recent industry / supplier examples of consolidation, especially for any of the incumbents, then call out those examples</v>
      </c>
    </row>
    <row r="18" spans="1:38" ht="58" x14ac:dyDescent="0.35">
      <c r="A18" s="32">
        <v>1</v>
      </c>
      <c r="B18" s="32" t="s">
        <v>1451</v>
      </c>
      <c r="C18" s="32" t="s">
        <v>1452</v>
      </c>
      <c r="D18" s="32" t="s">
        <v>1224</v>
      </c>
      <c r="E18" s="32" t="s">
        <v>1453</v>
      </c>
      <c r="F18" s="32"/>
      <c r="G18" s="32" t="s">
        <v>1292</v>
      </c>
      <c r="H18" s="32" t="s">
        <v>1462</v>
      </c>
      <c r="I18" s="32"/>
      <c r="J18" s="32" t="s">
        <v>1228</v>
      </c>
      <c r="K18" s="32" t="s">
        <v>1317</v>
      </c>
      <c r="L18" s="32" t="s">
        <v>1318</v>
      </c>
      <c r="M18" s="32" t="s">
        <v>1319</v>
      </c>
      <c r="N18" s="32" t="s">
        <v>1320</v>
      </c>
      <c r="O18" s="32">
        <v>2</v>
      </c>
      <c r="P18" s="32">
        <v>0.04</v>
      </c>
      <c r="Q18" s="32">
        <v>0.1</v>
      </c>
      <c r="R18" s="32">
        <v>0.8</v>
      </c>
      <c r="S18" s="32">
        <v>6.7857142857142866E-2</v>
      </c>
      <c r="T18" s="32">
        <v>8.2857142857142865E-2</v>
      </c>
      <c r="U18" s="32">
        <v>2714285.714285715</v>
      </c>
      <c r="V18" s="32">
        <v>3314285.714285715</v>
      </c>
      <c r="W18" s="32"/>
      <c r="X18" s="32"/>
      <c r="Y18" s="32"/>
      <c r="Z18" s="32"/>
      <c r="AA18" s="32">
        <v>0.02</v>
      </c>
      <c r="AB18" s="32">
        <v>0.05</v>
      </c>
      <c r="AC18" s="32">
        <v>3.5000000000000003E-2</v>
      </c>
      <c r="AD18" s="32">
        <v>0.19178082191780821</v>
      </c>
      <c r="AE18" s="32">
        <v>520547.94520547963</v>
      </c>
      <c r="AF18" s="32">
        <v>635616.43835616438</v>
      </c>
      <c r="AG18" s="32" t="s">
        <v>1499</v>
      </c>
      <c r="AH18" s="32"/>
      <c r="AI18" s="32" t="s">
        <v>1493</v>
      </c>
      <c r="AJ18" s="32"/>
      <c r="AK18" s="28"/>
      <c r="AL18" s="18" t="str">
        <f t="shared" si="0"/>
        <v>To what extent have you explored bundling of volumes across different types of vegetable oils to maximize economies of scale?_</v>
      </c>
    </row>
    <row r="19" spans="1:38" ht="58" x14ac:dyDescent="0.35">
      <c r="A19" s="32">
        <v>1</v>
      </c>
      <c r="B19" s="32" t="s">
        <v>1451</v>
      </c>
      <c r="C19" s="32" t="s">
        <v>1452</v>
      </c>
      <c r="D19" s="32" t="s">
        <v>1224</v>
      </c>
      <c r="E19" s="32" t="s">
        <v>1453</v>
      </c>
      <c r="F19" s="32"/>
      <c r="G19" s="32" t="s">
        <v>1292</v>
      </c>
      <c r="H19" s="32" t="s">
        <v>1462</v>
      </c>
      <c r="I19" s="32"/>
      <c r="J19" s="32" t="s">
        <v>1228</v>
      </c>
      <c r="K19" s="32" t="s">
        <v>1317</v>
      </c>
      <c r="L19" s="32" t="s">
        <v>1318</v>
      </c>
      <c r="M19" s="32" t="s">
        <v>1319</v>
      </c>
      <c r="N19" s="32" t="s">
        <v>1320</v>
      </c>
      <c r="O19" s="32">
        <v>2</v>
      </c>
      <c r="P19" s="32">
        <v>0.04</v>
      </c>
      <c r="Q19" s="32">
        <v>0.1</v>
      </c>
      <c r="R19" s="32">
        <v>0.8</v>
      </c>
      <c r="S19" s="32">
        <v>6.7857142857142866E-2</v>
      </c>
      <c r="T19" s="32">
        <v>8.2857142857142865E-2</v>
      </c>
      <c r="U19" s="32">
        <v>2714285.714285715</v>
      </c>
      <c r="V19" s="32">
        <v>3314285.714285715</v>
      </c>
      <c r="W19" s="32"/>
      <c r="X19" s="32"/>
      <c r="Y19" s="32"/>
      <c r="Z19" s="32"/>
      <c r="AA19" s="32">
        <v>0.02</v>
      </c>
      <c r="AB19" s="32">
        <v>0.05</v>
      </c>
      <c r="AC19" s="32">
        <v>3.5000000000000003E-2</v>
      </c>
      <c r="AD19" s="32">
        <v>0.19178082191780821</v>
      </c>
      <c r="AE19" s="32">
        <v>520547.94520547963</v>
      </c>
      <c r="AF19" s="32">
        <v>635616.43835616438</v>
      </c>
      <c r="AG19" s="32" t="s">
        <v>1500</v>
      </c>
      <c r="AH19" s="32"/>
      <c r="AI19" s="32" t="s">
        <v>1493</v>
      </c>
      <c r="AJ19" s="32"/>
      <c r="AK19" s="28"/>
      <c r="AL19" s="18" t="str">
        <f t="shared" si="0"/>
        <v>To what extent have you explored bundling of volumes across different types of vegetable oils to maximize economies of scale?_</v>
      </c>
    </row>
    <row r="20" spans="1:38" ht="58" x14ac:dyDescent="0.35">
      <c r="A20" s="32">
        <v>1</v>
      </c>
      <c r="B20" s="32" t="s">
        <v>1451</v>
      </c>
      <c r="C20" s="32" t="s">
        <v>1452</v>
      </c>
      <c r="D20" s="32" t="s">
        <v>1224</v>
      </c>
      <c r="E20" s="32" t="s">
        <v>1453</v>
      </c>
      <c r="F20" s="32"/>
      <c r="G20" s="32" t="s">
        <v>1292</v>
      </c>
      <c r="H20" s="32" t="s">
        <v>1462</v>
      </c>
      <c r="I20" s="32"/>
      <c r="J20" s="32" t="s">
        <v>1228</v>
      </c>
      <c r="K20" s="32" t="s">
        <v>1317</v>
      </c>
      <c r="L20" s="32" t="s">
        <v>1318</v>
      </c>
      <c r="M20" s="32" t="s">
        <v>1319</v>
      </c>
      <c r="N20" s="32" t="s">
        <v>1320</v>
      </c>
      <c r="O20" s="32">
        <v>2</v>
      </c>
      <c r="P20" s="32">
        <v>0.04</v>
      </c>
      <c r="Q20" s="32">
        <v>0.1</v>
      </c>
      <c r="R20" s="32">
        <v>0.8</v>
      </c>
      <c r="S20" s="32">
        <v>6.7857142857142866E-2</v>
      </c>
      <c r="T20" s="32">
        <v>8.2857142857142865E-2</v>
      </c>
      <c r="U20" s="32">
        <v>2714285.714285715</v>
      </c>
      <c r="V20" s="32">
        <v>3314285.714285715</v>
      </c>
      <c r="W20" s="32"/>
      <c r="X20" s="32"/>
      <c r="Y20" s="32"/>
      <c r="Z20" s="32"/>
      <c r="AA20" s="32">
        <v>0.02</v>
      </c>
      <c r="AB20" s="32">
        <v>0.05</v>
      </c>
      <c r="AC20" s="32">
        <v>3.5000000000000003E-2</v>
      </c>
      <c r="AD20" s="32">
        <v>0.19178082191780821</v>
      </c>
      <c r="AE20" s="32">
        <v>520547.94520547963</v>
      </c>
      <c r="AF20" s="32">
        <v>635616.43835616438</v>
      </c>
      <c r="AG20" s="32" t="s">
        <v>1501</v>
      </c>
      <c r="AH20" s="32"/>
      <c r="AI20" s="32" t="s">
        <v>1493</v>
      </c>
      <c r="AJ20" s="32"/>
      <c r="AK20" s="28"/>
      <c r="AL20" s="18" t="str">
        <f t="shared" si="0"/>
        <v>To what extent have you explored bundling of volumes across different types of vegetable oils to maximize economies of scale?_</v>
      </c>
    </row>
    <row r="21" spans="1:38" ht="58" x14ac:dyDescent="0.35">
      <c r="A21" s="32">
        <v>1</v>
      </c>
      <c r="B21" s="32" t="s">
        <v>1451</v>
      </c>
      <c r="C21" s="32" t="s">
        <v>1452</v>
      </c>
      <c r="D21" s="32" t="s">
        <v>1224</v>
      </c>
      <c r="E21" s="32" t="s">
        <v>1453</v>
      </c>
      <c r="F21" s="32"/>
      <c r="G21" s="32" t="s">
        <v>1292</v>
      </c>
      <c r="H21" s="32" t="s">
        <v>1462</v>
      </c>
      <c r="I21" s="32"/>
      <c r="J21" s="32" t="s">
        <v>1228</v>
      </c>
      <c r="K21" s="32" t="s">
        <v>1317</v>
      </c>
      <c r="L21" s="32" t="s">
        <v>1318</v>
      </c>
      <c r="M21" s="32" t="s">
        <v>1319</v>
      </c>
      <c r="N21" s="32" t="s">
        <v>1320</v>
      </c>
      <c r="O21" s="32">
        <v>2</v>
      </c>
      <c r="P21" s="32">
        <v>0.04</v>
      </c>
      <c r="Q21" s="32">
        <v>0.1</v>
      </c>
      <c r="R21" s="32">
        <v>0.8</v>
      </c>
      <c r="S21" s="32">
        <v>6.7857142857142866E-2</v>
      </c>
      <c r="T21" s="32">
        <v>8.2857142857142865E-2</v>
      </c>
      <c r="U21" s="32">
        <v>2714285.714285715</v>
      </c>
      <c r="V21" s="32">
        <v>3314285.714285715</v>
      </c>
      <c r="W21" s="32"/>
      <c r="X21" s="32"/>
      <c r="Y21" s="32"/>
      <c r="Z21" s="32"/>
      <c r="AA21" s="32">
        <v>0.02</v>
      </c>
      <c r="AB21" s="32">
        <v>0.05</v>
      </c>
      <c r="AC21" s="32">
        <v>3.5000000000000003E-2</v>
      </c>
      <c r="AD21" s="32">
        <v>0.19178082191780821</v>
      </c>
      <c r="AE21" s="32">
        <v>520547.94520547963</v>
      </c>
      <c r="AF21" s="32">
        <v>635616.43835616438</v>
      </c>
      <c r="AG21" s="32" t="s">
        <v>1502</v>
      </c>
      <c r="AH21" s="32"/>
      <c r="AI21" s="32" t="s">
        <v>1493</v>
      </c>
      <c r="AJ21" s="32"/>
      <c r="AK21" s="28"/>
      <c r="AL21" s="18" t="str">
        <f t="shared" si="0"/>
        <v>To what extent have you explored bundling of volumes across different types of vegetable oils to maximize economies of scale?_</v>
      </c>
    </row>
    <row r="22" spans="1:38" ht="58" x14ac:dyDescent="0.35">
      <c r="A22" s="32">
        <v>1</v>
      </c>
      <c r="B22" s="32" t="s">
        <v>1451</v>
      </c>
      <c r="C22" s="32" t="s">
        <v>1452</v>
      </c>
      <c r="D22" s="32" t="s">
        <v>1224</v>
      </c>
      <c r="E22" s="32" t="s">
        <v>1453</v>
      </c>
      <c r="F22" s="32"/>
      <c r="G22" s="32" t="s">
        <v>1292</v>
      </c>
      <c r="H22" s="32" t="s">
        <v>1462</v>
      </c>
      <c r="I22" s="32"/>
      <c r="J22" s="32" t="s">
        <v>1228</v>
      </c>
      <c r="K22" s="32" t="s">
        <v>1317</v>
      </c>
      <c r="L22" s="32" t="s">
        <v>1318</v>
      </c>
      <c r="M22" s="32" t="s">
        <v>1319</v>
      </c>
      <c r="N22" s="32" t="s">
        <v>1320</v>
      </c>
      <c r="O22" s="32">
        <v>2</v>
      </c>
      <c r="P22" s="32">
        <v>0.04</v>
      </c>
      <c r="Q22" s="32">
        <v>0.1</v>
      </c>
      <c r="R22" s="32">
        <v>0.8</v>
      </c>
      <c r="S22" s="32">
        <v>6.7857142857142866E-2</v>
      </c>
      <c r="T22" s="32">
        <v>8.2857142857142865E-2</v>
      </c>
      <c r="U22" s="32">
        <v>2714285.714285715</v>
      </c>
      <c r="V22" s="32">
        <v>3314285.714285715</v>
      </c>
      <c r="W22" s="32"/>
      <c r="X22" s="32"/>
      <c r="Y22" s="32"/>
      <c r="Z22" s="32"/>
      <c r="AA22" s="32">
        <v>0.02</v>
      </c>
      <c r="AB22" s="32">
        <v>0.05</v>
      </c>
      <c r="AC22" s="32">
        <v>3.5000000000000003E-2</v>
      </c>
      <c r="AD22" s="32">
        <v>0.19178082191780821</v>
      </c>
      <c r="AE22" s="32">
        <v>520547.94520547963</v>
      </c>
      <c r="AF22" s="32">
        <v>635616.43835616438</v>
      </c>
      <c r="AG22" s="32" t="s">
        <v>1503</v>
      </c>
      <c r="AH22" s="32"/>
      <c r="AI22" s="32" t="s">
        <v>1493</v>
      </c>
      <c r="AJ22" s="32"/>
      <c r="AK22" s="28"/>
      <c r="AL22" s="18" t="str">
        <f t="shared" si="0"/>
        <v>To what extent have you explored bundling of volumes across different types of vegetable oils to maximize economies of scale?_</v>
      </c>
    </row>
    <row r="23" spans="1:38" ht="58" x14ac:dyDescent="0.35">
      <c r="A23" s="32">
        <v>1</v>
      </c>
      <c r="B23" s="32" t="s">
        <v>1451</v>
      </c>
      <c r="C23" s="32" t="s">
        <v>1452</v>
      </c>
      <c r="D23" s="32" t="s">
        <v>1224</v>
      </c>
      <c r="E23" s="32" t="s">
        <v>1453</v>
      </c>
      <c r="F23" s="32"/>
      <c r="G23" s="32" t="s">
        <v>1292</v>
      </c>
      <c r="H23" s="32" t="s">
        <v>1462</v>
      </c>
      <c r="I23" s="32"/>
      <c r="J23" s="32" t="s">
        <v>1228</v>
      </c>
      <c r="K23" s="32" t="s">
        <v>1317</v>
      </c>
      <c r="L23" s="32" t="s">
        <v>1318</v>
      </c>
      <c r="M23" s="32" t="s">
        <v>1319</v>
      </c>
      <c r="N23" s="32" t="s">
        <v>1320</v>
      </c>
      <c r="O23" s="32">
        <v>2</v>
      </c>
      <c r="P23" s="32">
        <v>0.04</v>
      </c>
      <c r="Q23" s="32">
        <v>0.1</v>
      </c>
      <c r="R23" s="32">
        <v>0.8</v>
      </c>
      <c r="S23" s="32">
        <v>6.7857142857142866E-2</v>
      </c>
      <c r="T23" s="32">
        <v>8.2857142857142865E-2</v>
      </c>
      <c r="U23" s="32">
        <v>2714285.714285715</v>
      </c>
      <c r="V23" s="32">
        <v>3314285.714285715</v>
      </c>
      <c r="W23" s="32"/>
      <c r="X23" s="32"/>
      <c r="Y23" s="32"/>
      <c r="Z23" s="32"/>
      <c r="AA23" s="32">
        <v>0.02</v>
      </c>
      <c r="AB23" s="32">
        <v>0.05</v>
      </c>
      <c r="AC23" s="32">
        <v>3.5000000000000003E-2</v>
      </c>
      <c r="AD23" s="32">
        <v>0.19178082191780821</v>
      </c>
      <c r="AE23" s="32">
        <v>520547.94520547963</v>
      </c>
      <c r="AF23" s="32">
        <v>635616.43835616438</v>
      </c>
      <c r="AG23" s="32" t="s">
        <v>1504</v>
      </c>
      <c r="AH23" s="32"/>
      <c r="AI23" s="32" t="s">
        <v>1493</v>
      </c>
      <c r="AJ23" s="32"/>
      <c r="AK23" s="28"/>
      <c r="AL23" s="18" t="str">
        <f t="shared" si="0"/>
        <v>To what extent have you explored bundling of volumes across different types of vegetable oils to maximize economies of scale?_</v>
      </c>
    </row>
    <row r="24" spans="1:38" ht="58" x14ac:dyDescent="0.35">
      <c r="A24" s="32">
        <v>1</v>
      </c>
      <c r="B24" s="32" t="s">
        <v>1451</v>
      </c>
      <c r="C24" s="32" t="s">
        <v>1452</v>
      </c>
      <c r="D24" s="32" t="s">
        <v>1224</v>
      </c>
      <c r="E24" s="32" t="s">
        <v>1453</v>
      </c>
      <c r="F24" s="32"/>
      <c r="G24" s="32" t="s">
        <v>1292</v>
      </c>
      <c r="H24" s="32" t="s">
        <v>1462</v>
      </c>
      <c r="I24" s="32"/>
      <c r="J24" s="32" t="s">
        <v>1228</v>
      </c>
      <c r="K24" s="32" t="s">
        <v>1317</v>
      </c>
      <c r="L24" s="32" t="s">
        <v>1318</v>
      </c>
      <c r="M24" s="32" t="s">
        <v>1319</v>
      </c>
      <c r="N24" s="32" t="s">
        <v>1320</v>
      </c>
      <c r="O24" s="32">
        <v>2</v>
      </c>
      <c r="P24" s="32">
        <v>0.04</v>
      </c>
      <c r="Q24" s="32">
        <v>0.1</v>
      </c>
      <c r="R24" s="32">
        <v>0.8</v>
      </c>
      <c r="S24" s="32">
        <v>6.7857142857142866E-2</v>
      </c>
      <c r="T24" s="32">
        <v>8.2857142857142865E-2</v>
      </c>
      <c r="U24" s="32">
        <v>2714285.714285715</v>
      </c>
      <c r="V24" s="32">
        <v>3314285.714285715</v>
      </c>
      <c r="W24" s="32"/>
      <c r="X24" s="32"/>
      <c r="Y24" s="32"/>
      <c r="Z24" s="32"/>
      <c r="AA24" s="32">
        <v>0.02</v>
      </c>
      <c r="AB24" s="32">
        <v>0.05</v>
      </c>
      <c r="AC24" s="32">
        <v>3.5000000000000003E-2</v>
      </c>
      <c r="AD24" s="32">
        <v>0.19178082191780821</v>
      </c>
      <c r="AE24" s="32">
        <v>520547.94520547963</v>
      </c>
      <c r="AF24" s="32">
        <v>635616.43835616438</v>
      </c>
      <c r="AG24" s="32" t="s">
        <v>1505</v>
      </c>
      <c r="AH24" s="32"/>
      <c r="AI24" s="32" t="s">
        <v>1493</v>
      </c>
      <c r="AJ24" s="32"/>
      <c r="AK24" s="28"/>
      <c r="AL24" s="18" t="str">
        <f t="shared" si="0"/>
        <v>To what extent have you explored bundling of volumes across different types of vegetable oils to maximize economies of scale?_</v>
      </c>
    </row>
    <row r="25" spans="1:38" ht="58" x14ac:dyDescent="0.35">
      <c r="A25" s="32">
        <v>1</v>
      </c>
      <c r="B25" s="32" t="s">
        <v>1451</v>
      </c>
      <c r="C25" s="32" t="s">
        <v>1452</v>
      </c>
      <c r="D25" s="32" t="s">
        <v>1224</v>
      </c>
      <c r="E25" s="32" t="s">
        <v>1453</v>
      </c>
      <c r="F25" s="32"/>
      <c r="G25" s="32" t="s">
        <v>1292</v>
      </c>
      <c r="H25" s="32" t="s">
        <v>1462</v>
      </c>
      <c r="I25" s="32"/>
      <c r="J25" s="32" t="s">
        <v>1228</v>
      </c>
      <c r="K25" s="32" t="s">
        <v>1317</v>
      </c>
      <c r="L25" s="32" t="s">
        <v>1318</v>
      </c>
      <c r="M25" s="32" t="s">
        <v>1319</v>
      </c>
      <c r="N25" s="32" t="s">
        <v>1320</v>
      </c>
      <c r="O25" s="32">
        <v>2</v>
      </c>
      <c r="P25" s="32">
        <v>0.04</v>
      </c>
      <c r="Q25" s="32">
        <v>0.1</v>
      </c>
      <c r="R25" s="32">
        <v>0.8</v>
      </c>
      <c r="S25" s="32">
        <v>6.7857142857142866E-2</v>
      </c>
      <c r="T25" s="32">
        <v>8.2857142857142865E-2</v>
      </c>
      <c r="U25" s="32">
        <v>2714285.714285715</v>
      </c>
      <c r="V25" s="32">
        <v>3314285.714285715</v>
      </c>
      <c r="W25" s="32"/>
      <c r="X25" s="32"/>
      <c r="Y25" s="32"/>
      <c r="Z25" s="32"/>
      <c r="AA25" s="32">
        <v>0.02</v>
      </c>
      <c r="AB25" s="32">
        <v>0.05</v>
      </c>
      <c r="AC25" s="32">
        <v>3.5000000000000003E-2</v>
      </c>
      <c r="AD25" s="32">
        <v>0.19178082191780821</v>
      </c>
      <c r="AE25" s="32">
        <v>520547.94520547963</v>
      </c>
      <c r="AF25" s="32">
        <v>635616.43835616438</v>
      </c>
      <c r="AG25" s="32" t="s">
        <v>1506</v>
      </c>
      <c r="AH25" s="32"/>
      <c r="AI25" s="32" t="s">
        <v>1493</v>
      </c>
      <c r="AJ25" s="32"/>
      <c r="AK25" s="28"/>
      <c r="AL25" s="18" t="str">
        <f t="shared" si="0"/>
        <v>To what extent have you explored bundling of volumes across different types of vegetable oils to maximize economies of scale?_</v>
      </c>
    </row>
    <row r="26" spans="1:38" ht="58" x14ac:dyDescent="0.35">
      <c r="A26" s="32">
        <v>1</v>
      </c>
      <c r="B26" s="32" t="s">
        <v>1451</v>
      </c>
      <c r="C26" s="32" t="s">
        <v>1452</v>
      </c>
      <c r="D26" s="32" t="s">
        <v>1224</v>
      </c>
      <c r="E26" s="32" t="s">
        <v>1453</v>
      </c>
      <c r="F26" s="32"/>
      <c r="G26" s="32" t="s">
        <v>1292</v>
      </c>
      <c r="H26" s="32" t="s">
        <v>1462</v>
      </c>
      <c r="I26" s="32"/>
      <c r="J26" s="32" t="s">
        <v>1228</v>
      </c>
      <c r="K26" s="32" t="s">
        <v>1317</v>
      </c>
      <c r="L26" s="32" t="s">
        <v>1318</v>
      </c>
      <c r="M26" s="32" t="s">
        <v>1319</v>
      </c>
      <c r="N26" s="32" t="s">
        <v>1320</v>
      </c>
      <c r="O26" s="32">
        <v>2</v>
      </c>
      <c r="P26" s="32">
        <v>0.04</v>
      </c>
      <c r="Q26" s="32">
        <v>0.1</v>
      </c>
      <c r="R26" s="32">
        <v>0.8</v>
      </c>
      <c r="S26" s="32">
        <v>6.7857142857142866E-2</v>
      </c>
      <c r="T26" s="32">
        <v>8.2857142857142865E-2</v>
      </c>
      <c r="U26" s="32">
        <v>2714285.714285715</v>
      </c>
      <c r="V26" s="32">
        <v>3314285.714285715</v>
      </c>
      <c r="W26" s="32"/>
      <c r="X26" s="32"/>
      <c r="Y26" s="32"/>
      <c r="Z26" s="32"/>
      <c r="AA26" s="32">
        <v>0.02</v>
      </c>
      <c r="AB26" s="32">
        <v>0.05</v>
      </c>
      <c r="AC26" s="32">
        <v>3.5000000000000003E-2</v>
      </c>
      <c r="AD26" s="32">
        <v>0.19178082191780821</v>
      </c>
      <c r="AE26" s="32">
        <v>520547.94520547963</v>
      </c>
      <c r="AF26" s="32">
        <v>635616.43835616438</v>
      </c>
      <c r="AG26" s="32" t="s">
        <v>1507</v>
      </c>
      <c r="AH26" s="32"/>
      <c r="AI26" s="32" t="s">
        <v>1493</v>
      </c>
      <c r="AJ26" s="32"/>
      <c r="AK26" s="28"/>
      <c r="AL26" s="18" t="str">
        <f t="shared" si="0"/>
        <v>To what extent have you explored bundling of volumes across different types of vegetable oils to maximize economies of scale?_</v>
      </c>
    </row>
    <row r="27" spans="1:38" ht="58" x14ac:dyDescent="0.35">
      <c r="A27" s="32">
        <v>1</v>
      </c>
      <c r="B27" s="32" t="s">
        <v>1451</v>
      </c>
      <c r="C27" s="32" t="s">
        <v>1452</v>
      </c>
      <c r="D27" s="32" t="s">
        <v>1224</v>
      </c>
      <c r="E27" s="32" t="s">
        <v>1453</v>
      </c>
      <c r="F27" s="32"/>
      <c r="G27" s="32" t="s">
        <v>1292</v>
      </c>
      <c r="H27" s="32" t="s">
        <v>1462</v>
      </c>
      <c r="I27" s="32"/>
      <c r="J27" s="32" t="s">
        <v>1228</v>
      </c>
      <c r="K27" s="32" t="s">
        <v>1317</v>
      </c>
      <c r="L27" s="32" t="s">
        <v>1318</v>
      </c>
      <c r="M27" s="32" t="s">
        <v>1319</v>
      </c>
      <c r="N27" s="32" t="s">
        <v>1320</v>
      </c>
      <c r="O27" s="32">
        <v>2</v>
      </c>
      <c r="P27" s="32">
        <v>0.04</v>
      </c>
      <c r="Q27" s="32">
        <v>0.1</v>
      </c>
      <c r="R27" s="32">
        <v>0.8</v>
      </c>
      <c r="S27" s="32">
        <v>6.7857142857142866E-2</v>
      </c>
      <c r="T27" s="32">
        <v>8.2857142857142865E-2</v>
      </c>
      <c r="U27" s="32">
        <v>2714285.714285715</v>
      </c>
      <c r="V27" s="32">
        <v>3314285.714285715</v>
      </c>
      <c r="W27" s="32"/>
      <c r="X27" s="32"/>
      <c r="Y27" s="32"/>
      <c r="Z27" s="32"/>
      <c r="AA27" s="32">
        <v>0.02</v>
      </c>
      <c r="AB27" s="32">
        <v>0.05</v>
      </c>
      <c r="AC27" s="32">
        <v>3.5000000000000003E-2</v>
      </c>
      <c r="AD27" s="32">
        <v>0.19178082191780821</v>
      </c>
      <c r="AE27" s="32">
        <v>520547.94520547963</v>
      </c>
      <c r="AF27" s="32">
        <v>635616.43835616438</v>
      </c>
      <c r="AG27" s="32" t="s">
        <v>1508</v>
      </c>
      <c r="AH27" s="32"/>
      <c r="AI27" s="32" t="s">
        <v>1493</v>
      </c>
      <c r="AJ27" s="32"/>
      <c r="AK27" s="28"/>
      <c r="AL27" s="18" t="str">
        <f t="shared" si="0"/>
        <v>To what extent have you explored bundling of volumes across different types of vegetable oils to maximize economies of scale?_</v>
      </c>
    </row>
    <row r="28" spans="1:38" ht="58" x14ac:dyDescent="0.35">
      <c r="A28" s="32">
        <v>1</v>
      </c>
      <c r="B28" s="32" t="s">
        <v>1451</v>
      </c>
      <c r="C28" s="32" t="s">
        <v>1452</v>
      </c>
      <c r="D28" s="32" t="s">
        <v>1224</v>
      </c>
      <c r="E28" s="32" t="s">
        <v>1453</v>
      </c>
      <c r="F28" s="32"/>
      <c r="G28" s="32" t="s">
        <v>1292</v>
      </c>
      <c r="H28" s="32" t="s">
        <v>1462</v>
      </c>
      <c r="I28" s="32"/>
      <c r="J28" s="32" t="s">
        <v>1228</v>
      </c>
      <c r="K28" s="32" t="s">
        <v>1317</v>
      </c>
      <c r="L28" s="32" t="s">
        <v>1318</v>
      </c>
      <c r="M28" s="32" t="s">
        <v>1319</v>
      </c>
      <c r="N28" s="32" t="s">
        <v>1320</v>
      </c>
      <c r="O28" s="32">
        <v>2</v>
      </c>
      <c r="P28" s="32">
        <v>0.04</v>
      </c>
      <c r="Q28" s="32">
        <v>0.1</v>
      </c>
      <c r="R28" s="32">
        <v>0.8</v>
      </c>
      <c r="S28" s="32">
        <v>6.7857142857142866E-2</v>
      </c>
      <c r="T28" s="32">
        <v>8.2857142857142865E-2</v>
      </c>
      <c r="U28" s="32">
        <v>2714285.714285715</v>
      </c>
      <c r="V28" s="32">
        <v>3314285.714285715</v>
      </c>
      <c r="W28" s="32"/>
      <c r="X28" s="32"/>
      <c r="Y28" s="32"/>
      <c r="Z28" s="32"/>
      <c r="AA28" s="32">
        <v>0.02</v>
      </c>
      <c r="AB28" s="32">
        <v>0.05</v>
      </c>
      <c r="AC28" s="32">
        <v>3.5000000000000003E-2</v>
      </c>
      <c r="AD28" s="32">
        <v>0.19178082191780821</v>
      </c>
      <c r="AE28" s="32">
        <v>520547.94520547963</v>
      </c>
      <c r="AF28" s="32">
        <v>635616.43835616438</v>
      </c>
      <c r="AG28" s="32" t="s">
        <v>1509</v>
      </c>
      <c r="AH28" s="32"/>
      <c r="AI28" s="32" t="s">
        <v>1493</v>
      </c>
      <c r="AJ28" s="32"/>
      <c r="AK28" s="28"/>
      <c r="AL28" s="18" t="str">
        <f t="shared" si="0"/>
        <v>To what extent have you explored bundling of volumes across different types of vegetable oils to maximize economies of scale?_</v>
      </c>
    </row>
    <row r="29" spans="1:38" ht="58" x14ac:dyDescent="0.35">
      <c r="A29" s="32">
        <v>1</v>
      </c>
      <c r="B29" s="32" t="s">
        <v>1451</v>
      </c>
      <c r="C29" s="32" t="s">
        <v>1452</v>
      </c>
      <c r="D29" s="32" t="s">
        <v>1224</v>
      </c>
      <c r="E29" s="32" t="s">
        <v>1453</v>
      </c>
      <c r="F29" s="32"/>
      <c r="G29" s="32" t="s">
        <v>1292</v>
      </c>
      <c r="H29" s="32" t="s">
        <v>1462</v>
      </c>
      <c r="I29" s="32"/>
      <c r="J29" s="32" t="s">
        <v>1228</v>
      </c>
      <c r="K29" s="32" t="s">
        <v>1317</v>
      </c>
      <c r="L29" s="32" t="s">
        <v>1318</v>
      </c>
      <c r="M29" s="32" t="s">
        <v>1319</v>
      </c>
      <c r="N29" s="32" t="s">
        <v>1320</v>
      </c>
      <c r="O29" s="32">
        <v>2</v>
      </c>
      <c r="P29" s="32">
        <v>0.04</v>
      </c>
      <c r="Q29" s="32">
        <v>0.1</v>
      </c>
      <c r="R29" s="32">
        <v>0.8</v>
      </c>
      <c r="S29" s="32">
        <v>6.7857142857142866E-2</v>
      </c>
      <c r="T29" s="32">
        <v>8.2857142857142865E-2</v>
      </c>
      <c r="U29" s="32">
        <v>2714285.714285715</v>
      </c>
      <c r="V29" s="32">
        <v>3314285.714285715</v>
      </c>
      <c r="W29" s="32"/>
      <c r="X29" s="32"/>
      <c r="Y29" s="32"/>
      <c r="Z29" s="32"/>
      <c r="AA29" s="32">
        <v>0.02</v>
      </c>
      <c r="AB29" s="32">
        <v>0.05</v>
      </c>
      <c r="AC29" s="32">
        <v>3.5000000000000003E-2</v>
      </c>
      <c r="AD29" s="32">
        <v>0.19178082191780821</v>
      </c>
      <c r="AE29" s="32">
        <v>520547.94520547963</v>
      </c>
      <c r="AF29" s="32">
        <v>635616.43835616438</v>
      </c>
      <c r="AG29" s="32" t="s">
        <v>1510</v>
      </c>
      <c r="AH29" s="32"/>
      <c r="AI29" s="32" t="s">
        <v>1493</v>
      </c>
      <c r="AJ29" s="32"/>
      <c r="AK29" s="28"/>
      <c r="AL29" s="18" t="str">
        <f t="shared" si="0"/>
        <v>To what extent have you explored bundling of volumes across different types of vegetable oils to maximize economies of scale?_</v>
      </c>
    </row>
    <row r="30" spans="1:38" ht="58" x14ac:dyDescent="0.35">
      <c r="A30" s="32">
        <v>1</v>
      </c>
      <c r="B30" s="32" t="s">
        <v>1451</v>
      </c>
      <c r="C30" s="32" t="s">
        <v>1452</v>
      </c>
      <c r="D30" s="32" t="s">
        <v>1224</v>
      </c>
      <c r="E30" s="32" t="s">
        <v>1453</v>
      </c>
      <c r="F30" s="32"/>
      <c r="G30" s="32" t="s">
        <v>1292</v>
      </c>
      <c r="H30" s="32" t="s">
        <v>1462</v>
      </c>
      <c r="I30" s="32"/>
      <c r="J30" s="32" t="s">
        <v>1228</v>
      </c>
      <c r="K30" s="32" t="s">
        <v>1317</v>
      </c>
      <c r="L30" s="32" t="s">
        <v>1318</v>
      </c>
      <c r="M30" s="32" t="s">
        <v>1319</v>
      </c>
      <c r="N30" s="32" t="s">
        <v>1320</v>
      </c>
      <c r="O30" s="32">
        <v>2</v>
      </c>
      <c r="P30" s="32">
        <v>0.04</v>
      </c>
      <c r="Q30" s="32">
        <v>0.1</v>
      </c>
      <c r="R30" s="32">
        <v>0.8</v>
      </c>
      <c r="S30" s="32">
        <v>6.7857142857142866E-2</v>
      </c>
      <c r="T30" s="32">
        <v>8.2857142857142865E-2</v>
      </c>
      <c r="U30" s="32">
        <v>2714285.714285715</v>
      </c>
      <c r="V30" s="32">
        <v>3314285.714285715</v>
      </c>
      <c r="W30" s="32"/>
      <c r="X30" s="32"/>
      <c r="Y30" s="32"/>
      <c r="Z30" s="32"/>
      <c r="AA30" s="32">
        <v>0.02</v>
      </c>
      <c r="AB30" s="32">
        <v>0.05</v>
      </c>
      <c r="AC30" s="32">
        <v>3.5000000000000003E-2</v>
      </c>
      <c r="AD30" s="32">
        <v>0.19178082191780821</v>
      </c>
      <c r="AE30" s="32">
        <v>520547.94520547963</v>
      </c>
      <c r="AF30" s="32">
        <v>635616.43835616438</v>
      </c>
      <c r="AG30" s="32" t="s">
        <v>1511</v>
      </c>
      <c r="AH30" s="32"/>
      <c r="AI30" s="32" t="s">
        <v>1493</v>
      </c>
      <c r="AJ30" s="32"/>
      <c r="AK30" s="28"/>
      <c r="AL30" s="18" t="str">
        <f t="shared" si="0"/>
        <v>To what extent have you explored bundling of volumes across different types of vegetable oils to maximize economies of scale?_</v>
      </c>
    </row>
    <row r="31" spans="1:38" ht="58" x14ac:dyDescent="0.35">
      <c r="A31" s="32">
        <v>1</v>
      </c>
      <c r="B31" s="32" t="s">
        <v>1451</v>
      </c>
      <c r="C31" s="32" t="s">
        <v>1452</v>
      </c>
      <c r="D31" s="32" t="s">
        <v>1224</v>
      </c>
      <c r="E31" s="32" t="s">
        <v>1453</v>
      </c>
      <c r="F31" s="32"/>
      <c r="G31" s="32" t="s">
        <v>1292</v>
      </c>
      <c r="H31" s="32" t="s">
        <v>1462</v>
      </c>
      <c r="I31" s="32"/>
      <c r="J31" s="32" t="s">
        <v>1228</v>
      </c>
      <c r="K31" s="32" t="s">
        <v>1317</v>
      </c>
      <c r="L31" s="32" t="s">
        <v>1318</v>
      </c>
      <c r="M31" s="32" t="s">
        <v>1319</v>
      </c>
      <c r="N31" s="32" t="s">
        <v>1320</v>
      </c>
      <c r="O31" s="32">
        <v>2</v>
      </c>
      <c r="P31" s="32">
        <v>0.04</v>
      </c>
      <c r="Q31" s="32">
        <v>0.1</v>
      </c>
      <c r="R31" s="32">
        <v>0.8</v>
      </c>
      <c r="S31" s="32">
        <v>6.7857142857142866E-2</v>
      </c>
      <c r="T31" s="32">
        <v>8.2857142857142865E-2</v>
      </c>
      <c r="U31" s="32">
        <v>2714285.714285715</v>
      </c>
      <c r="V31" s="32">
        <v>3314285.714285715</v>
      </c>
      <c r="W31" s="32"/>
      <c r="X31" s="32"/>
      <c r="Y31" s="32"/>
      <c r="Z31" s="32"/>
      <c r="AA31" s="32">
        <v>0.02</v>
      </c>
      <c r="AB31" s="32">
        <v>0.05</v>
      </c>
      <c r="AC31" s="32">
        <v>3.5000000000000003E-2</v>
      </c>
      <c r="AD31" s="32">
        <v>0.19178082191780821</v>
      </c>
      <c r="AE31" s="32">
        <v>520547.94520547963</v>
      </c>
      <c r="AF31" s="32">
        <v>635616.43835616438</v>
      </c>
      <c r="AG31" s="32" t="s">
        <v>1512</v>
      </c>
      <c r="AH31" s="32"/>
      <c r="AI31" s="32" t="s">
        <v>1493</v>
      </c>
      <c r="AJ31" s="32"/>
      <c r="AK31" s="28"/>
      <c r="AL31" s="18" t="str">
        <f t="shared" si="0"/>
        <v>To what extent have you explored bundling of volumes across different types of vegetable oils to maximize economies of scale?_</v>
      </c>
    </row>
    <row r="32" spans="1:38" ht="58" x14ac:dyDescent="0.35">
      <c r="A32" s="32">
        <v>1</v>
      </c>
      <c r="B32" s="32" t="s">
        <v>1451</v>
      </c>
      <c r="C32" s="32" t="s">
        <v>1452</v>
      </c>
      <c r="D32" s="32" t="s">
        <v>1224</v>
      </c>
      <c r="E32" s="32" t="s">
        <v>1453</v>
      </c>
      <c r="F32" s="32"/>
      <c r="G32" s="32" t="s">
        <v>1292</v>
      </c>
      <c r="H32" s="32" t="s">
        <v>1462</v>
      </c>
      <c r="I32" s="32"/>
      <c r="J32" s="32" t="s">
        <v>1228</v>
      </c>
      <c r="K32" s="32" t="s">
        <v>1317</v>
      </c>
      <c r="L32" s="32" t="s">
        <v>1318</v>
      </c>
      <c r="M32" s="32" t="s">
        <v>1319</v>
      </c>
      <c r="N32" s="32" t="s">
        <v>1320</v>
      </c>
      <c r="O32" s="32">
        <v>2</v>
      </c>
      <c r="P32" s="32">
        <v>0.04</v>
      </c>
      <c r="Q32" s="32">
        <v>0.1</v>
      </c>
      <c r="R32" s="32">
        <v>0.8</v>
      </c>
      <c r="S32" s="32">
        <v>6.7857142857142866E-2</v>
      </c>
      <c r="T32" s="32">
        <v>8.2857142857142865E-2</v>
      </c>
      <c r="U32" s="32">
        <v>2714285.714285715</v>
      </c>
      <c r="V32" s="32">
        <v>3314285.714285715</v>
      </c>
      <c r="W32" s="32"/>
      <c r="X32" s="32"/>
      <c r="Y32" s="32"/>
      <c r="Z32" s="32"/>
      <c r="AA32" s="32">
        <v>0.02</v>
      </c>
      <c r="AB32" s="32">
        <v>0.05</v>
      </c>
      <c r="AC32" s="32">
        <v>3.5000000000000003E-2</v>
      </c>
      <c r="AD32" s="32">
        <v>0.19178082191780821</v>
      </c>
      <c r="AE32" s="32">
        <v>520547.94520547963</v>
      </c>
      <c r="AF32" s="32">
        <v>635616.43835616438</v>
      </c>
      <c r="AG32" s="32" t="s">
        <v>1513</v>
      </c>
      <c r="AH32" s="32"/>
      <c r="AI32" s="32" t="s">
        <v>1493</v>
      </c>
      <c r="AJ32" s="32"/>
      <c r="AK32" s="28"/>
      <c r="AL32" s="18" t="str">
        <f t="shared" si="0"/>
        <v>To what extent have you explored bundling of volumes across different types of vegetable oils to maximize economies of scale?_</v>
      </c>
    </row>
    <row r="33" spans="1:38" ht="58" x14ac:dyDescent="0.35">
      <c r="A33" s="32">
        <v>1</v>
      </c>
      <c r="B33" s="32" t="s">
        <v>1451</v>
      </c>
      <c r="C33" s="32" t="s">
        <v>1452</v>
      </c>
      <c r="D33" s="32" t="s">
        <v>1224</v>
      </c>
      <c r="E33" s="32" t="s">
        <v>1453</v>
      </c>
      <c r="F33" s="32"/>
      <c r="G33" s="32" t="s">
        <v>1292</v>
      </c>
      <c r="H33" s="32" t="s">
        <v>1462</v>
      </c>
      <c r="I33" s="32"/>
      <c r="J33" s="32" t="s">
        <v>1228</v>
      </c>
      <c r="K33" s="32" t="s">
        <v>1317</v>
      </c>
      <c r="L33" s="32" t="s">
        <v>1318</v>
      </c>
      <c r="M33" s="32" t="s">
        <v>1319</v>
      </c>
      <c r="N33" s="32" t="s">
        <v>1320</v>
      </c>
      <c r="O33" s="32">
        <v>2</v>
      </c>
      <c r="P33" s="32">
        <v>0.04</v>
      </c>
      <c r="Q33" s="32">
        <v>0.1</v>
      </c>
      <c r="R33" s="32">
        <v>0.8</v>
      </c>
      <c r="S33" s="32">
        <v>6.7857142857142866E-2</v>
      </c>
      <c r="T33" s="32">
        <v>8.2857142857142865E-2</v>
      </c>
      <c r="U33" s="32">
        <v>2714285.714285715</v>
      </c>
      <c r="V33" s="32">
        <v>3314285.714285715</v>
      </c>
      <c r="W33" s="32"/>
      <c r="X33" s="32"/>
      <c r="Y33" s="32"/>
      <c r="Z33" s="32"/>
      <c r="AA33" s="32">
        <v>0.02</v>
      </c>
      <c r="AB33" s="32">
        <v>0.05</v>
      </c>
      <c r="AC33" s="32">
        <v>3.5000000000000003E-2</v>
      </c>
      <c r="AD33" s="32">
        <v>0.19178082191780821</v>
      </c>
      <c r="AE33" s="32">
        <v>520547.94520547963</v>
      </c>
      <c r="AF33" s="32">
        <v>635616.43835616438</v>
      </c>
      <c r="AG33" s="32" t="s">
        <v>1514</v>
      </c>
      <c r="AH33" s="32"/>
      <c r="AI33" s="32" t="s">
        <v>1493</v>
      </c>
      <c r="AJ33" s="32"/>
      <c r="AK33" s="28"/>
      <c r="AL33" s="18" t="str">
        <f t="shared" si="0"/>
        <v>To what extent have you explored bundling of volumes across different types of vegetable oils to maximize economies of scale?_</v>
      </c>
    </row>
    <row r="34" spans="1:38" ht="58" x14ac:dyDescent="0.35">
      <c r="A34" s="32">
        <v>1</v>
      </c>
      <c r="B34" s="32" t="s">
        <v>1451</v>
      </c>
      <c r="C34" s="32" t="s">
        <v>1452</v>
      </c>
      <c r="D34" s="32" t="s">
        <v>1224</v>
      </c>
      <c r="E34" s="32" t="s">
        <v>1453</v>
      </c>
      <c r="F34" s="32"/>
      <c r="G34" s="32" t="s">
        <v>1292</v>
      </c>
      <c r="H34" s="32" t="s">
        <v>1462</v>
      </c>
      <c r="I34" s="32"/>
      <c r="J34" s="32" t="s">
        <v>1228</v>
      </c>
      <c r="K34" s="32" t="s">
        <v>1317</v>
      </c>
      <c r="L34" s="32" t="s">
        <v>1318</v>
      </c>
      <c r="M34" s="32" t="s">
        <v>1319</v>
      </c>
      <c r="N34" s="32" t="s">
        <v>1320</v>
      </c>
      <c r="O34" s="32">
        <v>2</v>
      </c>
      <c r="P34" s="32">
        <v>0.04</v>
      </c>
      <c r="Q34" s="32">
        <v>0.1</v>
      </c>
      <c r="R34" s="32">
        <v>0.8</v>
      </c>
      <c r="S34" s="32">
        <v>6.7857142857142866E-2</v>
      </c>
      <c r="T34" s="32">
        <v>8.2857142857142865E-2</v>
      </c>
      <c r="U34" s="32">
        <v>2714285.714285715</v>
      </c>
      <c r="V34" s="32">
        <v>3314285.714285715</v>
      </c>
      <c r="W34" s="32"/>
      <c r="X34" s="32"/>
      <c r="Y34" s="32"/>
      <c r="Z34" s="32"/>
      <c r="AA34" s="32">
        <v>0.02</v>
      </c>
      <c r="AB34" s="32">
        <v>0.05</v>
      </c>
      <c r="AC34" s="32">
        <v>3.5000000000000003E-2</v>
      </c>
      <c r="AD34" s="32">
        <v>0.19178082191780821</v>
      </c>
      <c r="AE34" s="32">
        <v>520547.94520547963</v>
      </c>
      <c r="AF34" s="32">
        <v>635616.43835616438</v>
      </c>
      <c r="AG34" s="32" t="s">
        <v>1515</v>
      </c>
      <c r="AH34" s="32"/>
      <c r="AI34" s="32" t="s">
        <v>1493</v>
      </c>
      <c r="AJ34" s="32"/>
      <c r="AK34" s="28"/>
      <c r="AL34" s="18" t="str">
        <f t="shared" si="0"/>
        <v>To what extent have you explored bundling of volumes across different types of vegetable oils to maximize economies of scale?_</v>
      </c>
    </row>
    <row r="35" spans="1:38" ht="58" x14ac:dyDescent="0.35">
      <c r="A35" s="32">
        <v>1</v>
      </c>
      <c r="B35" s="32" t="s">
        <v>1451</v>
      </c>
      <c r="C35" s="32" t="s">
        <v>1452</v>
      </c>
      <c r="D35" s="32" t="s">
        <v>1224</v>
      </c>
      <c r="E35" s="32" t="s">
        <v>1453</v>
      </c>
      <c r="F35" s="32"/>
      <c r="G35" s="32" t="s">
        <v>1292</v>
      </c>
      <c r="H35" s="32" t="s">
        <v>1462</v>
      </c>
      <c r="I35" s="32"/>
      <c r="J35" s="32" t="s">
        <v>1228</v>
      </c>
      <c r="K35" s="32" t="s">
        <v>1317</v>
      </c>
      <c r="L35" s="32" t="s">
        <v>1318</v>
      </c>
      <c r="M35" s="32" t="s">
        <v>1319</v>
      </c>
      <c r="N35" s="32" t="s">
        <v>1320</v>
      </c>
      <c r="O35" s="32">
        <v>2</v>
      </c>
      <c r="P35" s="32">
        <v>0.04</v>
      </c>
      <c r="Q35" s="32">
        <v>0.1</v>
      </c>
      <c r="R35" s="32">
        <v>0.8</v>
      </c>
      <c r="S35" s="32">
        <v>6.7857142857142866E-2</v>
      </c>
      <c r="T35" s="32">
        <v>8.2857142857142865E-2</v>
      </c>
      <c r="U35" s="32">
        <v>2714285.714285715</v>
      </c>
      <c r="V35" s="32">
        <v>3314285.714285715</v>
      </c>
      <c r="W35" s="32"/>
      <c r="X35" s="32"/>
      <c r="Y35" s="32"/>
      <c r="Z35" s="32"/>
      <c r="AA35" s="32">
        <v>0.02</v>
      </c>
      <c r="AB35" s="32">
        <v>0.05</v>
      </c>
      <c r="AC35" s="32">
        <v>3.5000000000000003E-2</v>
      </c>
      <c r="AD35" s="32">
        <v>0.19178082191780821</v>
      </c>
      <c r="AE35" s="32">
        <v>520547.94520547963</v>
      </c>
      <c r="AF35" s="32">
        <v>635616.43835616438</v>
      </c>
      <c r="AG35" s="32" t="s">
        <v>1516</v>
      </c>
      <c r="AH35" s="32"/>
      <c r="AI35" s="32" t="s">
        <v>1493</v>
      </c>
      <c r="AJ35" s="32"/>
      <c r="AK35" s="28"/>
      <c r="AL35" s="18" t="str">
        <f t="shared" si="0"/>
        <v>To what extent have you explored bundling of volumes across different types of vegetable oils to maximize economies of scale?_</v>
      </c>
    </row>
    <row r="36" spans="1:38" ht="203" x14ac:dyDescent="0.35">
      <c r="A36" s="32">
        <v>1</v>
      </c>
      <c r="B36" s="32" t="s">
        <v>1451</v>
      </c>
      <c r="C36" s="32" t="s">
        <v>1452</v>
      </c>
      <c r="D36" s="32" t="s">
        <v>1224</v>
      </c>
      <c r="E36" s="32" t="s">
        <v>1453</v>
      </c>
      <c r="F36" s="32"/>
      <c r="G36" s="32" t="s">
        <v>1292</v>
      </c>
      <c r="H36" s="32" t="s">
        <v>1462</v>
      </c>
      <c r="I36" s="32"/>
      <c r="J36" s="32" t="s">
        <v>1228</v>
      </c>
      <c r="K36" s="32" t="s">
        <v>1317</v>
      </c>
      <c r="L36" s="32" t="s">
        <v>1318</v>
      </c>
      <c r="M36" s="32" t="s">
        <v>1319</v>
      </c>
      <c r="N36" s="32" t="s">
        <v>1320</v>
      </c>
      <c r="O36" s="32">
        <v>2</v>
      </c>
      <c r="P36" s="32">
        <v>0.04</v>
      </c>
      <c r="Q36" s="32">
        <v>0.1</v>
      </c>
      <c r="R36" s="32">
        <v>0.8</v>
      </c>
      <c r="S36" s="32">
        <v>6.7857142857142866E-2</v>
      </c>
      <c r="T36" s="32">
        <v>8.2857142857142865E-2</v>
      </c>
      <c r="U36" s="32">
        <v>2714285.714285715</v>
      </c>
      <c r="V36" s="32">
        <v>3314285.714285715</v>
      </c>
      <c r="W36" s="32"/>
      <c r="X36" s="32"/>
      <c r="Y36" s="32"/>
      <c r="Z36" s="32"/>
      <c r="AA36" s="32">
        <v>0.02</v>
      </c>
      <c r="AB36" s="32">
        <v>0.05</v>
      </c>
      <c r="AC36" s="32">
        <v>3.5000000000000003E-2</v>
      </c>
      <c r="AD36" s="32">
        <v>0.19178082191780821</v>
      </c>
      <c r="AE36" s="32">
        <v>520547.94520547963</v>
      </c>
      <c r="AF36" s="32">
        <v>635616.43835616438</v>
      </c>
      <c r="AG36" s="32" t="s">
        <v>1517</v>
      </c>
      <c r="AH36" s="32"/>
      <c r="AI36" s="32" t="s">
        <v>1493</v>
      </c>
      <c r="AJ36" s="32" t="s">
        <v>1518</v>
      </c>
      <c r="AK36" s="28" t="s">
        <v>2053</v>
      </c>
      <c r="AL36" s="18" t="str">
        <f t="shared" si="0"/>
        <v xml:space="preserve">To what extent have you explored bundling of volumes across different types of vegetable oils to maximize economies of scale?_Add directional risk scores for regions (corresponding to identified suppliers) highlighted as examples where consolidation may be possible </v>
      </c>
    </row>
    <row r="37" spans="1:38" ht="174" x14ac:dyDescent="0.35">
      <c r="A37" s="32">
        <v>1</v>
      </c>
      <c r="B37" s="32" t="s">
        <v>1451</v>
      </c>
      <c r="C37" s="32" t="s">
        <v>1452</v>
      </c>
      <c r="D37" s="32" t="s">
        <v>1224</v>
      </c>
      <c r="E37" s="32" t="s">
        <v>1453</v>
      </c>
      <c r="F37" s="32"/>
      <c r="G37" s="32" t="s">
        <v>1292</v>
      </c>
      <c r="H37" s="32" t="s">
        <v>1462</v>
      </c>
      <c r="I37" s="32"/>
      <c r="J37" s="32" t="s">
        <v>1228</v>
      </c>
      <c r="K37" s="32" t="s">
        <v>1317</v>
      </c>
      <c r="L37" s="32" t="s">
        <v>1318</v>
      </c>
      <c r="M37" s="32" t="s">
        <v>1319</v>
      </c>
      <c r="N37" s="32" t="s">
        <v>1320</v>
      </c>
      <c r="O37" s="32">
        <v>2</v>
      </c>
      <c r="P37" s="32">
        <v>0.04</v>
      </c>
      <c r="Q37" s="32">
        <v>0.1</v>
      </c>
      <c r="R37" s="32">
        <v>0.8</v>
      </c>
      <c r="S37" s="32">
        <v>6.7857142857142866E-2</v>
      </c>
      <c r="T37" s="32">
        <v>8.2857142857142865E-2</v>
      </c>
      <c r="U37" s="32">
        <v>2714285.714285715</v>
      </c>
      <c r="V37" s="32">
        <v>3314285.714285715</v>
      </c>
      <c r="W37" s="32"/>
      <c r="X37" s="32"/>
      <c r="Y37" s="32"/>
      <c r="Z37" s="32"/>
      <c r="AA37" s="32">
        <v>0.02</v>
      </c>
      <c r="AB37" s="32">
        <v>0.05</v>
      </c>
      <c r="AC37" s="32">
        <v>3.5000000000000003E-2</v>
      </c>
      <c r="AD37" s="32">
        <v>0.19178082191780821</v>
      </c>
      <c r="AE37" s="32">
        <v>520547.94520547963</v>
      </c>
      <c r="AF37" s="32">
        <v>635616.43835616438</v>
      </c>
      <c r="AG37" s="32" t="s">
        <v>1524</v>
      </c>
      <c r="AH37" s="32"/>
      <c r="AI37" s="32" t="s">
        <v>1493</v>
      </c>
      <c r="AJ37" s="32" t="s">
        <v>1525</v>
      </c>
      <c r="AK37" s="28" t="s">
        <v>2054</v>
      </c>
      <c r="AL37" s="18" t="str">
        <f t="shared" si="0"/>
        <v xml:space="preserve">To what extent have you explored bundling of volumes across different types of vegetable oils to maximize economies of scale?_Add directional risk scores for suppliers highlighted as examples where consolidation may be possible </v>
      </c>
    </row>
    <row r="38" spans="1:38" ht="58" x14ac:dyDescent="0.35">
      <c r="A38" s="32">
        <v>1</v>
      </c>
      <c r="B38" s="32" t="s">
        <v>1451</v>
      </c>
      <c r="C38" s="32" t="s">
        <v>1452</v>
      </c>
      <c r="D38" s="32" t="s">
        <v>1224</v>
      </c>
      <c r="E38" s="32" t="s">
        <v>1453</v>
      </c>
      <c r="F38" s="32"/>
      <c r="G38" s="32" t="s">
        <v>1292</v>
      </c>
      <c r="H38" s="32" t="s">
        <v>1462</v>
      </c>
      <c r="I38" s="32"/>
      <c r="J38" s="32" t="s">
        <v>1228</v>
      </c>
      <c r="K38" s="32" t="s">
        <v>1317</v>
      </c>
      <c r="L38" s="32" t="s">
        <v>1318</v>
      </c>
      <c r="M38" s="32" t="s">
        <v>1319</v>
      </c>
      <c r="N38" s="32" t="s">
        <v>1320</v>
      </c>
      <c r="O38" s="32">
        <v>2</v>
      </c>
      <c r="P38" s="32">
        <v>0.04</v>
      </c>
      <c r="Q38" s="32">
        <v>0.1</v>
      </c>
      <c r="R38" s="32">
        <v>0.8</v>
      </c>
      <c r="S38" s="32">
        <v>6.7857142857142866E-2</v>
      </c>
      <c r="T38" s="32">
        <v>8.2857142857142865E-2</v>
      </c>
      <c r="U38" s="32">
        <v>2714285.714285715</v>
      </c>
      <c r="V38" s="32">
        <v>3314285.714285715</v>
      </c>
      <c r="W38" s="32"/>
      <c r="X38" s="32"/>
      <c r="Y38" s="32"/>
      <c r="Z38" s="32"/>
      <c r="AA38" s="32">
        <v>0.02</v>
      </c>
      <c r="AB38" s="32">
        <v>0.05</v>
      </c>
      <c r="AC38" s="32">
        <v>3.5000000000000003E-2</v>
      </c>
      <c r="AD38" s="32">
        <v>0.19178082191780821</v>
      </c>
      <c r="AE38" s="32">
        <v>520547.94520547963</v>
      </c>
      <c r="AF38" s="32">
        <v>635616.43835616438</v>
      </c>
      <c r="AG38" s="32" t="s">
        <v>1528</v>
      </c>
      <c r="AH38" s="32"/>
      <c r="AI38" s="32" t="s">
        <v>1493</v>
      </c>
      <c r="AJ38" s="32"/>
      <c r="AK38" s="28"/>
      <c r="AL38" s="18" t="str">
        <f t="shared" si="0"/>
        <v>To what extent have you explored bundling of volumes across different types of vegetable oils to maximize economies of scale?_</v>
      </c>
    </row>
    <row r="39" spans="1:38" ht="58" x14ac:dyDescent="0.35">
      <c r="A39" s="32">
        <v>1</v>
      </c>
      <c r="B39" s="32" t="s">
        <v>1451</v>
      </c>
      <c r="C39" s="32" t="s">
        <v>1452</v>
      </c>
      <c r="D39" s="32" t="s">
        <v>1224</v>
      </c>
      <c r="E39" s="32" t="s">
        <v>1453</v>
      </c>
      <c r="F39" s="32"/>
      <c r="G39" s="32" t="s">
        <v>1292</v>
      </c>
      <c r="H39" s="32" t="s">
        <v>1462</v>
      </c>
      <c r="I39" s="32"/>
      <c r="J39" s="32" t="s">
        <v>1228</v>
      </c>
      <c r="K39" s="32" t="s">
        <v>1317</v>
      </c>
      <c r="L39" s="32" t="s">
        <v>1318</v>
      </c>
      <c r="M39" s="32" t="s">
        <v>1319</v>
      </c>
      <c r="N39" s="32" t="s">
        <v>1320</v>
      </c>
      <c r="O39" s="32">
        <v>2</v>
      </c>
      <c r="P39" s="32">
        <v>0.04</v>
      </c>
      <c r="Q39" s="32">
        <v>0.1</v>
      </c>
      <c r="R39" s="32">
        <v>0.8</v>
      </c>
      <c r="S39" s="32">
        <v>6.7857142857142866E-2</v>
      </c>
      <c r="T39" s="32">
        <v>8.2857142857142865E-2</v>
      </c>
      <c r="U39" s="32">
        <v>2714285.714285715</v>
      </c>
      <c r="V39" s="32">
        <v>3314285.714285715</v>
      </c>
      <c r="W39" s="32"/>
      <c r="X39" s="32"/>
      <c r="Y39" s="32"/>
      <c r="Z39" s="32"/>
      <c r="AA39" s="32">
        <v>0.02</v>
      </c>
      <c r="AB39" s="32">
        <v>0.05</v>
      </c>
      <c r="AC39" s="32">
        <v>3.5000000000000003E-2</v>
      </c>
      <c r="AD39" s="32">
        <v>0.19178082191780821</v>
      </c>
      <c r="AE39" s="32">
        <v>520547.94520547963</v>
      </c>
      <c r="AF39" s="32">
        <v>635616.43835616438</v>
      </c>
      <c r="AG39" s="32" t="s">
        <v>1529</v>
      </c>
      <c r="AH39" s="32"/>
      <c r="AI39" s="32" t="s">
        <v>1493</v>
      </c>
      <c r="AJ39" s="32"/>
      <c r="AK39" s="28"/>
      <c r="AL39" s="18" t="str">
        <f t="shared" si="0"/>
        <v>To what extent have you explored bundling of volumes across different types of vegetable oils to maximize economies of scale?_</v>
      </c>
    </row>
    <row r="40" spans="1:38" ht="58" x14ac:dyDescent="0.35">
      <c r="A40" s="32">
        <v>1</v>
      </c>
      <c r="B40" s="32" t="s">
        <v>1451</v>
      </c>
      <c r="C40" s="32" t="s">
        <v>1452</v>
      </c>
      <c r="D40" s="32" t="s">
        <v>1224</v>
      </c>
      <c r="E40" s="32" t="s">
        <v>1453</v>
      </c>
      <c r="F40" s="32"/>
      <c r="G40" s="32" t="s">
        <v>1292</v>
      </c>
      <c r="H40" s="32" t="s">
        <v>1462</v>
      </c>
      <c r="I40" s="32"/>
      <c r="J40" s="32" t="s">
        <v>1228</v>
      </c>
      <c r="K40" s="32" t="s">
        <v>1317</v>
      </c>
      <c r="L40" s="32" t="s">
        <v>1318</v>
      </c>
      <c r="M40" s="32" t="s">
        <v>1319</v>
      </c>
      <c r="N40" s="32" t="s">
        <v>1320</v>
      </c>
      <c r="O40" s="32">
        <v>2</v>
      </c>
      <c r="P40" s="32">
        <v>0.04</v>
      </c>
      <c r="Q40" s="32">
        <v>0.1</v>
      </c>
      <c r="R40" s="32">
        <v>0.8</v>
      </c>
      <c r="S40" s="32">
        <v>6.7857142857142866E-2</v>
      </c>
      <c r="T40" s="32">
        <v>8.2857142857142865E-2</v>
      </c>
      <c r="U40" s="32">
        <v>2714285.714285715</v>
      </c>
      <c r="V40" s="32">
        <v>3314285.714285715</v>
      </c>
      <c r="W40" s="32"/>
      <c r="X40" s="32"/>
      <c r="Y40" s="32"/>
      <c r="Z40" s="32"/>
      <c r="AA40" s="32">
        <v>0.02</v>
      </c>
      <c r="AB40" s="32">
        <v>0.05</v>
      </c>
      <c r="AC40" s="32">
        <v>3.5000000000000003E-2</v>
      </c>
      <c r="AD40" s="32">
        <v>0.19178082191780821</v>
      </c>
      <c r="AE40" s="32">
        <v>520547.94520547963</v>
      </c>
      <c r="AF40" s="32">
        <v>635616.43835616438</v>
      </c>
      <c r="AG40" s="32" t="s">
        <v>1530</v>
      </c>
      <c r="AH40" s="32"/>
      <c r="AI40" s="32" t="s">
        <v>1493</v>
      </c>
      <c r="AJ40" s="32"/>
      <c r="AK40" s="28"/>
      <c r="AL40" s="18" t="str">
        <f t="shared" si="0"/>
        <v>To what extent have you explored bundling of volumes across different types of vegetable oils to maximize economies of scale?_</v>
      </c>
    </row>
    <row r="41" spans="1:38" ht="58" x14ac:dyDescent="0.35">
      <c r="A41" s="32">
        <v>1</v>
      </c>
      <c r="B41" s="32" t="s">
        <v>1451</v>
      </c>
      <c r="C41" s="32" t="s">
        <v>1452</v>
      </c>
      <c r="D41" s="32" t="s">
        <v>1224</v>
      </c>
      <c r="E41" s="32" t="s">
        <v>1453</v>
      </c>
      <c r="F41" s="32"/>
      <c r="G41" s="32" t="s">
        <v>1292</v>
      </c>
      <c r="H41" s="32" t="s">
        <v>1462</v>
      </c>
      <c r="I41" s="32"/>
      <c r="J41" s="32" t="s">
        <v>1228</v>
      </c>
      <c r="K41" s="32" t="s">
        <v>1317</v>
      </c>
      <c r="L41" s="32" t="s">
        <v>1318</v>
      </c>
      <c r="M41" s="32" t="s">
        <v>1319</v>
      </c>
      <c r="N41" s="32" t="s">
        <v>1320</v>
      </c>
      <c r="O41" s="32">
        <v>2</v>
      </c>
      <c r="P41" s="32">
        <v>0.04</v>
      </c>
      <c r="Q41" s="32">
        <v>0.1</v>
      </c>
      <c r="R41" s="32">
        <v>0.8</v>
      </c>
      <c r="S41" s="32">
        <v>6.7857142857142866E-2</v>
      </c>
      <c r="T41" s="32">
        <v>8.2857142857142865E-2</v>
      </c>
      <c r="U41" s="32">
        <v>2714285.714285715</v>
      </c>
      <c r="V41" s="32">
        <v>3314285.714285715</v>
      </c>
      <c r="W41" s="32"/>
      <c r="X41" s="32"/>
      <c r="Y41" s="32"/>
      <c r="Z41" s="32"/>
      <c r="AA41" s="32">
        <v>0.02</v>
      </c>
      <c r="AB41" s="32">
        <v>0.05</v>
      </c>
      <c r="AC41" s="32">
        <v>3.5000000000000003E-2</v>
      </c>
      <c r="AD41" s="32">
        <v>0.19178082191780821</v>
      </c>
      <c r="AE41" s="32">
        <v>520547.94520547963</v>
      </c>
      <c r="AF41" s="32">
        <v>635616.43835616438</v>
      </c>
      <c r="AG41" s="32" t="s">
        <v>1531</v>
      </c>
      <c r="AH41" s="32"/>
      <c r="AI41" s="32" t="s">
        <v>1493</v>
      </c>
      <c r="AJ41" s="32"/>
      <c r="AK41" s="28"/>
      <c r="AL41" s="18" t="str">
        <f t="shared" si="0"/>
        <v>To what extent have you explored bundling of volumes across different types of vegetable oils to maximize economies of scale?_</v>
      </c>
    </row>
    <row r="42" spans="1:38" ht="58" x14ac:dyDescent="0.35">
      <c r="A42" s="32">
        <v>1</v>
      </c>
      <c r="B42" s="32" t="s">
        <v>1451</v>
      </c>
      <c r="C42" s="32" t="s">
        <v>1452</v>
      </c>
      <c r="D42" s="32" t="s">
        <v>1224</v>
      </c>
      <c r="E42" s="32" t="s">
        <v>1453</v>
      </c>
      <c r="F42" s="32"/>
      <c r="G42" s="32" t="s">
        <v>1292</v>
      </c>
      <c r="H42" s="32" t="s">
        <v>1462</v>
      </c>
      <c r="I42" s="32"/>
      <c r="J42" s="32" t="s">
        <v>1228</v>
      </c>
      <c r="K42" s="32" t="s">
        <v>1317</v>
      </c>
      <c r="L42" s="32" t="s">
        <v>1318</v>
      </c>
      <c r="M42" s="32" t="s">
        <v>1319</v>
      </c>
      <c r="N42" s="32" t="s">
        <v>1320</v>
      </c>
      <c r="O42" s="32">
        <v>2</v>
      </c>
      <c r="P42" s="32">
        <v>0.04</v>
      </c>
      <c r="Q42" s="32">
        <v>0.1</v>
      </c>
      <c r="R42" s="32">
        <v>0.8</v>
      </c>
      <c r="S42" s="32">
        <v>6.7857142857142866E-2</v>
      </c>
      <c r="T42" s="32">
        <v>8.2857142857142865E-2</v>
      </c>
      <c r="U42" s="32">
        <v>2714285.714285715</v>
      </c>
      <c r="V42" s="32">
        <v>3314285.714285715</v>
      </c>
      <c r="W42" s="32"/>
      <c r="X42" s="32"/>
      <c r="Y42" s="32"/>
      <c r="Z42" s="32"/>
      <c r="AA42" s="32">
        <v>0.02</v>
      </c>
      <c r="AB42" s="32">
        <v>0.05</v>
      </c>
      <c r="AC42" s="32">
        <v>3.5000000000000003E-2</v>
      </c>
      <c r="AD42" s="32">
        <v>0.19178082191780821</v>
      </c>
      <c r="AE42" s="32">
        <v>520547.94520547963</v>
      </c>
      <c r="AF42" s="32">
        <v>635616.43835616438</v>
      </c>
      <c r="AG42" s="32" t="s">
        <v>1532</v>
      </c>
      <c r="AH42" s="32"/>
      <c r="AI42" s="32" t="s">
        <v>1493</v>
      </c>
      <c r="AJ42" s="32"/>
      <c r="AK42" s="28"/>
      <c r="AL42" s="18" t="str">
        <f t="shared" si="0"/>
        <v>To what extent have you explored bundling of volumes across different types of vegetable oils to maximize economies of scale?_</v>
      </c>
    </row>
    <row r="43" spans="1:38" ht="43.5" x14ac:dyDescent="0.35">
      <c r="A43" s="32">
        <v>2</v>
      </c>
      <c r="B43" s="32" t="s">
        <v>1451</v>
      </c>
      <c r="C43" s="32" t="s">
        <v>1452</v>
      </c>
      <c r="D43" s="32" t="s">
        <v>1224</v>
      </c>
      <c r="E43" s="32" t="s">
        <v>1453</v>
      </c>
      <c r="F43" s="32"/>
      <c r="G43" s="32" t="s">
        <v>1289</v>
      </c>
      <c r="H43" s="32" t="s">
        <v>1316</v>
      </c>
      <c r="I43" s="32"/>
      <c r="J43" s="32" t="s">
        <v>1288</v>
      </c>
      <c r="K43" s="32" t="s">
        <v>1312</v>
      </c>
      <c r="L43" s="32" t="s">
        <v>1313</v>
      </c>
      <c r="M43" s="32" t="s">
        <v>1314</v>
      </c>
      <c r="N43" s="32" t="s">
        <v>1315</v>
      </c>
      <c r="O43" s="32">
        <v>3</v>
      </c>
      <c r="P43" s="32">
        <v>0.04</v>
      </c>
      <c r="Q43" s="32">
        <v>0.1</v>
      </c>
      <c r="R43" s="32">
        <v>0.8</v>
      </c>
      <c r="S43" s="32">
        <v>6.7500000000000004E-2</v>
      </c>
      <c r="T43" s="32">
        <v>8.2500000000000004E-2</v>
      </c>
      <c r="U43" s="32">
        <v>2700000</v>
      </c>
      <c r="V43" s="32">
        <v>3300000</v>
      </c>
      <c r="W43" s="32"/>
      <c r="X43" s="32"/>
      <c r="Y43" s="32"/>
      <c r="Z43" s="32"/>
      <c r="AA43" s="32">
        <v>0.02</v>
      </c>
      <c r="AB43" s="32">
        <v>0.05</v>
      </c>
      <c r="AC43" s="32">
        <v>2.75E-2</v>
      </c>
      <c r="AD43" s="32">
        <v>0.15068493150684931</v>
      </c>
      <c r="AE43" s="32">
        <v>406849.31506849319</v>
      </c>
      <c r="AF43" s="32">
        <v>497260.27397260268</v>
      </c>
      <c r="AG43" s="32" t="s">
        <v>1454</v>
      </c>
      <c r="AH43" s="32" t="s">
        <v>1455</v>
      </c>
      <c r="AI43" s="32" t="s">
        <v>2046</v>
      </c>
      <c r="AJ43" s="32"/>
      <c r="AK43" s="28"/>
      <c r="AL43" s="18" t="str">
        <f t="shared" si="0"/>
        <v>To what extent do you use should cost models to challenge and negotiate supplier pricing?_</v>
      </c>
    </row>
    <row r="44" spans="1:38" ht="43.5" x14ac:dyDescent="0.35">
      <c r="A44" s="32">
        <v>2</v>
      </c>
      <c r="B44" s="32" t="s">
        <v>1451</v>
      </c>
      <c r="C44" s="32" t="s">
        <v>1452</v>
      </c>
      <c r="D44" s="32" t="s">
        <v>1224</v>
      </c>
      <c r="E44" s="32" t="s">
        <v>1453</v>
      </c>
      <c r="F44" s="32"/>
      <c r="G44" s="32" t="s">
        <v>1289</v>
      </c>
      <c r="H44" s="32" t="s">
        <v>1316</v>
      </c>
      <c r="I44" s="32"/>
      <c r="J44" s="32" t="s">
        <v>1288</v>
      </c>
      <c r="K44" s="32" t="s">
        <v>1312</v>
      </c>
      <c r="L44" s="32" t="s">
        <v>1313</v>
      </c>
      <c r="M44" s="32" t="s">
        <v>1314</v>
      </c>
      <c r="N44" s="32" t="s">
        <v>1315</v>
      </c>
      <c r="O44" s="32">
        <v>3</v>
      </c>
      <c r="P44" s="32">
        <v>0.04</v>
      </c>
      <c r="Q44" s="32">
        <v>0.1</v>
      </c>
      <c r="R44" s="32">
        <v>0.8</v>
      </c>
      <c r="S44" s="32">
        <v>6.7857142857142866E-2</v>
      </c>
      <c r="T44" s="32">
        <v>8.2857142857142865E-2</v>
      </c>
      <c r="U44" s="32">
        <v>2714285.714285715</v>
      </c>
      <c r="V44" s="32">
        <v>3314285.714285715</v>
      </c>
      <c r="W44" s="32"/>
      <c r="X44" s="32"/>
      <c r="Y44" s="32"/>
      <c r="Z44" s="32"/>
      <c r="AA44" s="32">
        <v>0.02</v>
      </c>
      <c r="AB44" s="32">
        <v>0.05</v>
      </c>
      <c r="AC44" s="32">
        <v>2.75E-2</v>
      </c>
      <c r="AD44" s="32">
        <v>0.15068493150684931</v>
      </c>
      <c r="AE44" s="32">
        <v>409001.95694716251</v>
      </c>
      <c r="AF44" s="32">
        <v>499412.915851272</v>
      </c>
      <c r="AG44" s="32" t="s">
        <v>1463</v>
      </c>
      <c r="AH44" s="32" t="s">
        <v>1464</v>
      </c>
      <c r="AI44" s="32" t="s">
        <v>2046</v>
      </c>
      <c r="AJ44" s="32"/>
      <c r="AK44" s="28"/>
      <c r="AL44" s="18" t="str">
        <f t="shared" si="0"/>
        <v>To what extent do you use should cost models to challenge and negotiate supplier pricing?_</v>
      </c>
    </row>
    <row r="45" spans="1:38" ht="43.5" x14ac:dyDescent="0.35">
      <c r="A45" s="32">
        <v>2</v>
      </c>
      <c r="B45" s="32" t="s">
        <v>1451</v>
      </c>
      <c r="C45" s="32" t="s">
        <v>1452</v>
      </c>
      <c r="D45" s="32" t="s">
        <v>1224</v>
      </c>
      <c r="E45" s="32" t="s">
        <v>1453</v>
      </c>
      <c r="F45" s="32"/>
      <c r="G45" s="32" t="s">
        <v>1289</v>
      </c>
      <c r="H45" s="32" t="s">
        <v>1316</v>
      </c>
      <c r="I45" s="32"/>
      <c r="J45" s="32" t="s">
        <v>1288</v>
      </c>
      <c r="K45" s="32" t="s">
        <v>1312</v>
      </c>
      <c r="L45" s="32" t="s">
        <v>1313</v>
      </c>
      <c r="M45" s="32" t="s">
        <v>1314</v>
      </c>
      <c r="N45" s="32" t="s">
        <v>1315</v>
      </c>
      <c r="O45" s="32">
        <v>3</v>
      </c>
      <c r="P45" s="32">
        <v>0.04</v>
      </c>
      <c r="Q45" s="32">
        <v>0.1</v>
      </c>
      <c r="R45" s="32">
        <v>0.8</v>
      </c>
      <c r="S45" s="32">
        <v>6.7857142857142866E-2</v>
      </c>
      <c r="T45" s="32">
        <v>8.2857142857142865E-2</v>
      </c>
      <c r="U45" s="32">
        <v>2714285.714285715</v>
      </c>
      <c r="V45" s="32">
        <v>3314285.714285715</v>
      </c>
      <c r="W45" s="32"/>
      <c r="X45" s="32"/>
      <c r="Y45" s="32"/>
      <c r="Z45" s="32"/>
      <c r="AA45" s="32">
        <v>0.02</v>
      </c>
      <c r="AB45" s="32">
        <v>0.05</v>
      </c>
      <c r="AC45" s="32">
        <v>2.75E-2</v>
      </c>
      <c r="AD45" s="32">
        <v>0.15068493150684931</v>
      </c>
      <c r="AE45" s="32">
        <v>409001.95694716251</v>
      </c>
      <c r="AF45" s="32">
        <v>499412.915851272</v>
      </c>
      <c r="AG45" s="32" t="s">
        <v>1465</v>
      </c>
      <c r="AH45" s="32" t="s">
        <v>1466</v>
      </c>
      <c r="AI45" s="32" t="s">
        <v>2046</v>
      </c>
      <c r="AJ45" s="32"/>
      <c r="AK45" s="28"/>
      <c r="AL45" s="18" t="str">
        <f t="shared" si="0"/>
        <v>To what extent do you use should cost models to challenge and negotiate supplier pricing?_</v>
      </c>
    </row>
    <row r="46" spans="1:38" ht="43.5" x14ac:dyDescent="0.35">
      <c r="A46" s="32">
        <v>2</v>
      </c>
      <c r="B46" s="32" t="s">
        <v>1451</v>
      </c>
      <c r="C46" s="32" t="s">
        <v>1452</v>
      </c>
      <c r="D46" s="32" t="s">
        <v>1224</v>
      </c>
      <c r="E46" s="32" t="s">
        <v>1453</v>
      </c>
      <c r="F46" s="32"/>
      <c r="G46" s="32" t="s">
        <v>1289</v>
      </c>
      <c r="H46" s="32" t="s">
        <v>1316</v>
      </c>
      <c r="I46" s="32"/>
      <c r="J46" s="32" t="s">
        <v>1288</v>
      </c>
      <c r="K46" s="32" t="s">
        <v>1312</v>
      </c>
      <c r="L46" s="32" t="s">
        <v>1313</v>
      </c>
      <c r="M46" s="32" t="s">
        <v>1314</v>
      </c>
      <c r="N46" s="32" t="s">
        <v>1315</v>
      </c>
      <c r="O46" s="32">
        <v>3</v>
      </c>
      <c r="P46" s="32">
        <v>0.04</v>
      </c>
      <c r="Q46" s="32">
        <v>0.1</v>
      </c>
      <c r="R46" s="32">
        <v>0.8</v>
      </c>
      <c r="S46" s="32">
        <v>6.7857142857142866E-2</v>
      </c>
      <c r="T46" s="32">
        <v>8.2857142857142865E-2</v>
      </c>
      <c r="U46" s="32">
        <v>2714285.714285715</v>
      </c>
      <c r="V46" s="32">
        <v>3314285.714285715</v>
      </c>
      <c r="W46" s="32"/>
      <c r="X46" s="32"/>
      <c r="Y46" s="32"/>
      <c r="Z46" s="32"/>
      <c r="AA46" s="32">
        <v>0.02</v>
      </c>
      <c r="AB46" s="32">
        <v>0.05</v>
      </c>
      <c r="AC46" s="32">
        <v>2.75E-2</v>
      </c>
      <c r="AD46" s="32">
        <v>0.15068493150684931</v>
      </c>
      <c r="AE46" s="32">
        <v>409001.95694716251</v>
      </c>
      <c r="AF46" s="32">
        <v>499412.915851272</v>
      </c>
      <c r="AG46" s="32" t="s">
        <v>1467</v>
      </c>
      <c r="AH46" s="32" t="s">
        <v>1468</v>
      </c>
      <c r="AI46" s="32" t="s">
        <v>2046</v>
      </c>
      <c r="AJ46" s="32"/>
      <c r="AK46" s="28"/>
      <c r="AL46" s="18" t="str">
        <f t="shared" si="0"/>
        <v>To what extent do you use should cost models to challenge and negotiate supplier pricing?_</v>
      </c>
    </row>
    <row r="47" spans="1:38" ht="43.5" x14ac:dyDescent="0.35">
      <c r="A47" s="32">
        <v>2</v>
      </c>
      <c r="B47" s="32" t="s">
        <v>1451</v>
      </c>
      <c r="C47" s="32" t="s">
        <v>1452</v>
      </c>
      <c r="D47" s="32" t="s">
        <v>1224</v>
      </c>
      <c r="E47" s="32" t="s">
        <v>1453</v>
      </c>
      <c r="F47" s="32"/>
      <c r="G47" s="32" t="s">
        <v>1289</v>
      </c>
      <c r="H47" s="32" t="s">
        <v>1316</v>
      </c>
      <c r="I47" s="32"/>
      <c r="J47" s="32" t="s">
        <v>1288</v>
      </c>
      <c r="K47" s="32" t="s">
        <v>1312</v>
      </c>
      <c r="L47" s="32" t="s">
        <v>1313</v>
      </c>
      <c r="M47" s="32" t="s">
        <v>1314</v>
      </c>
      <c r="N47" s="32" t="s">
        <v>1315</v>
      </c>
      <c r="O47" s="32">
        <v>3</v>
      </c>
      <c r="P47" s="32">
        <v>0.04</v>
      </c>
      <c r="Q47" s="32">
        <v>0.1</v>
      </c>
      <c r="R47" s="32">
        <v>0.8</v>
      </c>
      <c r="S47" s="32">
        <v>6.7857142857142866E-2</v>
      </c>
      <c r="T47" s="32">
        <v>8.2857142857142865E-2</v>
      </c>
      <c r="U47" s="32">
        <v>2714285.714285715</v>
      </c>
      <c r="V47" s="32">
        <v>3314285.714285715</v>
      </c>
      <c r="W47" s="32"/>
      <c r="X47" s="32"/>
      <c r="Y47" s="32"/>
      <c r="Z47" s="32"/>
      <c r="AA47" s="32">
        <v>0.02</v>
      </c>
      <c r="AB47" s="32">
        <v>0.05</v>
      </c>
      <c r="AC47" s="32">
        <v>2.75E-2</v>
      </c>
      <c r="AD47" s="32">
        <v>0.15068493150684931</v>
      </c>
      <c r="AE47" s="32">
        <v>409001.95694716251</v>
      </c>
      <c r="AF47" s="32">
        <v>499412.915851272</v>
      </c>
      <c r="AG47" s="32" t="s">
        <v>1471</v>
      </c>
      <c r="AH47" s="32" t="s">
        <v>1472</v>
      </c>
      <c r="AI47" s="32" t="s">
        <v>2046</v>
      </c>
      <c r="AJ47" s="32"/>
      <c r="AK47" s="28"/>
      <c r="AL47" s="18" t="str">
        <f t="shared" si="0"/>
        <v>To what extent do you use should cost models to challenge and negotiate supplier pricing?_</v>
      </c>
    </row>
    <row r="48" spans="1:38" ht="43.5" x14ac:dyDescent="0.35">
      <c r="A48" s="32">
        <v>2</v>
      </c>
      <c r="B48" s="32" t="s">
        <v>1451</v>
      </c>
      <c r="C48" s="32" t="s">
        <v>1452</v>
      </c>
      <c r="D48" s="32" t="s">
        <v>1224</v>
      </c>
      <c r="E48" s="32" t="s">
        <v>1453</v>
      </c>
      <c r="F48" s="32"/>
      <c r="G48" s="32" t="s">
        <v>1289</v>
      </c>
      <c r="H48" s="32" t="s">
        <v>1316</v>
      </c>
      <c r="I48" s="32"/>
      <c r="J48" s="32" t="s">
        <v>1288</v>
      </c>
      <c r="K48" s="32" t="s">
        <v>1312</v>
      </c>
      <c r="L48" s="32" t="s">
        <v>1313</v>
      </c>
      <c r="M48" s="32" t="s">
        <v>1314</v>
      </c>
      <c r="N48" s="32" t="s">
        <v>1315</v>
      </c>
      <c r="O48" s="32">
        <v>3</v>
      </c>
      <c r="P48" s="32">
        <v>0.04</v>
      </c>
      <c r="Q48" s="32">
        <v>0.1</v>
      </c>
      <c r="R48" s="32">
        <v>0.8</v>
      </c>
      <c r="S48" s="32">
        <v>6.7857142857142866E-2</v>
      </c>
      <c r="T48" s="32">
        <v>8.2857142857142865E-2</v>
      </c>
      <c r="U48" s="32">
        <v>2714285.714285715</v>
      </c>
      <c r="V48" s="32">
        <v>3314285.714285715</v>
      </c>
      <c r="W48" s="32"/>
      <c r="X48" s="32"/>
      <c r="Y48" s="32"/>
      <c r="Z48" s="32"/>
      <c r="AA48" s="32">
        <v>0.02</v>
      </c>
      <c r="AB48" s="32">
        <v>0.05</v>
      </c>
      <c r="AC48" s="32">
        <v>2.75E-2</v>
      </c>
      <c r="AD48" s="32">
        <v>0.15068493150684931</v>
      </c>
      <c r="AE48" s="32">
        <v>409001.95694716251</v>
      </c>
      <c r="AF48" s="32">
        <v>499412.915851272</v>
      </c>
      <c r="AG48" s="32" t="s">
        <v>1475</v>
      </c>
      <c r="AH48" s="32" t="s">
        <v>1476</v>
      </c>
      <c r="AI48" s="32" t="s">
        <v>2046</v>
      </c>
      <c r="AJ48" s="32"/>
      <c r="AK48" s="28"/>
      <c r="AL48" s="18" t="str">
        <f t="shared" si="0"/>
        <v>To what extent do you use should cost models to challenge and negotiate supplier pricing?_</v>
      </c>
    </row>
    <row r="49" spans="1:38" ht="116" x14ac:dyDescent="0.35">
      <c r="A49" s="32">
        <v>2</v>
      </c>
      <c r="B49" s="32" t="s">
        <v>1451</v>
      </c>
      <c r="C49" s="32" t="s">
        <v>1452</v>
      </c>
      <c r="D49" s="32" t="s">
        <v>1224</v>
      </c>
      <c r="E49" s="32" t="s">
        <v>1453</v>
      </c>
      <c r="F49" s="32"/>
      <c r="G49" s="32" t="s">
        <v>1289</v>
      </c>
      <c r="H49" s="32" t="s">
        <v>1316</v>
      </c>
      <c r="I49" s="32"/>
      <c r="J49" s="32" t="s">
        <v>1288</v>
      </c>
      <c r="K49" s="32" t="s">
        <v>1312</v>
      </c>
      <c r="L49" s="32" t="s">
        <v>1313</v>
      </c>
      <c r="M49" s="32" t="s">
        <v>1314</v>
      </c>
      <c r="N49" s="32" t="s">
        <v>1315</v>
      </c>
      <c r="O49" s="32">
        <v>3</v>
      </c>
      <c r="P49" s="32">
        <v>0.04</v>
      </c>
      <c r="Q49" s="32">
        <v>0.1</v>
      </c>
      <c r="R49" s="32">
        <v>0.8</v>
      </c>
      <c r="S49" s="32">
        <v>6.7857142857142866E-2</v>
      </c>
      <c r="T49" s="32">
        <v>8.2857142857142865E-2</v>
      </c>
      <c r="U49" s="32">
        <v>2714285.714285715</v>
      </c>
      <c r="V49" s="32">
        <v>3314285.714285715</v>
      </c>
      <c r="W49" s="32"/>
      <c r="X49" s="32"/>
      <c r="Y49" s="32"/>
      <c r="Z49" s="32"/>
      <c r="AA49" s="32">
        <v>0.02</v>
      </c>
      <c r="AB49" s="32">
        <v>0.05</v>
      </c>
      <c r="AC49" s="32">
        <v>2.75E-2</v>
      </c>
      <c r="AD49" s="32">
        <v>0.15068493150684931</v>
      </c>
      <c r="AE49" s="32">
        <v>409001.95694716251</v>
      </c>
      <c r="AF49" s="32">
        <v>499412.915851272</v>
      </c>
      <c r="AG49" s="32" t="s">
        <v>1477</v>
      </c>
      <c r="AH49" s="32" t="s">
        <v>1534</v>
      </c>
      <c r="AI49" s="32" t="s">
        <v>2046</v>
      </c>
      <c r="AJ49" s="32" t="s">
        <v>1535</v>
      </c>
      <c r="AK49" s="28" t="s">
        <v>2055</v>
      </c>
      <c r="AL49" s="18" t="str">
        <f t="shared" si="0"/>
        <v>To what extent do you use should cost models to challenge and negotiate supplier pricing?_If there are examples of SKUs/items with varying prices across suppliers for a given location, call these out in descending order of sku/item specific spend.
Recommend establishing target pricing using commodity futures (CBOT, CME) + processing margins, then challenge suppliers with should-cost models to meet targets</v>
      </c>
    </row>
    <row r="50" spans="1:38" ht="43.5" x14ac:dyDescent="0.35">
      <c r="A50" s="32">
        <v>2</v>
      </c>
      <c r="B50" s="32" t="s">
        <v>1451</v>
      </c>
      <c r="C50" s="32" t="s">
        <v>1452</v>
      </c>
      <c r="D50" s="32" t="s">
        <v>1224</v>
      </c>
      <c r="E50" s="32" t="s">
        <v>1453</v>
      </c>
      <c r="F50" s="32"/>
      <c r="G50" s="32" t="s">
        <v>1289</v>
      </c>
      <c r="H50" s="32" t="s">
        <v>1316</v>
      </c>
      <c r="I50" s="32"/>
      <c r="J50" s="32" t="s">
        <v>1288</v>
      </c>
      <c r="K50" s="32" t="s">
        <v>1312</v>
      </c>
      <c r="L50" s="32" t="s">
        <v>1313</v>
      </c>
      <c r="M50" s="32" t="s">
        <v>1314</v>
      </c>
      <c r="N50" s="32" t="s">
        <v>1315</v>
      </c>
      <c r="O50" s="32">
        <v>3</v>
      </c>
      <c r="P50" s="32">
        <v>0.04</v>
      </c>
      <c r="Q50" s="32">
        <v>0.1</v>
      </c>
      <c r="R50" s="32">
        <v>0.8</v>
      </c>
      <c r="S50" s="32">
        <v>6.7857142857142866E-2</v>
      </c>
      <c r="T50" s="32">
        <v>8.2857142857142865E-2</v>
      </c>
      <c r="U50" s="32">
        <v>2714285.714285715</v>
      </c>
      <c r="V50" s="32">
        <v>3314285.714285715</v>
      </c>
      <c r="W50" s="32"/>
      <c r="X50" s="32"/>
      <c r="Y50" s="32"/>
      <c r="Z50" s="32"/>
      <c r="AA50" s="32">
        <v>0.02</v>
      </c>
      <c r="AB50" s="32">
        <v>0.05</v>
      </c>
      <c r="AC50" s="32">
        <v>2.75E-2</v>
      </c>
      <c r="AD50" s="32">
        <v>0.15068493150684931</v>
      </c>
      <c r="AE50" s="32">
        <v>409001.95694716251</v>
      </c>
      <c r="AF50" s="32">
        <v>499412.915851272</v>
      </c>
      <c r="AG50" s="32" t="s">
        <v>1481</v>
      </c>
      <c r="AH50" s="32" t="s">
        <v>1482</v>
      </c>
      <c r="AI50" s="32" t="s">
        <v>2046</v>
      </c>
      <c r="AJ50" s="32"/>
      <c r="AK50" s="28"/>
      <c r="AL50" s="18" t="str">
        <f t="shared" si="0"/>
        <v>To what extent do you use should cost models to challenge and negotiate supplier pricing?_</v>
      </c>
    </row>
    <row r="51" spans="1:38" ht="58" x14ac:dyDescent="0.35">
      <c r="A51" s="32">
        <v>2</v>
      </c>
      <c r="B51" s="32" t="s">
        <v>1451</v>
      </c>
      <c r="C51" s="32" t="s">
        <v>1452</v>
      </c>
      <c r="D51" s="32" t="s">
        <v>1224</v>
      </c>
      <c r="E51" s="32" t="s">
        <v>1453</v>
      </c>
      <c r="F51" s="32"/>
      <c r="G51" s="32" t="s">
        <v>1289</v>
      </c>
      <c r="H51" s="32" t="s">
        <v>1316</v>
      </c>
      <c r="I51" s="32"/>
      <c r="J51" s="32" t="s">
        <v>1288</v>
      </c>
      <c r="K51" s="32" t="s">
        <v>1312</v>
      </c>
      <c r="L51" s="32" t="s">
        <v>1313</v>
      </c>
      <c r="M51" s="32" t="s">
        <v>1314</v>
      </c>
      <c r="N51" s="32" t="s">
        <v>1315</v>
      </c>
      <c r="O51" s="32">
        <v>3</v>
      </c>
      <c r="P51" s="32">
        <v>0.04</v>
      </c>
      <c r="Q51" s="32">
        <v>0.1</v>
      </c>
      <c r="R51" s="32">
        <v>0.8</v>
      </c>
      <c r="S51" s="32">
        <v>6.7857142857142866E-2</v>
      </c>
      <c r="T51" s="32">
        <v>8.2857142857142865E-2</v>
      </c>
      <c r="U51" s="32">
        <v>2714285.714285715</v>
      </c>
      <c r="V51" s="32">
        <v>3314285.714285715</v>
      </c>
      <c r="W51" s="32"/>
      <c r="X51" s="32"/>
      <c r="Y51" s="32"/>
      <c r="Z51" s="32"/>
      <c r="AA51" s="32">
        <v>0.02</v>
      </c>
      <c r="AB51" s="32">
        <v>0.05</v>
      </c>
      <c r="AC51" s="32">
        <v>2.75E-2</v>
      </c>
      <c r="AD51" s="32">
        <v>0.15068493150684931</v>
      </c>
      <c r="AE51" s="32">
        <v>409001.95694716251</v>
      </c>
      <c r="AF51" s="32">
        <v>499412.915851272</v>
      </c>
      <c r="AG51" s="32" t="s">
        <v>1483</v>
      </c>
      <c r="AH51" s="32" t="s">
        <v>1484</v>
      </c>
      <c r="AI51" s="32" t="s">
        <v>2046</v>
      </c>
      <c r="AJ51" s="32"/>
      <c r="AK51" s="28"/>
      <c r="AL51" s="18" t="str">
        <f t="shared" si="0"/>
        <v>To what extent do you use should cost models to challenge and negotiate supplier pricing?_</v>
      </c>
    </row>
    <row r="52" spans="1:38" ht="43.5" x14ac:dyDescent="0.35">
      <c r="A52" s="32">
        <v>2</v>
      </c>
      <c r="B52" s="32" t="s">
        <v>1451</v>
      </c>
      <c r="C52" s="32" t="s">
        <v>1452</v>
      </c>
      <c r="D52" s="32" t="s">
        <v>1224</v>
      </c>
      <c r="E52" s="32" t="s">
        <v>1453</v>
      </c>
      <c r="F52" s="32"/>
      <c r="G52" s="32" t="s">
        <v>1289</v>
      </c>
      <c r="H52" s="32" t="s">
        <v>1316</v>
      </c>
      <c r="I52" s="32"/>
      <c r="J52" s="32" t="s">
        <v>1288</v>
      </c>
      <c r="K52" s="32" t="s">
        <v>1312</v>
      </c>
      <c r="L52" s="32" t="s">
        <v>1313</v>
      </c>
      <c r="M52" s="32" t="s">
        <v>1314</v>
      </c>
      <c r="N52" s="32" t="s">
        <v>1315</v>
      </c>
      <c r="O52" s="32">
        <v>3</v>
      </c>
      <c r="P52" s="32">
        <v>0.04</v>
      </c>
      <c r="Q52" s="32">
        <v>0.1</v>
      </c>
      <c r="R52" s="32">
        <v>0.8</v>
      </c>
      <c r="S52" s="32">
        <v>6.7857142857142866E-2</v>
      </c>
      <c r="T52" s="32">
        <v>8.2857142857142865E-2</v>
      </c>
      <c r="U52" s="32">
        <v>2714285.714285715</v>
      </c>
      <c r="V52" s="32">
        <v>3314285.714285715</v>
      </c>
      <c r="W52" s="32"/>
      <c r="X52" s="32"/>
      <c r="Y52" s="32"/>
      <c r="Z52" s="32"/>
      <c r="AA52" s="32">
        <v>0.02</v>
      </c>
      <c r="AB52" s="32">
        <v>0.05</v>
      </c>
      <c r="AC52" s="32">
        <v>2.75E-2</v>
      </c>
      <c r="AD52" s="32">
        <v>0.15068493150684931</v>
      </c>
      <c r="AE52" s="32">
        <v>409001.95694716251</v>
      </c>
      <c r="AF52" s="32">
        <v>499412.915851272</v>
      </c>
      <c r="AG52" s="32" t="s">
        <v>1486</v>
      </c>
      <c r="AH52" s="32" t="s">
        <v>1487</v>
      </c>
      <c r="AI52" s="32" t="s">
        <v>2046</v>
      </c>
      <c r="AJ52" s="32"/>
      <c r="AK52" s="28"/>
      <c r="AL52" s="18" t="str">
        <f t="shared" si="0"/>
        <v>To what extent do you use should cost models to challenge and negotiate supplier pricing?_</v>
      </c>
    </row>
    <row r="53" spans="1:38" ht="43.5" x14ac:dyDescent="0.35">
      <c r="A53" s="32">
        <v>2</v>
      </c>
      <c r="B53" s="32" t="s">
        <v>1451</v>
      </c>
      <c r="C53" s="32" t="s">
        <v>1452</v>
      </c>
      <c r="D53" s="32" t="s">
        <v>1224</v>
      </c>
      <c r="E53" s="32" t="s">
        <v>1453</v>
      </c>
      <c r="F53" s="32"/>
      <c r="G53" s="32" t="s">
        <v>1289</v>
      </c>
      <c r="H53" s="32" t="s">
        <v>1316</v>
      </c>
      <c r="I53" s="32"/>
      <c r="J53" s="32" t="s">
        <v>1288</v>
      </c>
      <c r="K53" s="32" t="s">
        <v>1312</v>
      </c>
      <c r="L53" s="32" t="s">
        <v>1313</v>
      </c>
      <c r="M53" s="32" t="s">
        <v>1314</v>
      </c>
      <c r="N53" s="32" t="s">
        <v>1315</v>
      </c>
      <c r="O53" s="32">
        <v>3</v>
      </c>
      <c r="P53" s="32">
        <v>0.04</v>
      </c>
      <c r="Q53" s="32">
        <v>0.1</v>
      </c>
      <c r="R53" s="32">
        <v>0.8</v>
      </c>
      <c r="S53" s="32">
        <v>6.7857142857142866E-2</v>
      </c>
      <c r="T53" s="32">
        <v>8.2857142857142865E-2</v>
      </c>
      <c r="U53" s="32">
        <v>2714285.714285715</v>
      </c>
      <c r="V53" s="32">
        <v>3314285.714285715</v>
      </c>
      <c r="W53" s="32"/>
      <c r="X53" s="32"/>
      <c r="Y53" s="32"/>
      <c r="Z53" s="32"/>
      <c r="AA53" s="32">
        <v>0.02</v>
      </c>
      <c r="AB53" s="32">
        <v>0.05</v>
      </c>
      <c r="AC53" s="32">
        <v>2.75E-2</v>
      </c>
      <c r="AD53" s="32">
        <v>0.15068493150684931</v>
      </c>
      <c r="AE53" s="32">
        <v>409001.95694716251</v>
      </c>
      <c r="AF53" s="32">
        <v>499412.915851272</v>
      </c>
      <c r="AG53" s="32" t="s">
        <v>1488</v>
      </c>
      <c r="AH53" s="32" t="s">
        <v>1489</v>
      </c>
      <c r="AI53" s="32" t="s">
        <v>2046</v>
      </c>
      <c r="AJ53" s="32"/>
      <c r="AK53" s="28"/>
      <c r="AL53" s="18" t="str">
        <f t="shared" si="0"/>
        <v>To what extent do you use should cost models to challenge and negotiate supplier pricing?_</v>
      </c>
    </row>
    <row r="54" spans="1:38" ht="43.5" x14ac:dyDescent="0.35">
      <c r="A54" s="32">
        <v>2</v>
      </c>
      <c r="B54" s="32" t="s">
        <v>1451</v>
      </c>
      <c r="C54" s="32" t="s">
        <v>1452</v>
      </c>
      <c r="D54" s="32" t="s">
        <v>1224</v>
      </c>
      <c r="E54" s="32" t="s">
        <v>1453</v>
      </c>
      <c r="F54" s="32"/>
      <c r="G54" s="32" t="s">
        <v>1289</v>
      </c>
      <c r="H54" s="32" t="s">
        <v>1316</v>
      </c>
      <c r="I54" s="32"/>
      <c r="J54" s="32" t="s">
        <v>1288</v>
      </c>
      <c r="K54" s="32" t="s">
        <v>1312</v>
      </c>
      <c r="L54" s="32" t="s">
        <v>1313</v>
      </c>
      <c r="M54" s="32" t="s">
        <v>1314</v>
      </c>
      <c r="N54" s="32" t="s">
        <v>1315</v>
      </c>
      <c r="O54" s="32">
        <v>3</v>
      </c>
      <c r="P54" s="32">
        <v>0.04</v>
      </c>
      <c r="Q54" s="32">
        <v>0.1</v>
      </c>
      <c r="R54" s="32">
        <v>0.8</v>
      </c>
      <c r="S54" s="32">
        <v>6.7857142857142866E-2</v>
      </c>
      <c r="T54" s="32">
        <v>8.2857142857142865E-2</v>
      </c>
      <c r="U54" s="32">
        <v>2714285.714285715</v>
      </c>
      <c r="V54" s="32">
        <v>3314285.714285715</v>
      </c>
      <c r="W54" s="32"/>
      <c r="X54" s="32"/>
      <c r="Y54" s="32"/>
      <c r="Z54" s="32"/>
      <c r="AA54" s="32">
        <v>0.02</v>
      </c>
      <c r="AB54" s="32">
        <v>0.05</v>
      </c>
      <c r="AC54" s="32">
        <v>2.75E-2</v>
      </c>
      <c r="AD54" s="32">
        <v>0.15068493150684931</v>
      </c>
      <c r="AE54" s="32">
        <v>409001.95694716251</v>
      </c>
      <c r="AF54" s="32">
        <v>499412.915851272</v>
      </c>
      <c r="AG54" s="32" t="s">
        <v>1490</v>
      </c>
      <c r="AH54" s="32" t="s">
        <v>1491</v>
      </c>
      <c r="AI54" s="32" t="s">
        <v>2046</v>
      </c>
      <c r="AJ54" s="32"/>
      <c r="AK54" s="28"/>
      <c r="AL54" s="18" t="str">
        <f t="shared" si="0"/>
        <v>To what extent do you use should cost models to challenge and negotiate supplier pricing?_</v>
      </c>
    </row>
    <row r="55" spans="1:38" ht="43.5" x14ac:dyDescent="0.35">
      <c r="A55" s="32">
        <v>2</v>
      </c>
      <c r="B55" s="32" t="s">
        <v>1451</v>
      </c>
      <c r="C55" s="32" t="s">
        <v>1452</v>
      </c>
      <c r="D55" s="32" t="s">
        <v>1224</v>
      </c>
      <c r="E55" s="32" t="s">
        <v>1453</v>
      </c>
      <c r="F55" s="32"/>
      <c r="G55" s="32" t="s">
        <v>1289</v>
      </c>
      <c r="H55" s="32" t="s">
        <v>1316</v>
      </c>
      <c r="I55" s="32"/>
      <c r="J55" s="32" t="s">
        <v>1288</v>
      </c>
      <c r="K55" s="32" t="s">
        <v>1312</v>
      </c>
      <c r="L55" s="32" t="s">
        <v>1313</v>
      </c>
      <c r="M55" s="32" t="s">
        <v>1314</v>
      </c>
      <c r="N55" s="32" t="s">
        <v>1315</v>
      </c>
      <c r="O55" s="32">
        <v>3</v>
      </c>
      <c r="P55" s="32">
        <v>0.04</v>
      </c>
      <c r="Q55" s="32">
        <v>0.1</v>
      </c>
      <c r="R55" s="32">
        <v>0.8</v>
      </c>
      <c r="S55" s="32">
        <v>6.7857142857142866E-2</v>
      </c>
      <c r="T55" s="32">
        <v>8.2857142857142865E-2</v>
      </c>
      <c r="U55" s="32">
        <v>2714285.714285715</v>
      </c>
      <c r="V55" s="32">
        <v>3314285.714285715</v>
      </c>
      <c r="W55" s="32"/>
      <c r="X55" s="32"/>
      <c r="Y55" s="32"/>
      <c r="Z55" s="32"/>
      <c r="AA55" s="32">
        <v>0.02</v>
      </c>
      <c r="AB55" s="32">
        <v>0.05</v>
      </c>
      <c r="AC55" s="32">
        <v>2.75E-2</v>
      </c>
      <c r="AD55" s="32">
        <v>0.15068493150684931</v>
      </c>
      <c r="AE55" s="32">
        <v>409001.95694716251</v>
      </c>
      <c r="AF55" s="32">
        <v>499412.915851272</v>
      </c>
      <c r="AG55" s="32" t="s">
        <v>1492</v>
      </c>
      <c r="AH55" s="32" t="s">
        <v>1538</v>
      </c>
      <c r="AI55" s="32" t="s">
        <v>1493</v>
      </c>
      <c r="AJ55" s="32"/>
      <c r="AK55" s="28"/>
      <c r="AL55" s="18" t="str">
        <f t="shared" si="0"/>
        <v>To what extent do you use should cost models to challenge and negotiate supplier pricing?_</v>
      </c>
    </row>
    <row r="56" spans="1:38" ht="43.5" x14ac:dyDescent="0.35">
      <c r="A56" s="32">
        <v>2</v>
      </c>
      <c r="B56" s="32" t="s">
        <v>1451</v>
      </c>
      <c r="C56" s="32" t="s">
        <v>1452</v>
      </c>
      <c r="D56" s="32" t="s">
        <v>1224</v>
      </c>
      <c r="E56" s="32" t="s">
        <v>1453</v>
      </c>
      <c r="F56" s="32"/>
      <c r="G56" s="32" t="s">
        <v>1289</v>
      </c>
      <c r="H56" s="32" t="s">
        <v>1316</v>
      </c>
      <c r="I56" s="32"/>
      <c r="J56" s="32" t="s">
        <v>1288</v>
      </c>
      <c r="K56" s="32" t="s">
        <v>1312</v>
      </c>
      <c r="L56" s="32" t="s">
        <v>1313</v>
      </c>
      <c r="M56" s="32" t="s">
        <v>1314</v>
      </c>
      <c r="N56" s="32" t="s">
        <v>1315</v>
      </c>
      <c r="O56" s="32">
        <v>3</v>
      </c>
      <c r="P56" s="32">
        <v>0.04</v>
      </c>
      <c r="Q56" s="32">
        <v>0.1</v>
      </c>
      <c r="R56" s="32">
        <v>0.8</v>
      </c>
      <c r="S56" s="32">
        <v>6.7857142857142866E-2</v>
      </c>
      <c r="T56" s="32">
        <v>8.2857142857142865E-2</v>
      </c>
      <c r="U56" s="32">
        <v>2714285.714285715</v>
      </c>
      <c r="V56" s="32">
        <v>3314285.714285715</v>
      </c>
      <c r="W56" s="32"/>
      <c r="X56" s="32"/>
      <c r="Y56" s="32"/>
      <c r="Z56" s="32"/>
      <c r="AA56" s="32">
        <v>0.02</v>
      </c>
      <c r="AB56" s="32">
        <v>0.05</v>
      </c>
      <c r="AC56" s="32">
        <v>2.75E-2</v>
      </c>
      <c r="AD56" s="32">
        <v>0.15068493150684931</v>
      </c>
      <c r="AE56" s="32">
        <v>409001.95694716251</v>
      </c>
      <c r="AF56" s="32">
        <v>499412.915851272</v>
      </c>
      <c r="AG56" s="32" t="s">
        <v>1494</v>
      </c>
      <c r="AH56" s="32" t="s">
        <v>1539</v>
      </c>
      <c r="AI56" s="32" t="s">
        <v>1493</v>
      </c>
      <c r="AJ56" s="32"/>
      <c r="AK56" s="28"/>
      <c r="AL56" s="18" t="str">
        <f t="shared" si="0"/>
        <v>To what extent do you use should cost models to challenge and negotiate supplier pricing?_</v>
      </c>
    </row>
    <row r="57" spans="1:38" ht="43.5" x14ac:dyDescent="0.35">
      <c r="A57" s="32">
        <v>2</v>
      </c>
      <c r="B57" s="32" t="s">
        <v>1451</v>
      </c>
      <c r="C57" s="32" t="s">
        <v>1452</v>
      </c>
      <c r="D57" s="32" t="s">
        <v>1224</v>
      </c>
      <c r="E57" s="32" t="s">
        <v>1453</v>
      </c>
      <c r="F57" s="32"/>
      <c r="G57" s="32" t="s">
        <v>1289</v>
      </c>
      <c r="H57" s="32" t="s">
        <v>1316</v>
      </c>
      <c r="I57" s="32"/>
      <c r="J57" s="32" t="s">
        <v>1288</v>
      </c>
      <c r="K57" s="32" t="s">
        <v>1312</v>
      </c>
      <c r="L57" s="32" t="s">
        <v>1313</v>
      </c>
      <c r="M57" s="32" t="s">
        <v>1314</v>
      </c>
      <c r="N57" s="32" t="s">
        <v>1315</v>
      </c>
      <c r="O57" s="32">
        <v>3</v>
      </c>
      <c r="P57" s="32">
        <v>0.04</v>
      </c>
      <c r="Q57" s="32">
        <v>0.1</v>
      </c>
      <c r="R57" s="32">
        <v>0.8</v>
      </c>
      <c r="S57" s="32">
        <v>6.7857142857142866E-2</v>
      </c>
      <c r="T57" s="32">
        <v>8.2857142857142865E-2</v>
      </c>
      <c r="U57" s="32">
        <v>2714285.714285715</v>
      </c>
      <c r="V57" s="32">
        <v>3314285.714285715</v>
      </c>
      <c r="W57" s="32"/>
      <c r="X57" s="32"/>
      <c r="Y57" s="32"/>
      <c r="Z57" s="32"/>
      <c r="AA57" s="32">
        <v>0.02</v>
      </c>
      <c r="AB57" s="32">
        <v>0.05</v>
      </c>
      <c r="AC57" s="32">
        <v>2.75E-2</v>
      </c>
      <c r="AD57" s="32">
        <v>0.15068493150684931</v>
      </c>
      <c r="AE57" s="32">
        <v>409001.95694716251</v>
      </c>
      <c r="AF57" s="32">
        <v>499412.915851272</v>
      </c>
      <c r="AG57" s="32" t="s">
        <v>1495</v>
      </c>
      <c r="AH57" s="32"/>
      <c r="AI57" s="32" t="s">
        <v>1493</v>
      </c>
      <c r="AJ57" s="32"/>
      <c r="AK57" s="28"/>
      <c r="AL57" s="18" t="str">
        <f t="shared" si="0"/>
        <v>To what extent do you use should cost models to challenge and negotiate supplier pricing?_</v>
      </c>
    </row>
    <row r="58" spans="1:38" ht="43.5" x14ac:dyDescent="0.35">
      <c r="A58" s="32">
        <v>2</v>
      </c>
      <c r="B58" s="32" t="s">
        <v>1451</v>
      </c>
      <c r="C58" s="32" t="s">
        <v>1452</v>
      </c>
      <c r="D58" s="32" t="s">
        <v>1224</v>
      </c>
      <c r="E58" s="32" t="s">
        <v>1453</v>
      </c>
      <c r="F58" s="32"/>
      <c r="G58" s="32" t="s">
        <v>1289</v>
      </c>
      <c r="H58" s="32" t="s">
        <v>1316</v>
      </c>
      <c r="I58" s="32"/>
      <c r="J58" s="32" t="s">
        <v>1288</v>
      </c>
      <c r="K58" s="32" t="s">
        <v>1312</v>
      </c>
      <c r="L58" s="32" t="s">
        <v>1313</v>
      </c>
      <c r="M58" s="32" t="s">
        <v>1314</v>
      </c>
      <c r="N58" s="32" t="s">
        <v>1315</v>
      </c>
      <c r="O58" s="32">
        <v>3</v>
      </c>
      <c r="P58" s="32">
        <v>0.04</v>
      </c>
      <c r="Q58" s="32">
        <v>0.1</v>
      </c>
      <c r="R58" s="32">
        <v>0.8</v>
      </c>
      <c r="S58" s="32">
        <v>6.7857142857142866E-2</v>
      </c>
      <c r="T58" s="32">
        <v>8.2857142857142865E-2</v>
      </c>
      <c r="U58" s="32">
        <v>2714285.714285715</v>
      </c>
      <c r="V58" s="32">
        <v>3314285.714285715</v>
      </c>
      <c r="W58" s="32"/>
      <c r="X58" s="32"/>
      <c r="Y58" s="32"/>
      <c r="Z58" s="32"/>
      <c r="AA58" s="32">
        <v>0.02</v>
      </c>
      <c r="AB58" s="32">
        <v>0.05</v>
      </c>
      <c r="AC58" s="32">
        <v>2.75E-2</v>
      </c>
      <c r="AD58" s="32">
        <v>0.15068493150684931</v>
      </c>
      <c r="AE58" s="32">
        <v>409001.95694716251</v>
      </c>
      <c r="AF58" s="32">
        <v>499412.915851272</v>
      </c>
      <c r="AG58" s="32" t="s">
        <v>1496</v>
      </c>
      <c r="AH58" s="32"/>
      <c r="AI58" s="32" t="s">
        <v>1493</v>
      </c>
      <c r="AJ58" s="32"/>
      <c r="AK58" s="28"/>
      <c r="AL58" s="18" t="str">
        <f t="shared" si="0"/>
        <v>To what extent do you use should cost models to challenge and negotiate supplier pricing?_</v>
      </c>
    </row>
    <row r="59" spans="1:38" ht="43.5" x14ac:dyDescent="0.35">
      <c r="A59" s="32">
        <v>2</v>
      </c>
      <c r="B59" s="32" t="s">
        <v>1451</v>
      </c>
      <c r="C59" s="32" t="s">
        <v>1452</v>
      </c>
      <c r="D59" s="32" t="s">
        <v>1224</v>
      </c>
      <c r="E59" s="32" t="s">
        <v>1453</v>
      </c>
      <c r="F59" s="32"/>
      <c r="G59" s="32" t="s">
        <v>1289</v>
      </c>
      <c r="H59" s="32" t="s">
        <v>1316</v>
      </c>
      <c r="I59" s="32"/>
      <c r="J59" s="32" t="s">
        <v>1288</v>
      </c>
      <c r="K59" s="32" t="s">
        <v>1312</v>
      </c>
      <c r="L59" s="32" t="s">
        <v>1313</v>
      </c>
      <c r="M59" s="32" t="s">
        <v>1314</v>
      </c>
      <c r="N59" s="32" t="s">
        <v>1315</v>
      </c>
      <c r="O59" s="32">
        <v>3</v>
      </c>
      <c r="P59" s="32">
        <v>0.04</v>
      </c>
      <c r="Q59" s="32">
        <v>0.1</v>
      </c>
      <c r="R59" s="32">
        <v>0.8</v>
      </c>
      <c r="S59" s="32">
        <v>6.7857142857142866E-2</v>
      </c>
      <c r="T59" s="32">
        <v>8.2857142857142865E-2</v>
      </c>
      <c r="U59" s="32">
        <v>2714285.714285715</v>
      </c>
      <c r="V59" s="32">
        <v>3314285.714285715</v>
      </c>
      <c r="W59" s="32"/>
      <c r="X59" s="32"/>
      <c r="Y59" s="32"/>
      <c r="Z59" s="32"/>
      <c r="AA59" s="32">
        <v>0.02</v>
      </c>
      <c r="AB59" s="32">
        <v>0.05</v>
      </c>
      <c r="AC59" s="32">
        <v>2.75E-2</v>
      </c>
      <c r="AD59" s="32">
        <v>0.15068493150684931</v>
      </c>
      <c r="AE59" s="32">
        <v>409001.95694716251</v>
      </c>
      <c r="AF59" s="32">
        <v>499412.915851272</v>
      </c>
      <c r="AG59" s="32" t="s">
        <v>1499</v>
      </c>
      <c r="AH59" s="32"/>
      <c r="AI59" s="32" t="s">
        <v>1493</v>
      </c>
      <c r="AJ59" s="32"/>
      <c r="AK59" s="28"/>
      <c r="AL59" s="18" t="str">
        <f t="shared" si="0"/>
        <v>To what extent do you use should cost models to challenge and negotiate supplier pricing?_</v>
      </c>
    </row>
    <row r="60" spans="1:38" ht="43.5" x14ac:dyDescent="0.35">
      <c r="A60" s="32">
        <v>2</v>
      </c>
      <c r="B60" s="32" t="s">
        <v>1451</v>
      </c>
      <c r="C60" s="32" t="s">
        <v>1452</v>
      </c>
      <c r="D60" s="32" t="s">
        <v>1224</v>
      </c>
      <c r="E60" s="32" t="s">
        <v>1453</v>
      </c>
      <c r="F60" s="32"/>
      <c r="G60" s="32" t="s">
        <v>1289</v>
      </c>
      <c r="H60" s="32" t="s">
        <v>1316</v>
      </c>
      <c r="I60" s="32"/>
      <c r="J60" s="32" t="s">
        <v>1288</v>
      </c>
      <c r="K60" s="32" t="s">
        <v>1312</v>
      </c>
      <c r="L60" s="32" t="s">
        <v>1313</v>
      </c>
      <c r="M60" s="32" t="s">
        <v>1314</v>
      </c>
      <c r="N60" s="32" t="s">
        <v>1315</v>
      </c>
      <c r="O60" s="32">
        <v>3</v>
      </c>
      <c r="P60" s="32">
        <v>0.04</v>
      </c>
      <c r="Q60" s="32">
        <v>0.1</v>
      </c>
      <c r="R60" s="32">
        <v>0.8</v>
      </c>
      <c r="S60" s="32">
        <v>6.7857142857142866E-2</v>
      </c>
      <c r="T60" s="32">
        <v>8.2857142857142865E-2</v>
      </c>
      <c r="U60" s="32">
        <v>2714285.714285715</v>
      </c>
      <c r="V60" s="32">
        <v>3314285.714285715</v>
      </c>
      <c r="W60" s="32"/>
      <c r="X60" s="32"/>
      <c r="Y60" s="32"/>
      <c r="Z60" s="32"/>
      <c r="AA60" s="32">
        <v>0.02</v>
      </c>
      <c r="AB60" s="32">
        <v>0.05</v>
      </c>
      <c r="AC60" s="32">
        <v>2.75E-2</v>
      </c>
      <c r="AD60" s="32">
        <v>0.15068493150684931</v>
      </c>
      <c r="AE60" s="32">
        <v>409001.95694716251</v>
      </c>
      <c r="AF60" s="32">
        <v>499412.915851272</v>
      </c>
      <c r="AG60" s="32" t="s">
        <v>1500</v>
      </c>
      <c r="AH60" s="32"/>
      <c r="AI60" s="32" t="s">
        <v>1493</v>
      </c>
      <c r="AJ60" s="32"/>
      <c r="AK60" s="28"/>
      <c r="AL60" s="18" t="str">
        <f t="shared" si="0"/>
        <v>To what extent do you use should cost models to challenge and negotiate supplier pricing?_</v>
      </c>
    </row>
    <row r="61" spans="1:38" ht="43.5" x14ac:dyDescent="0.35">
      <c r="A61" s="32">
        <v>2</v>
      </c>
      <c r="B61" s="32" t="s">
        <v>1451</v>
      </c>
      <c r="C61" s="32" t="s">
        <v>1452</v>
      </c>
      <c r="D61" s="32" t="s">
        <v>1224</v>
      </c>
      <c r="E61" s="32" t="s">
        <v>1453</v>
      </c>
      <c r="F61" s="32"/>
      <c r="G61" s="32" t="s">
        <v>1289</v>
      </c>
      <c r="H61" s="32" t="s">
        <v>1316</v>
      </c>
      <c r="I61" s="32"/>
      <c r="J61" s="32" t="s">
        <v>1288</v>
      </c>
      <c r="K61" s="32" t="s">
        <v>1312</v>
      </c>
      <c r="L61" s="32" t="s">
        <v>1313</v>
      </c>
      <c r="M61" s="32" t="s">
        <v>1314</v>
      </c>
      <c r="N61" s="32" t="s">
        <v>1315</v>
      </c>
      <c r="O61" s="32">
        <v>3</v>
      </c>
      <c r="P61" s="32">
        <v>0.04</v>
      </c>
      <c r="Q61" s="32">
        <v>0.1</v>
      </c>
      <c r="R61" s="32">
        <v>0.8</v>
      </c>
      <c r="S61" s="32">
        <v>6.7857142857142866E-2</v>
      </c>
      <c r="T61" s="32">
        <v>8.2857142857142865E-2</v>
      </c>
      <c r="U61" s="32">
        <v>2714285.714285715</v>
      </c>
      <c r="V61" s="32">
        <v>3314285.714285715</v>
      </c>
      <c r="W61" s="32"/>
      <c r="X61" s="32"/>
      <c r="Y61" s="32"/>
      <c r="Z61" s="32"/>
      <c r="AA61" s="32">
        <v>0.02</v>
      </c>
      <c r="AB61" s="32">
        <v>0.05</v>
      </c>
      <c r="AC61" s="32">
        <v>2.75E-2</v>
      </c>
      <c r="AD61" s="32">
        <v>0.15068493150684931</v>
      </c>
      <c r="AE61" s="32">
        <v>409001.95694716251</v>
      </c>
      <c r="AF61" s="32">
        <v>499412.915851272</v>
      </c>
      <c r="AG61" s="32" t="s">
        <v>1501</v>
      </c>
      <c r="AH61" s="32"/>
      <c r="AI61" s="32" t="s">
        <v>1493</v>
      </c>
      <c r="AJ61" s="32"/>
      <c r="AK61" s="28"/>
      <c r="AL61" s="18" t="str">
        <f t="shared" si="0"/>
        <v>To what extent do you use should cost models to challenge and negotiate supplier pricing?_</v>
      </c>
    </row>
    <row r="62" spans="1:38" ht="43.5" x14ac:dyDescent="0.35">
      <c r="A62" s="32">
        <v>2</v>
      </c>
      <c r="B62" s="32" t="s">
        <v>1451</v>
      </c>
      <c r="C62" s="32" t="s">
        <v>1452</v>
      </c>
      <c r="D62" s="32" t="s">
        <v>1224</v>
      </c>
      <c r="E62" s="32" t="s">
        <v>1453</v>
      </c>
      <c r="F62" s="32"/>
      <c r="G62" s="32" t="s">
        <v>1289</v>
      </c>
      <c r="H62" s="32" t="s">
        <v>1316</v>
      </c>
      <c r="I62" s="32"/>
      <c r="J62" s="32" t="s">
        <v>1288</v>
      </c>
      <c r="K62" s="32" t="s">
        <v>1312</v>
      </c>
      <c r="L62" s="32" t="s">
        <v>1313</v>
      </c>
      <c r="M62" s="32" t="s">
        <v>1314</v>
      </c>
      <c r="N62" s="32" t="s">
        <v>1315</v>
      </c>
      <c r="O62" s="32">
        <v>3</v>
      </c>
      <c r="P62" s="32">
        <v>0.04</v>
      </c>
      <c r="Q62" s="32">
        <v>0.1</v>
      </c>
      <c r="R62" s="32">
        <v>0.8</v>
      </c>
      <c r="S62" s="32">
        <v>6.7857142857142866E-2</v>
      </c>
      <c r="T62" s="32">
        <v>8.2857142857142865E-2</v>
      </c>
      <c r="U62" s="32">
        <v>2714285.714285715</v>
      </c>
      <c r="V62" s="32">
        <v>3314285.714285715</v>
      </c>
      <c r="W62" s="32"/>
      <c r="X62" s="32"/>
      <c r="Y62" s="32"/>
      <c r="Z62" s="32"/>
      <c r="AA62" s="32">
        <v>0.02</v>
      </c>
      <c r="AB62" s="32">
        <v>0.05</v>
      </c>
      <c r="AC62" s="32">
        <v>2.75E-2</v>
      </c>
      <c r="AD62" s="32">
        <v>0.15068493150684931</v>
      </c>
      <c r="AE62" s="32">
        <v>409001.95694716251</v>
      </c>
      <c r="AF62" s="32">
        <v>499412.915851272</v>
      </c>
      <c r="AG62" s="32" t="s">
        <v>1502</v>
      </c>
      <c r="AH62" s="32"/>
      <c r="AI62" s="32" t="s">
        <v>1493</v>
      </c>
      <c r="AJ62" s="32"/>
      <c r="AK62" s="28"/>
      <c r="AL62" s="18" t="str">
        <f t="shared" si="0"/>
        <v>To what extent do you use should cost models to challenge and negotiate supplier pricing?_</v>
      </c>
    </row>
    <row r="63" spans="1:38" ht="43.5" x14ac:dyDescent="0.35">
      <c r="A63" s="32">
        <v>2</v>
      </c>
      <c r="B63" s="32" t="s">
        <v>1451</v>
      </c>
      <c r="C63" s="32" t="s">
        <v>1452</v>
      </c>
      <c r="D63" s="32" t="s">
        <v>1224</v>
      </c>
      <c r="E63" s="32" t="s">
        <v>1453</v>
      </c>
      <c r="F63" s="32"/>
      <c r="G63" s="32" t="s">
        <v>1289</v>
      </c>
      <c r="H63" s="32" t="s">
        <v>1316</v>
      </c>
      <c r="I63" s="32"/>
      <c r="J63" s="32" t="s">
        <v>1288</v>
      </c>
      <c r="K63" s="32" t="s">
        <v>1312</v>
      </c>
      <c r="L63" s="32" t="s">
        <v>1313</v>
      </c>
      <c r="M63" s="32" t="s">
        <v>1314</v>
      </c>
      <c r="N63" s="32" t="s">
        <v>1315</v>
      </c>
      <c r="O63" s="32">
        <v>3</v>
      </c>
      <c r="P63" s="32">
        <v>0.04</v>
      </c>
      <c r="Q63" s="32">
        <v>0.1</v>
      </c>
      <c r="R63" s="32">
        <v>0.8</v>
      </c>
      <c r="S63" s="32">
        <v>6.7857142857142866E-2</v>
      </c>
      <c r="T63" s="32">
        <v>8.2857142857142865E-2</v>
      </c>
      <c r="U63" s="32">
        <v>2714285.714285715</v>
      </c>
      <c r="V63" s="32">
        <v>3314285.714285715</v>
      </c>
      <c r="W63" s="32"/>
      <c r="X63" s="32"/>
      <c r="Y63" s="32"/>
      <c r="Z63" s="32"/>
      <c r="AA63" s="32">
        <v>0.02</v>
      </c>
      <c r="AB63" s="32">
        <v>0.05</v>
      </c>
      <c r="AC63" s="32">
        <v>2.75E-2</v>
      </c>
      <c r="AD63" s="32">
        <v>0.15068493150684931</v>
      </c>
      <c r="AE63" s="32">
        <v>409001.95694716251</v>
      </c>
      <c r="AF63" s="32">
        <v>499412.915851272</v>
      </c>
      <c r="AG63" s="32" t="s">
        <v>1503</v>
      </c>
      <c r="AH63" s="32"/>
      <c r="AI63" s="32" t="s">
        <v>1493</v>
      </c>
      <c r="AJ63" s="32"/>
      <c r="AK63" s="28"/>
      <c r="AL63" s="18" t="str">
        <f t="shared" si="0"/>
        <v>To what extent do you use should cost models to challenge and negotiate supplier pricing?_</v>
      </c>
    </row>
    <row r="64" spans="1:38" ht="43.5" x14ac:dyDescent="0.35">
      <c r="A64" s="32">
        <v>2</v>
      </c>
      <c r="B64" s="32" t="s">
        <v>1451</v>
      </c>
      <c r="C64" s="32" t="s">
        <v>1452</v>
      </c>
      <c r="D64" s="32" t="s">
        <v>1224</v>
      </c>
      <c r="E64" s="32" t="s">
        <v>1453</v>
      </c>
      <c r="F64" s="32"/>
      <c r="G64" s="32" t="s">
        <v>1289</v>
      </c>
      <c r="H64" s="32" t="s">
        <v>1316</v>
      </c>
      <c r="I64" s="32"/>
      <c r="J64" s="32" t="s">
        <v>1288</v>
      </c>
      <c r="K64" s="32" t="s">
        <v>1312</v>
      </c>
      <c r="L64" s="32" t="s">
        <v>1313</v>
      </c>
      <c r="M64" s="32" t="s">
        <v>1314</v>
      </c>
      <c r="N64" s="32" t="s">
        <v>1315</v>
      </c>
      <c r="O64" s="32">
        <v>3</v>
      </c>
      <c r="P64" s="32">
        <v>0.04</v>
      </c>
      <c r="Q64" s="32">
        <v>0.1</v>
      </c>
      <c r="R64" s="32">
        <v>0.8</v>
      </c>
      <c r="S64" s="32">
        <v>6.7857142857142866E-2</v>
      </c>
      <c r="T64" s="32">
        <v>8.2857142857142865E-2</v>
      </c>
      <c r="U64" s="32">
        <v>2714285.714285715</v>
      </c>
      <c r="V64" s="32">
        <v>3314285.714285715</v>
      </c>
      <c r="W64" s="32"/>
      <c r="X64" s="32"/>
      <c r="Y64" s="32"/>
      <c r="Z64" s="32"/>
      <c r="AA64" s="32">
        <v>0.02</v>
      </c>
      <c r="AB64" s="32">
        <v>0.05</v>
      </c>
      <c r="AC64" s="32">
        <v>2.75E-2</v>
      </c>
      <c r="AD64" s="32">
        <v>0.15068493150684931</v>
      </c>
      <c r="AE64" s="32">
        <v>409001.95694716251</v>
      </c>
      <c r="AF64" s="32">
        <v>499412.915851272</v>
      </c>
      <c r="AG64" s="32" t="s">
        <v>1504</v>
      </c>
      <c r="AH64" s="32"/>
      <c r="AI64" s="32" t="s">
        <v>1493</v>
      </c>
      <c r="AJ64" s="32"/>
      <c r="AK64" s="28"/>
      <c r="AL64" s="18" t="str">
        <f t="shared" si="0"/>
        <v>To what extent do you use should cost models to challenge and negotiate supplier pricing?_</v>
      </c>
    </row>
    <row r="65" spans="1:38" ht="43.5" x14ac:dyDescent="0.35">
      <c r="A65" s="32">
        <v>2</v>
      </c>
      <c r="B65" s="32" t="s">
        <v>1451</v>
      </c>
      <c r="C65" s="32" t="s">
        <v>1452</v>
      </c>
      <c r="D65" s="32" t="s">
        <v>1224</v>
      </c>
      <c r="E65" s="32" t="s">
        <v>1453</v>
      </c>
      <c r="F65" s="32"/>
      <c r="G65" s="32" t="s">
        <v>1289</v>
      </c>
      <c r="H65" s="32" t="s">
        <v>1316</v>
      </c>
      <c r="I65" s="32"/>
      <c r="J65" s="32" t="s">
        <v>1288</v>
      </c>
      <c r="K65" s="32" t="s">
        <v>1312</v>
      </c>
      <c r="L65" s="32" t="s">
        <v>1313</v>
      </c>
      <c r="M65" s="32" t="s">
        <v>1314</v>
      </c>
      <c r="N65" s="32" t="s">
        <v>1315</v>
      </c>
      <c r="O65" s="32">
        <v>3</v>
      </c>
      <c r="P65" s="32">
        <v>0.04</v>
      </c>
      <c r="Q65" s="32">
        <v>0.1</v>
      </c>
      <c r="R65" s="32">
        <v>0.8</v>
      </c>
      <c r="S65" s="32">
        <v>6.7857142857142866E-2</v>
      </c>
      <c r="T65" s="32">
        <v>8.2857142857142865E-2</v>
      </c>
      <c r="U65" s="32">
        <v>2714285.714285715</v>
      </c>
      <c r="V65" s="32">
        <v>3314285.714285715</v>
      </c>
      <c r="W65" s="32"/>
      <c r="X65" s="32"/>
      <c r="Y65" s="32"/>
      <c r="Z65" s="32"/>
      <c r="AA65" s="32">
        <v>0.02</v>
      </c>
      <c r="AB65" s="32">
        <v>0.05</v>
      </c>
      <c r="AC65" s="32">
        <v>2.75E-2</v>
      </c>
      <c r="AD65" s="32">
        <v>0.15068493150684931</v>
      </c>
      <c r="AE65" s="32">
        <v>409001.95694716251</v>
      </c>
      <c r="AF65" s="32">
        <v>499412.915851272</v>
      </c>
      <c r="AG65" s="32" t="s">
        <v>1505</v>
      </c>
      <c r="AH65" s="32"/>
      <c r="AI65" s="32" t="s">
        <v>1493</v>
      </c>
      <c r="AJ65" s="32"/>
      <c r="AK65" s="28"/>
      <c r="AL65" s="18" t="str">
        <f t="shared" si="0"/>
        <v>To what extent do you use should cost models to challenge and negotiate supplier pricing?_</v>
      </c>
    </row>
    <row r="66" spans="1:38" ht="87" x14ac:dyDescent="0.35">
      <c r="A66" s="32">
        <v>2</v>
      </c>
      <c r="B66" s="32" t="s">
        <v>1451</v>
      </c>
      <c r="C66" s="32" t="s">
        <v>1452</v>
      </c>
      <c r="D66" s="32" t="s">
        <v>1224</v>
      </c>
      <c r="E66" s="32" t="s">
        <v>1453</v>
      </c>
      <c r="F66" s="32"/>
      <c r="G66" s="32" t="s">
        <v>1289</v>
      </c>
      <c r="H66" s="32" t="s">
        <v>1316</v>
      </c>
      <c r="I66" s="32"/>
      <c r="J66" s="32" t="s">
        <v>1288</v>
      </c>
      <c r="K66" s="32" t="s">
        <v>1312</v>
      </c>
      <c r="L66" s="32" t="s">
        <v>1313</v>
      </c>
      <c r="M66" s="32" t="s">
        <v>1314</v>
      </c>
      <c r="N66" s="32" t="s">
        <v>1315</v>
      </c>
      <c r="O66" s="32">
        <v>3</v>
      </c>
      <c r="P66" s="32">
        <v>0.04</v>
      </c>
      <c r="Q66" s="32">
        <v>0.1</v>
      </c>
      <c r="R66" s="32">
        <v>0.8</v>
      </c>
      <c r="S66" s="32">
        <v>6.7857142857142866E-2</v>
      </c>
      <c r="T66" s="32">
        <v>8.2857142857142865E-2</v>
      </c>
      <c r="U66" s="32">
        <v>2714285.714285715</v>
      </c>
      <c r="V66" s="32">
        <v>3314285.714285715</v>
      </c>
      <c r="W66" s="32"/>
      <c r="X66" s="32"/>
      <c r="Y66" s="32"/>
      <c r="Z66" s="32"/>
      <c r="AA66" s="32">
        <v>0.02</v>
      </c>
      <c r="AB66" s="32">
        <v>0.05</v>
      </c>
      <c r="AC66" s="32">
        <v>2.75E-2</v>
      </c>
      <c r="AD66" s="32">
        <v>0.15068493150684931</v>
      </c>
      <c r="AE66" s="32">
        <v>409001.95694716251</v>
      </c>
      <c r="AF66" s="32">
        <v>499412.915851272</v>
      </c>
      <c r="AG66" s="32" t="s">
        <v>1506</v>
      </c>
      <c r="AH66" s="32"/>
      <c r="AI66" s="32" t="s">
        <v>1493</v>
      </c>
      <c r="AJ66" s="32" t="s">
        <v>1540</v>
      </c>
      <c r="AK66" s="28" t="s">
        <v>2056</v>
      </c>
      <c r="AL66" s="18" t="str">
        <f t="shared" si="0"/>
        <v>To what extent do you use should cost models to challenge and negotiate supplier pricing?_If available, explain how tariffs could impact the cost model for a given combination of source-to-destination</v>
      </c>
    </row>
    <row r="67" spans="1:38" ht="43.5" x14ac:dyDescent="0.35">
      <c r="A67" s="32">
        <v>2</v>
      </c>
      <c r="B67" s="32" t="s">
        <v>1451</v>
      </c>
      <c r="C67" s="32" t="s">
        <v>1452</v>
      </c>
      <c r="D67" s="32" t="s">
        <v>1224</v>
      </c>
      <c r="E67" s="32" t="s">
        <v>1453</v>
      </c>
      <c r="F67" s="32"/>
      <c r="G67" s="32" t="s">
        <v>1289</v>
      </c>
      <c r="H67" s="32" t="s">
        <v>1316</v>
      </c>
      <c r="I67" s="32"/>
      <c r="J67" s="32" t="s">
        <v>1288</v>
      </c>
      <c r="K67" s="32" t="s">
        <v>1312</v>
      </c>
      <c r="L67" s="32" t="s">
        <v>1313</v>
      </c>
      <c r="M67" s="32" t="s">
        <v>1314</v>
      </c>
      <c r="N67" s="32" t="s">
        <v>1315</v>
      </c>
      <c r="O67" s="32">
        <v>3</v>
      </c>
      <c r="P67" s="32">
        <v>0.04</v>
      </c>
      <c r="Q67" s="32">
        <v>0.1</v>
      </c>
      <c r="R67" s="32">
        <v>0.8</v>
      </c>
      <c r="S67" s="32">
        <v>6.7857142857142866E-2</v>
      </c>
      <c r="T67" s="32">
        <v>8.2857142857142865E-2</v>
      </c>
      <c r="U67" s="32">
        <v>2714285.714285715</v>
      </c>
      <c r="V67" s="32">
        <v>3314285.714285715</v>
      </c>
      <c r="W67" s="32"/>
      <c r="X67" s="32"/>
      <c r="Y67" s="32"/>
      <c r="Z67" s="32"/>
      <c r="AA67" s="32">
        <v>0.02</v>
      </c>
      <c r="AB67" s="32">
        <v>0.05</v>
      </c>
      <c r="AC67" s="32">
        <v>2.75E-2</v>
      </c>
      <c r="AD67" s="32">
        <v>0.15068493150684931</v>
      </c>
      <c r="AE67" s="32">
        <v>409001.95694716251</v>
      </c>
      <c r="AF67" s="32">
        <v>499412.915851272</v>
      </c>
      <c r="AG67" s="32" t="s">
        <v>1507</v>
      </c>
      <c r="AH67" s="32"/>
      <c r="AI67" s="32" t="s">
        <v>1493</v>
      </c>
      <c r="AJ67" s="32"/>
      <c r="AK67" s="28"/>
      <c r="AL67" s="18" t="str">
        <f t="shared" ref="AL67:AL130" si="1">CONCATENATE(G67,"_",AJ67)</f>
        <v>To what extent do you use should cost models to challenge and negotiate supplier pricing?_</v>
      </c>
    </row>
    <row r="68" spans="1:38" ht="101.5" x14ac:dyDescent="0.35">
      <c r="A68" s="32">
        <v>2</v>
      </c>
      <c r="B68" s="32" t="s">
        <v>1451</v>
      </c>
      <c r="C68" s="32" t="s">
        <v>1452</v>
      </c>
      <c r="D68" s="32" t="s">
        <v>1224</v>
      </c>
      <c r="E68" s="32" t="s">
        <v>1453</v>
      </c>
      <c r="F68" s="32"/>
      <c r="G68" s="32" t="s">
        <v>1289</v>
      </c>
      <c r="H68" s="32" t="s">
        <v>1316</v>
      </c>
      <c r="I68" s="32"/>
      <c r="J68" s="32" t="s">
        <v>1288</v>
      </c>
      <c r="K68" s="32" t="s">
        <v>1312</v>
      </c>
      <c r="L68" s="32" t="s">
        <v>1313</v>
      </c>
      <c r="M68" s="32" t="s">
        <v>1314</v>
      </c>
      <c r="N68" s="32" t="s">
        <v>1315</v>
      </c>
      <c r="O68" s="32">
        <v>3</v>
      </c>
      <c r="P68" s="32">
        <v>0.04</v>
      </c>
      <c r="Q68" s="32">
        <v>0.1</v>
      </c>
      <c r="R68" s="32">
        <v>0.8</v>
      </c>
      <c r="S68" s="32">
        <v>6.7857142857142866E-2</v>
      </c>
      <c r="T68" s="32">
        <v>8.2857142857142865E-2</v>
      </c>
      <c r="U68" s="32">
        <v>2714285.714285715</v>
      </c>
      <c r="V68" s="32">
        <v>3314285.714285715</v>
      </c>
      <c r="W68" s="32"/>
      <c r="X68" s="32"/>
      <c r="Y68" s="32"/>
      <c r="Z68" s="32"/>
      <c r="AA68" s="32">
        <v>0.02</v>
      </c>
      <c r="AB68" s="32">
        <v>0.05</v>
      </c>
      <c r="AC68" s="32">
        <v>2.75E-2</v>
      </c>
      <c r="AD68" s="32">
        <v>0.15068493150684931</v>
      </c>
      <c r="AE68" s="32">
        <v>409001.95694716251</v>
      </c>
      <c r="AF68" s="32">
        <v>499412.915851272</v>
      </c>
      <c r="AG68" s="32" t="s">
        <v>1508</v>
      </c>
      <c r="AH68" s="32"/>
      <c r="AI68" s="32" t="s">
        <v>1493</v>
      </c>
      <c r="AJ68" s="32" t="s">
        <v>1544</v>
      </c>
      <c r="AK68" s="28" t="s">
        <v>2057</v>
      </c>
      <c r="AL68" s="18" t="str">
        <f t="shared" si="1"/>
        <v>To what extent do you use should cost models to challenge and negotiate supplier pricing?_Share examples of location-specific cost models, compare across regions - prioritize the regions that appear within the client's spend data. Mention key trends across cost drivers with a forwad looking view if available</v>
      </c>
    </row>
    <row r="69" spans="1:38" ht="43.5" x14ac:dyDescent="0.35">
      <c r="A69" s="32">
        <v>2</v>
      </c>
      <c r="B69" s="32" t="s">
        <v>1451</v>
      </c>
      <c r="C69" s="32" t="s">
        <v>1452</v>
      </c>
      <c r="D69" s="32" t="s">
        <v>1224</v>
      </c>
      <c r="E69" s="32" t="s">
        <v>1453</v>
      </c>
      <c r="F69" s="32"/>
      <c r="G69" s="32" t="s">
        <v>1289</v>
      </c>
      <c r="H69" s="32" t="s">
        <v>1316</v>
      </c>
      <c r="I69" s="32"/>
      <c r="J69" s="32" t="s">
        <v>1288</v>
      </c>
      <c r="K69" s="32" t="s">
        <v>1312</v>
      </c>
      <c r="L69" s="32" t="s">
        <v>1313</v>
      </c>
      <c r="M69" s="32" t="s">
        <v>1314</v>
      </c>
      <c r="N69" s="32" t="s">
        <v>1315</v>
      </c>
      <c r="O69" s="32">
        <v>3</v>
      </c>
      <c r="P69" s="32">
        <v>0.04</v>
      </c>
      <c r="Q69" s="32">
        <v>0.1</v>
      </c>
      <c r="R69" s="32">
        <v>0.8</v>
      </c>
      <c r="S69" s="32">
        <v>6.7857142857142866E-2</v>
      </c>
      <c r="T69" s="32">
        <v>8.2857142857142865E-2</v>
      </c>
      <c r="U69" s="32">
        <v>2714285.714285715</v>
      </c>
      <c r="V69" s="32">
        <v>3314285.714285715</v>
      </c>
      <c r="W69" s="32"/>
      <c r="X69" s="32"/>
      <c r="Y69" s="32"/>
      <c r="Z69" s="32"/>
      <c r="AA69" s="32">
        <v>0.02</v>
      </c>
      <c r="AB69" s="32">
        <v>0.05</v>
      </c>
      <c r="AC69" s="32">
        <v>2.75E-2</v>
      </c>
      <c r="AD69" s="32">
        <v>0.15068493150684931</v>
      </c>
      <c r="AE69" s="32">
        <v>409001.95694716251</v>
      </c>
      <c r="AF69" s="32">
        <v>499412.915851272</v>
      </c>
      <c r="AG69" s="32" t="s">
        <v>1509</v>
      </c>
      <c r="AH69" s="32"/>
      <c r="AI69" s="32" t="s">
        <v>1493</v>
      </c>
      <c r="AJ69" s="32"/>
      <c r="AK69" s="28"/>
      <c r="AL69" s="18" t="str">
        <f t="shared" si="1"/>
        <v>To what extent do you use should cost models to challenge and negotiate supplier pricing?_</v>
      </c>
    </row>
    <row r="70" spans="1:38" ht="43.5" x14ac:dyDescent="0.35">
      <c r="A70" s="32">
        <v>2</v>
      </c>
      <c r="B70" s="32" t="s">
        <v>1451</v>
      </c>
      <c r="C70" s="32" t="s">
        <v>1452</v>
      </c>
      <c r="D70" s="32" t="s">
        <v>1224</v>
      </c>
      <c r="E70" s="32" t="s">
        <v>1453</v>
      </c>
      <c r="F70" s="32"/>
      <c r="G70" s="32" t="s">
        <v>1289</v>
      </c>
      <c r="H70" s="32" t="s">
        <v>1316</v>
      </c>
      <c r="I70" s="32"/>
      <c r="J70" s="32" t="s">
        <v>1288</v>
      </c>
      <c r="K70" s="32" t="s">
        <v>1312</v>
      </c>
      <c r="L70" s="32" t="s">
        <v>1313</v>
      </c>
      <c r="M70" s="32" t="s">
        <v>1314</v>
      </c>
      <c r="N70" s="32" t="s">
        <v>1315</v>
      </c>
      <c r="O70" s="32">
        <v>3</v>
      </c>
      <c r="P70" s="32">
        <v>0.04</v>
      </c>
      <c r="Q70" s="32">
        <v>0.1</v>
      </c>
      <c r="R70" s="32">
        <v>0.8</v>
      </c>
      <c r="S70" s="32">
        <v>6.7857142857142866E-2</v>
      </c>
      <c r="T70" s="32">
        <v>8.2857142857142865E-2</v>
      </c>
      <c r="U70" s="32">
        <v>2714285.714285715</v>
      </c>
      <c r="V70" s="32">
        <v>3314285.714285715</v>
      </c>
      <c r="W70" s="32"/>
      <c r="X70" s="32"/>
      <c r="Y70" s="32"/>
      <c r="Z70" s="32"/>
      <c r="AA70" s="32">
        <v>0.02</v>
      </c>
      <c r="AB70" s="32">
        <v>0.05</v>
      </c>
      <c r="AC70" s="32">
        <v>2.75E-2</v>
      </c>
      <c r="AD70" s="32">
        <v>0.15068493150684931</v>
      </c>
      <c r="AE70" s="32">
        <v>409001.95694716251</v>
      </c>
      <c r="AF70" s="32">
        <v>499412.915851272</v>
      </c>
      <c r="AG70" s="32" t="s">
        <v>1510</v>
      </c>
      <c r="AH70" s="32"/>
      <c r="AI70" s="32" t="s">
        <v>1493</v>
      </c>
      <c r="AJ70" s="32"/>
      <c r="AK70" s="28"/>
      <c r="AL70" s="18" t="str">
        <f t="shared" si="1"/>
        <v>To what extent do you use should cost models to challenge and negotiate supplier pricing?_</v>
      </c>
    </row>
    <row r="71" spans="1:38" ht="43.5" x14ac:dyDescent="0.35">
      <c r="A71" s="32">
        <v>2</v>
      </c>
      <c r="B71" s="32" t="s">
        <v>1451</v>
      </c>
      <c r="C71" s="32" t="s">
        <v>1452</v>
      </c>
      <c r="D71" s="32" t="s">
        <v>1224</v>
      </c>
      <c r="E71" s="32" t="s">
        <v>1453</v>
      </c>
      <c r="F71" s="32"/>
      <c r="G71" s="32" t="s">
        <v>1289</v>
      </c>
      <c r="H71" s="32" t="s">
        <v>1316</v>
      </c>
      <c r="I71" s="32"/>
      <c r="J71" s="32" t="s">
        <v>1288</v>
      </c>
      <c r="K71" s="32" t="s">
        <v>1312</v>
      </c>
      <c r="L71" s="32" t="s">
        <v>1313</v>
      </c>
      <c r="M71" s="32" t="s">
        <v>1314</v>
      </c>
      <c r="N71" s="32" t="s">
        <v>1315</v>
      </c>
      <c r="O71" s="32">
        <v>3</v>
      </c>
      <c r="P71" s="32">
        <v>0.04</v>
      </c>
      <c r="Q71" s="32">
        <v>0.1</v>
      </c>
      <c r="R71" s="32">
        <v>0.8</v>
      </c>
      <c r="S71" s="32">
        <v>6.7857142857142866E-2</v>
      </c>
      <c r="T71" s="32">
        <v>8.2857142857142865E-2</v>
      </c>
      <c r="U71" s="32">
        <v>2714285.714285715</v>
      </c>
      <c r="V71" s="32">
        <v>3314285.714285715</v>
      </c>
      <c r="W71" s="32"/>
      <c r="X71" s="32"/>
      <c r="Y71" s="32"/>
      <c r="Z71" s="32"/>
      <c r="AA71" s="32">
        <v>0.02</v>
      </c>
      <c r="AB71" s="32">
        <v>0.05</v>
      </c>
      <c r="AC71" s="32">
        <v>2.75E-2</v>
      </c>
      <c r="AD71" s="32">
        <v>0.15068493150684931</v>
      </c>
      <c r="AE71" s="32">
        <v>409001.95694716251</v>
      </c>
      <c r="AF71" s="32">
        <v>499412.915851272</v>
      </c>
      <c r="AG71" s="32" t="s">
        <v>1511</v>
      </c>
      <c r="AH71" s="32"/>
      <c r="AI71" s="32" t="s">
        <v>1493</v>
      </c>
      <c r="AJ71" s="32"/>
      <c r="AK71" s="28"/>
      <c r="AL71" s="18" t="str">
        <f t="shared" si="1"/>
        <v>To what extent do you use should cost models to challenge and negotiate supplier pricing?_</v>
      </c>
    </row>
    <row r="72" spans="1:38" ht="43.5" x14ac:dyDescent="0.35">
      <c r="A72" s="32">
        <v>2</v>
      </c>
      <c r="B72" s="32" t="s">
        <v>1451</v>
      </c>
      <c r="C72" s="32" t="s">
        <v>1452</v>
      </c>
      <c r="D72" s="32" t="s">
        <v>1224</v>
      </c>
      <c r="E72" s="32" t="s">
        <v>1453</v>
      </c>
      <c r="F72" s="32"/>
      <c r="G72" s="32" t="s">
        <v>1289</v>
      </c>
      <c r="H72" s="32" t="s">
        <v>1316</v>
      </c>
      <c r="I72" s="32"/>
      <c r="J72" s="32" t="s">
        <v>1288</v>
      </c>
      <c r="K72" s="32" t="s">
        <v>1312</v>
      </c>
      <c r="L72" s="32" t="s">
        <v>1313</v>
      </c>
      <c r="M72" s="32" t="s">
        <v>1314</v>
      </c>
      <c r="N72" s="32" t="s">
        <v>1315</v>
      </c>
      <c r="O72" s="32">
        <v>3</v>
      </c>
      <c r="P72" s="32">
        <v>0.04</v>
      </c>
      <c r="Q72" s="32">
        <v>0.1</v>
      </c>
      <c r="R72" s="32">
        <v>0.8</v>
      </c>
      <c r="S72" s="32">
        <v>6.7857142857142866E-2</v>
      </c>
      <c r="T72" s="32">
        <v>8.2857142857142865E-2</v>
      </c>
      <c r="U72" s="32">
        <v>2714285.714285715</v>
      </c>
      <c r="V72" s="32">
        <v>3314285.714285715</v>
      </c>
      <c r="W72" s="32"/>
      <c r="X72" s="32"/>
      <c r="Y72" s="32"/>
      <c r="Z72" s="32"/>
      <c r="AA72" s="32">
        <v>0.02</v>
      </c>
      <c r="AB72" s="32">
        <v>0.05</v>
      </c>
      <c r="AC72" s="32">
        <v>2.75E-2</v>
      </c>
      <c r="AD72" s="32">
        <v>0.15068493150684931</v>
      </c>
      <c r="AE72" s="32">
        <v>409001.95694716251</v>
      </c>
      <c r="AF72" s="32">
        <v>499412.915851272</v>
      </c>
      <c r="AG72" s="32" t="s">
        <v>1512</v>
      </c>
      <c r="AH72" s="32"/>
      <c r="AI72" s="32" t="s">
        <v>1493</v>
      </c>
      <c r="AJ72" s="32"/>
      <c r="AK72" s="28"/>
      <c r="AL72" s="18" t="str">
        <f t="shared" si="1"/>
        <v>To what extent do you use should cost models to challenge and negotiate supplier pricing?_</v>
      </c>
    </row>
    <row r="73" spans="1:38" ht="43.5" x14ac:dyDescent="0.35">
      <c r="A73" s="32">
        <v>2</v>
      </c>
      <c r="B73" s="32" t="s">
        <v>1451</v>
      </c>
      <c r="C73" s="32" t="s">
        <v>1452</v>
      </c>
      <c r="D73" s="32" t="s">
        <v>1224</v>
      </c>
      <c r="E73" s="32" t="s">
        <v>1453</v>
      </c>
      <c r="F73" s="32"/>
      <c r="G73" s="32" t="s">
        <v>1289</v>
      </c>
      <c r="H73" s="32" t="s">
        <v>1316</v>
      </c>
      <c r="I73" s="32"/>
      <c r="J73" s="32" t="s">
        <v>1288</v>
      </c>
      <c r="K73" s="32" t="s">
        <v>1312</v>
      </c>
      <c r="L73" s="32" t="s">
        <v>1313</v>
      </c>
      <c r="M73" s="32" t="s">
        <v>1314</v>
      </c>
      <c r="N73" s="32" t="s">
        <v>1315</v>
      </c>
      <c r="O73" s="32">
        <v>3</v>
      </c>
      <c r="P73" s="32">
        <v>0.04</v>
      </c>
      <c r="Q73" s="32">
        <v>0.1</v>
      </c>
      <c r="R73" s="32">
        <v>0.8</v>
      </c>
      <c r="S73" s="32">
        <v>6.7857142857142866E-2</v>
      </c>
      <c r="T73" s="32">
        <v>8.2857142857142865E-2</v>
      </c>
      <c r="U73" s="32">
        <v>2714285.714285715</v>
      </c>
      <c r="V73" s="32">
        <v>3314285.714285715</v>
      </c>
      <c r="W73" s="32"/>
      <c r="X73" s="32"/>
      <c r="Y73" s="32"/>
      <c r="Z73" s="32"/>
      <c r="AA73" s="32">
        <v>0.02</v>
      </c>
      <c r="AB73" s="32">
        <v>0.05</v>
      </c>
      <c r="AC73" s="32">
        <v>2.75E-2</v>
      </c>
      <c r="AD73" s="32">
        <v>0.15068493150684931</v>
      </c>
      <c r="AE73" s="32">
        <v>409001.95694716251</v>
      </c>
      <c r="AF73" s="32">
        <v>499412.915851272</v>
      </c>
      <c r="AG73" s="32" t="s">
        <v>1513</v>
      </c>
      <c r="AH73" s="32"/>
      <c r="AI73" s="32" t="s">
        <v>1493</v>
      </c>
      <c r="AJ73" s="32"/>
      <c r="AK73" s="28"/>
      <c r="AL73" s="18" t="str">
        <f t="shared" si="1"/>
        <v>To what extent do you use should cost models to challenge and negotiate supplier pricing?_</v>
      </c>
    </row>
    <row r="74" spans="1:38" ht="116" x14ac:dyDescent="0.35">
      <c r="A74" s="32">
        <v>2</v>
      </c>
      <c r="B74" s="32" t="s">
        <v>1451</v>
      </c>
      <c r="C74" s="32" t="s">
        <v>1452</v>
      </c>
      <c r="D74" s="32" t="s">
        <v>1224</v>
      </c>
      <c r="E74" s="32" t="s">
        <v>1453</v>
      </c>
      <c r="F74" s="32"/>
      <c r="G74" s="32" t="s">
        <v>1289</v>
      </c>
      <c r="H74" s="32" t="s">
        <v>1316</v>
      </c>
      <c r="I74" s="32"/>
      <c r="J74" s="32" t="s">
        <v>1288</v>
      </c>
      <c r="K74" s="32" t="s">
        <v>1312</v>
      </c>
      <c r="L74" s="32" t="s">
        <v>1313</v>
      </c>
      <c r="M74" s="32" t="s">
        <v>1314</v>
      </c>
      <c r="N74" s="32" t="s">
        <v>1315</v>
      </c>
      <c r="O74" s="32">
        <v>3</v>
      </c>
      <c r="P74" s="32">
        <v>0.04</v>
      </c>
      <c r="Q74" s="32">
        <v>0.1</v>
      </c>
      <c r="R74" s="32">
        <v>0.8</v>
      </c>
      <c r="S74" s="32">
        <v>6.7857142857142866E-2</v>
      </c>
      <c r="T74" s="32">
        <v>8.2857142857142865E-2</v>
      </c>
      <c r="U74" s="32">
        <v>2714285.714285715</v>
      </c>
      <c r="V74" s="32">
        <v>3314285.714285715</v>
      </c>
      <c r="W74" s="32"/>
      <c r="X74" s="32"/>
      <c r="Y74" s="32"/>
      <c r="Z74" s="32"/>
      <c r="AA74" s="32">
        <v>0.02</v>
      </c>
      <c r="AB74" s="32">
        <v>0.05</v>
      </c>
      <c r="AC74" s="32">
        <v>2.75E-2</v>
      </c>
      <c r="AD74" s="32">
        <v>0.15068493150684931</v>
      </c>
      <c r="AE74" s="32">
        <v>409001.95694716251</v>
      </c>
      <c r="AF74" s="32">
        <v>499412.915851272</v>
      </c>
      <c r="AG74" s="32" t="s">
        <v>1514</v>
      </c>
      <c r="AH74" s="32"/>
      <c r="AI74" s="32" t="s">
        <v>1493</v>
      </c>
      <c r="AJ74" s="32" t="s">
        <v>1546</v>
      </c>
      <c r="AK74" s="28" t="s">
        <v>2055</v>
      </c>
      <c r="AL74" s="18" t="str">
        <f t="shared" si="1"/>
        <v>To what extent do you use should cost models to challenge and negotiate supplier pricing?_Explain how unit prices have evolved over the last 12 months.
Compare this with the client's price evolution</v>
      </c>
    </row>
    <row r="75" spans="1:38" ht="43.5" x14ac:dyDescent="0.35">
      <c r="A75" s="32">
        <v>2</v>
      </c>
      <c r="B75" s="32" t="s">
        <v>1451</v>
      </c>
      <c r="C75" s="32" t="s">
        <v>1452</v>
      </c>
      <c r="D75" s="32" t="s">
        <v>1224</v>
      </c>
      <c r="E75" s="32" t="s">
        <v>1453</v>
      </c>
      <c r="F75" s="32"/>
      <c r="G75" s="32" t="s">
        <v>1289</v>
      </c>
      <c r="H75" s="32" t="s">
        <v>1316</v>
      </c>
      <c r="I75" s="32"/>
      <c r="J75" s="32" t="s">
        <v>1288</v>
      </c>
      <c r="K75" s="32" t="s">
        <v>1312</v>
      </c>
      <c r="L75" s="32" t="s">
        <v>1313</v>
      </c>
      <c r="M75" s="32" t="s">
        <v>1314</v>
      </c>
      <c r="N75" s="32" t="s">
        <v>1315</v>
      </c>
      <c r="O75" s="32">
        <v>3</v>
      </c>
      <c r="P75" s="32">
        <v>0.04</v>
      </c>
      <c r="Q75" s="32">
        <v>0.1</v>
      </c>
      <c r="R75" s="32">
        <v>0.8</v>
      </c>
      <c r="S75" s="32">
        <v>6.7857142857142866E-2</v>
      </c>
      <c r="T75" s="32">
        <v>8.2857142857142865E-2</v>
      </c>
      <c r="U75" s="32">
        <v>2714285.714285715</v>
      </c>
      <c r="V75" s="32">
        <v>3314285.714285715</v>
      </c>
      <c r="W75" s="32"/>
      <c r="X75" s="32"/>
      <c r="Y75" s="32"/>
      <c r="Z75" s="32"/>
      <c r="AA75" s="32">
        <v>0.02</v>
      </c>
      <c r="AB75" s="32">
        <v>0.05</v>
      </c>
      <c r="AC75" s="32">
        <v>2.75E-2</v>
      </c>
      <c r="AD75" s="32">
        <v>0.15068493150684931</v>
      </c>
      <c r="AE75" s="32">
        <v>409001.95694716251</v>
      </c>
      <c r="AF75" s="32">
        <v>499412.915851272</v>
      </c>
      <c r="AG75" s="32" t="s">
        <v>1515</v>
      </c>
      <c r="AH75" s="32"/>
      <c r="AI75" s="32" t="s">
        <v>1493</v>
      </c>
      <c r="AJ75" s="32"/>
      <c r="AK75" s="28"/>
      <c r="AL75" s="18" t="str">
        <f t="shared" si="1"/>
        <v>To what extent do you use should cost models to challenge and negotiate supplier pricing?_</v>
      </c>
    </row>
    <row r="76" spans="1:38" ht="43.5" x14ac:dyDescent="0.35">
      <c r="A76" s="32">
        <v>2</v>
      </c>
      <c r="B76" s="32" t="s">
        <v>1451</v>
      </c>
      <c r="C76" s="32" t="s">
        <v>1452</v>
      </c>
      <c r="D76" s="32" t="s">
        <v>1224</v>
      </c>
      <c r="E76" s="32" t="s">
        <v>1453</v>
      </c>
      <c r="F76" s="32"/>
      <c r="G76" s="32" t="s">
        <v>1289</v>
      </c>
      <c r="H76" s="32" t="s">
        <v>1316</v>
      </c>
      <c r="I76" s="32"/>
      <c r="J76" s="32" t="s">
        <v>1288</v>
      </c>
      <c r="K76" s="32" t="s">
        <v>1312</v>
      </c>
      <c r="L76" s="32" t="s">
        <v>1313</v>
      </c>
      <c r="M76" s="32" t="s">
        <v>1314</v>
      </c>
      <c r="N76" s="32" t="s">
        <v>1315</v>
      </c>
      <c r="O76" s="32">
        <v>3</v>
      </c>
      <c r="P76" s="32">
        <v>0.04</v>
      </c>
      <c r="Q76" s="32">
        <v>0.1</v>
      </c>
      <c r="R76" s="32">
        <v>0.8</v>
      </c>
      <c r="S76" s="32">
        <v>6.7857142857142866E-2</v>
      </c>
      <c r="T76" s="32">
        <v>8.2857142857142865E-2</v>
      </c>
      <c r="U76" s="32">
        <v>2714285.714285715</v>
      </c>
      <c r="V76" s="32">
        <v>3314285.714285715</v>
      </c>
      <c r="W76" s="32"/>
      <c r="X76" s="32"/>
      <c r="Y76" s="32"/>
      <c r="Z76" s="32"/>
      <c r="AA76" s="32">
        <v>0.02</v>
      </c>
      <c r="AB76" s="32">
        <v>0.05</v>
      </c>
      <c r="AC76" s="32">
        <v>2.75E-2</v>
      </c>
      <c r="AD76" s="32">
        <v>0.15068493150684931</v>
      </c>
      <c r="AE76" s="32">
        <v>409001.95694716251</v>
      </c>
      <c r="AF76" s="32">
        <v>499412.915851272</v>
      </c>
      <c r="AG76" s="32" t="s">
        <v>1516</v>
      </c>
      <c r="AH76" s="32"/>
      <c r="AI76" s="32" t="s">
        <v>1493</v>
      </c>
      <c r="AJ76" s="32"/>
      <c r="AK76" s="28"/>
      <c r="AL76" s="18" t="str">
        <f t="shared" si="1"/>
        <v>To what extent do you use should cost models to challenge and negotiate supplier pricing?_</v>
      </c>
    </row>
    <row r="77" spans="1:38" ht="43.5" x14ac:dyDescent="0.35">
      <c r="A77" s="32">
        <v>2</v>
      </c>
      <c r="B77" s="32" t="s">
        <v>1451</v>
      </c>
      <c r="C77" s="32" t="s">
        <v>1452</v>
      </c>
      <c r="D77" s="32" t="s">
        <v>1224</v>
      </c>
      <c r="E77" s="32" t="s">
        <v>1453</v>
      </c>
      <c r="F77" s="32"/>
      <c r="G77" s="32" t="s">
        <v>1289</v>
      </c>
      <c r="H77" s="32" t="s">
        <v>1316</v>
      </c>
      <c r="I77" s="32"/>
      <c r="J77" s="32" t="s">
        <v>1288</v>
      </c>
      <c r="K77" s="32" t="s">
        <v>1312</v>
      </c>
      <c r="L77" s="32" t="s">
        <v>1313</v>
      </c>
      <c r="M77" s="32" t="s">
        <v>1314</v>
      </c>
      <c r="N77" s="32" t="s">
        <v>1315</v>
      </c>
      <c r="O77" s="32">
        <v>3</v>
      </c>
      <c r="P77" s="32">
        <v>0.04</v>
      </c>
      <c r="Q77" s="32">
        <v>0.1</v>
      </c>
      <c r="R77" s="32">
        <v>0.8</v>
      </c>
      <c r="S77" s="32">
        <v>6.7857142857142866E-2</v>
      </c>
      <c r="T77" s="32">
        <v>8.2857142857142865E-2</v>
      </c>
      <c r="U77" s="32">
        <v>2714285.714285715</v>
      </c>
      <c r="V77" s="32">
        <v>3314285.714285715</v>
      </c>
      <c r="W77" s="32"/>
      <c r="X77" s="32"/>
      <c r="Y77" s="32"/>
      <c r="Z77" s="32"/>
      <c r="AA77" s="32">
        <v>0.02</v>
      </c>
      <c r="AB77" s="32">
        <v>0.05</v>
      </c>
      <c r="AC77" s="32">
        <v>2.75E-2</v>
      </c>
      <c r="AD77" s="32">
        <v>0.15068493150684931</v>
      </c>
      <c r="AE77" s="32">
        <v>409001.95694716251</v>
      </c>
      <c r="AF77" s="32">
        <v>499412.915851272</v>
      </c>
      <c r="AG77" s="32" t="s">
        <v>1517</v>
      </c>
      <c r="AH77" s="32"/>
      <c r="AI77" s="32" t="s">
        <v>1493</v>
      </c>
      <c r="AJ77" s="32"/>
      <c r="AK77" s="28"/>
      <c r="AL77" s="18" t="str">
        <f t="shared" si="1"/>
        <v>To what extent do you use should cost models to challenge and negotiate supplier pricing?_</v>
      </c>
    </row>
    <row r="78" spans="1:38" ht="43.5" x14ac:dyDescent="0.35">
      <c r="A78" s="32">
        <v>2</v>
      </c>
      <c r="B78" s="32" t="s">
        <v>1451</v>
      </c>
      <c r="C78" s="32" t="s">
        <v>1452</v>
      </c>
      <c r="D78" s="32" t="s">
        <v>1224</v>
      </c>
      <c r="E78" s="32" t="s">
        <v>1453</v>
      </c>
      <c r="F78" s="32"/>
      <c r="G78" s="32" t="s">
        <v>1289</v>
      </c>
      <c r="H78" s="32" t="s">
        <v>1316</v>
      </c>
      <c r="I78" s="32"/>
      <c r="J78" s="32" t="s">
        <v>1288</v>
      </c>
      <c r="K78" s="32" t="s">
        <v>1312</v>
      </c>
      <c r="L78" s="32" t="s">
        <v>1313</v>
      </c>
      <c r="M78" s="32" t="s">
        <v>1314</v>
      </c>
      <c r="N78" s="32" t="s">
        <v>1315</v>
      </c>
      <c r="O78" s="32">
        <v>3</v>
      </c>
      <c r="P78" s="32">
        <v>0.04</v>
      </c>
      <c r="Q78" s="32">
        <v>0.1</v>
      </c>
      <c r="R78" s="32">
        <v>0.8</v>
      </c>
      <c r="S78" s="32">
        <v>6.7857142857142866E-2</v>
      </c>
      <c r="T78" s="32">
        <v>8.2857142857142865E-2</v>
      </c>
      <c r="U78" s="32">
        <v>2714285.714285715</v>
      </c>
      <c r="V78" s="32">
        <v>3314285.714285715</v>
      </c>
      <c r="W78" s="32"/>
      <c r="X78" s="32"/>
      <c r="Y78" s="32"/>
      <c r="Z78" s="32"/>
      <c r="AA78" s="32">
        <v>0.02</v>
      </c>
      <c r="AB78" s="32">
        <v>0.05</v>
      </c>
      <c r="AC78" s="32">
        <v>2.75E-2</v>
      </c>
      <c r="AD78" s="32">
        <v>0.15068493150684931</v>
      </c>
      <c r="AE78" s="32">
        <v>409001.95694716251</v>
      </c>
      <c r="AF78" s="32">
        <v>499412.915851272</v>
      </c>
      <c r="AG78" s="32" t="s">
        <v>1524</v>
      </c>
      <c r="AH78" s="32"/>
      <c r="AI78" s="32" t="s">
        <v>1493</v>
      </c>
      <c r="AJ78" s="32"/>
      <c r="AK78" s="28"/>
      <c r="AL78" s="18" t="str">
        <f t="shared" si="1"/>
        <v>To what extent do you use should cost models to challenge and negotiate supplier pricing?_</v>
      </c>
    </row>
    <row r="79" spans="1:38" ht="43.5" x14ac:dyDescent="0.35">
      <c r="A79" s="32">
        <v>2</v>
      </c>
      <c r="B79" s="32" t="s">
        <v>1451</v>
      </c>
      <c r="C79" s="32" t="s">
        <v>1452</v>
      </c>
      <c r="D79" s="32" t="s">
        <v>1224</v>
      </c>
      <c r="E79" s="32" t="s">
        <v>1453</v>
      </c>
      <c r="F79" s="32"/>
      <c r="G79" s="32" t="s">
        <v>1289</v>
      </c>
      <c r="H79" s="32" t="s">
        <v>1316</v>
      </c>
      <c r="I79" s="32"/>
      <c r="J79" s="32" t="s">
        <v>1288</v>
      </c>
      <c r="K79" s="32" t="s">
        <v>1312</v>
      </c>
      <c r="L79" s="32" t="s">
        <v>1313</v>
      </c>
      <c r="M79" s="32" t="s">
        <v>1314</v>
      </c>
      <c r="N79" s="32" t="s">
        <v>1315</v>
      </c>
      <c r="O79" s="32">
        <v>3</v>
      </c>
      <c r="P79" s="32">
        <v>0.04</v>
      </c>
      <c r="Q79" s="32">
        <v>0.1</v>
      </c>
      <c r="R79" s="32">
        <v>0.8</v>
      </c>
      <c r="S79" s="32">
        <v>6.7857142857142866E-2</v>
      </c>
      <c r="T79" s="32">
        <v>8.2857142857142865E-2</v>
      </c>
      <c r="U79" s="32">
        <v>2714285.714285715</v>
      </c>
      <c r="V79" s="32">
        <v>3314285.714285715</v>
      </c>
      <c r="W79" s="32"/>
      <c r="X79" s="32"/>
      <c r="Y79" s="32"/>
      <c r="Z79" s="32"/>
      <c r="AA79" s="32">
        <v>0.02</v>
      </c>
      <c r="AB79" s="32">
        <v>0.05</v>
      </c>
      <c r="AC79" s="32">
        <v>2.75E-2</v>
      </c>
      <c r="AD79" s="32">
        <v>0.15068493150684931</v>
      </c>
      <c r="AE79" s="32">
        <v>409001.95694716251</v>
      </c>
      <c r="AF79" s="32">
        <v>499412.915851272</v>
      </c>
      <c r="AG79" s="32" t="s">
        <v>1528</v>
      </c>
      <c r="AH79" s="32"/>
      <c r="AI79" s="32" t="s">
        <v>1493</v>
      </c>
      <c r="AJ79" s="32"/>
      <c r="AK79" s="28"/>
      <c r="AL79" s="18" t="str">
        <f t="shared" si="1"/>
        <v>To what extent do you use should cost models to challenge and negotiate supplier pricing?_</v>
      </c>
    </row>
    <row r="80" spans="1:38" ht="43.5" x14ac:dyDescent="0.35">
      <c r="A80" s="32">
        <v>2</v>
      </c>
      <c r="B80" s="32" t="s">
        <v>1451</v>
      </c>
      <c r="C80" s="32" t="s">
        <v>1452</v>
      </c>
      <c r="D80" s="32" t="s">
        <v>1224</v>
      </c>
      <c r="E80" s="32" t="s">
        <v>1453</v>
      </c>
      <c r="F80" s="32"/>
      <c r="G80" s="32" t="s">
        <v>1289</v>
      </c>
      <c r="H80" s="32" t="s">
        <v>1316</v>
      </c>
      <c r="I80" s="32"/>
      <c r="J80" s="32" t="s">
        <v>1288</v>
      </c>
      <c r="K80" s="32" t="s">
        <v>1312</v>
      </c>
      <c r="L80" s="32" t="s">
        <v>1313</v>
      </c>
      <c r="M80" s="32" t="s">
        <v>1314</v>
      </c>
      <c r="N80" s="32" t="s">
        <v>1315</v>
      </c>
      <c r="O80" s="32">
        <v>3</v>
      </c>
      <c r="P80" s="32">
        <v>0.04</v>
      </c>
      <c r="Q80" s="32">
        <v>0.1</v>
      </c>
      <c r="R80" s="32">
        <v>0.8</v>
      </c>
      <c r="S80" s="32">
        <v>6.7857142857142866E-2</v>
      </c>
      <c r="T80" s="32">
        <v>8.2857142857142865E-2</v>
      </c>
      <c r="U80" s="32">
        <v>2714285.714285715</v>
      </c>
      <c r="V80" s="32">
        <v>3314285.714285715</v>
      </c>
      <c r="W80" s="32"/>
      <c r="X80" s="32"/>
      <c r="Y80" s="32"/>
      <c r="Z80" s="32"/>
      <c r="AA80" s="32">
        <v>0.02</v>
      </c>
      <c r="AB80" s="32">
        <v>0.05</v>
      </c>
      <c r="AC80" s="32">
        <v>2.75E-2</v>
      </c>
      <c r="AD80" s="32">
        <v>0.15068493150684931</v>
      </c>
      <c r="AE80" s="32">
        <v>409001.95694716251</v>
      </c>
      <c r="AF80" s="32">
        <v>499412.915851272</v>
      </c>
      <c r="AG80" s="32" t="s">
        <v>1529</v>
      </c>
      <c r="AH80" s="32"/>
      <c r="AI80" s="32" t="s">
        <v>1493</v>
      </c>
      <c r="AJ80" s="32"/>
      <c r="AK80" s="28"/>
      <c r="AL80" s="18" t="str">
        <f t="shared" si="1"/>
        <v>To what extent do you use should cost models to challenge and negotiate supplier pricing?_</v>
      </c>
    </row>
    <row r="81" spans="1:38" ht="43.5" x14ac:dyDescent="0.35">
      <c r="A81" s="32">
        <v>2</v>
      </c>
      <c r="B81" s="32" t="s">
        <v>1451</v>
      </c>
      <c r="C81" s="32" t="s">
        <v>1452</v>
      </c>
      <c r="D81" s="32" t="s">
        <v>1224</v>
      </c>
      <c r="E81" s="32" t="s">
        <v>1453</v>
      </c>
      <c r="F81" s="32"/>
      <c r="G81" s="32" t="s">
        <v>1289</v>
      </c>
      <c r="H81" s="32" t="s">
        <v>1316</v>
      </c>
      <c r="I81" s="32"/>
      <c r="J81" s="32" t="s">
        <v>1288</v>
      </c>
      <c r="K81" s="32" t="s">
        <v>1312</v>
      </c>
      <c r="L81" s="32" t="s">
        <v>1313</v>
      </c>
      <c r="M81" s="32" t="s">
        <v>1314</v>
      </c>
      <c r="N81" s="32" t="s">
        <v>1315</v>
      </c>
      <c r="O81" s="32">
        <v>3</v>
      </c>
      <c r="P81" s="32">
        <v>0.04</v>
      </c>
      <c r="Q81" s="32">
        <v>0.1</v>
      </c>
      <c r="R81" s="32">
        <v>0.8</v>
      </c>
      <c r="S81" s="32">
        <v>6.7857142857142866E-2</v>
      </c>
      <c r="T81" s="32">
        <v>8.2857142857142865E-2</v>
      </c>
      <c r="U81" s="32">
        <v>2714285.714285715</v>
      </c>
      <c r="V81" s="32">
        <v>3314285.714285715</v>
      </c>
      <c r="W81" s="32"/>
      <c r="X81" s="32"/>
      <c r="Y81" s="32"/>
      <c r="Z81" s="32"/>
      <c r="AA81" s="32">
        <v>0.02</v>
      </c>
      <c r="AB81" s="32">
        <v>0.05</v>
      </c>
      <c r="AC81" s="32">
        <v>2.75E-2</v>
      </c>
      <c r="AD81" s="32">
        <v>0.15068493150684931</v>
      </c>
      <c r="AE81" s="32">
        <v>409001.95694716251</v>
      </c>
      <c r="AF81" s="32">
        <v>499412.915851272</v>
      </c>
      <c r="AG81" s="32" t="s">
        <v>1530</v>
      </c>
      <c r="AH81" s="32"/>
      <c r="AI81" s="32" t="s">
        <v>1493</v>
      </c>
      <c r="AJ81" s="32"/>
      <c r="AK81" s="28"/>
      <c r="AL81" s="18" t="str">
        <f t="shared" si="1"/>
        <v>To what extent do you use should cost models to challenge and negotiate supplier pricing?_</v>
      </c>
    </row>
    <row r="82" spans="1:38" ht="43.5" x14ac:dyDescent="0.35">
      <c r="A82" s="32">
        <v>2</v>
      </c>
      <c r="B82" s="32" t="s">
        <v>1451</v>
      </c>
      <c r="C82" s="32" t="s">
        <v>1452</v>
      </c>
      <c r="D82" s="32" t="s">
        <v>1224</v>
      </c>
      <c r="E82" s="32" t="s">
        <v>1453</v>
      </c>
      <c r="F82" s="32"/>
      <c r="G82" s="32" t="s">
        <v>1289</v>
      </c>
      <c r="H82" s="32" t="s">
        <v>1316</v>
      </c>
      <c r="I82" s="32"/>
      <c r="J82" s="32" t="s">
        <v>1288</v>
      </c>
      <c r="K82" s="32" t="s">
        <v>1312</v>
      </c>
      <c r="L82" s="32" t="s">
        <v>1313</v>
      </c>
      <c r="M82" s="32" t="s">
        <v>1314</v>
      </c>
      <c r="N82" s="32" t="s">
        <v>1315</v>
      </c>
      <c r="O82" s="32">
        <v>3</v>
      </c>
      <c r="P82" s="32">
        <v>0.04</v>
      </c>
      <c r="Q82" s="32">
        <v>0.1</v>
      </c>
      <c r="R82" s="32">
        <v>0.8</v>
      </c>
      <c r="S82" s="32">
        <v>6.7857142857142866E-2</v>
      </c>
      <c r="T82" s="32">
        <v>8.2857142857142865E-2</v>
      </c>
      <c r="U82" s="32">
        <v>2714285.714285715</v>
      </c>
      <c r="V82" s="32">
        <v>3314285.714285715</v>
      </c>
      <c r="W82" s="32"/>
      <c r="X82" s="32"/>
      <c r="Y82" s="32"/>
      <c r="Z82" s="32"/>
      <c r="AA82" s="32">
        <v>0.02</v>
      </c>
      <c r="AB82" s="32">
        <v>0.05</v>
      </c>
      <c r="AC82" s="32">
        <v>2.75E-2</v>
      </c>
      <c r="AD82" s="32">
        <v>0.15068493150684931</v>
      </c>
      <c r="AE82" s="32">
        <v>409001.95694716251</v>
      </c>
      <c r="AF82" s="32">
        <v>499412.915851272</v>
      </c>
      <c r="AG82" s="32" t="s">
        <v>1531</v>
      </c>
      <c r="AH82" s="32"/>
      <c r="AI82" s="32" t="s">
        <v>1493</v>
      </c>
      <c r="AJ82" s="32"/>
      <c r="AK82" s="28"/>
      <c r="AL82" s="18" t="str">
        <f t="shared" si="1"/>
        <v>To what extent do you use should cost models to challenge and negotiate supplier pricing?_</v>
      </c>
    </row>
    <row r="83" spans="1:38" ht="43.5" x14ac:dyDescent="0.35">
      <c r="A83" s="32">
        <v>2</v>
      </c>
      <c r="B83" s="32" t="s">
        <v>1451</v>
      </c>
      <c r="C83" s="32" t="s">
        <v>1452</v>
      </c>
      <c r="D83" s="32" t="s">
        <v>1224</v>
      </c>
      <c r="E83" s="32" t="s">
        <v>1453</v>
      </c>
      <c r="F83" s="32"/>
      <c r="G83" s="32" t="s">
        <v>1289</v>
      </c>
      <c r="H83" s="32" t="s">
        <v>1316</v>
      </c>
      <c r="I83" s="32"/>
      <c r="J83" s="32" t="s">
        <v>1288</v>
      </c>
      <c r="K83" s="32" t="s">
        <v>1312</v>
      </c>
      <c r="L83" s="32" t="s">
        <v>1313</v>
      </c>
      <c r="M83" s="32" t="s">
        <v>1314</v>
      </c>
      <c r="N83" s="32" t="s">
        <v>1315</v>
      </c>
      <c r="O83" s="32">
        <v>3</v>
      </c>
      <c r="P83" s="32">
        <v>0.04</v>
      </c>
      <c r="Q83" s="32">
        <v>0.1</v>
      </c>
      <c r="R83" s="32">
        <v>0.8</v>
      </c>
      <c r="S83" s="32">
        <v>6.7857142857142866E-2</v>
      </c>
      <c r="T83" s="32">
        <v>8.2857142857142865E-2</v>
      </c>
      <c r="U83" s="32">
        <v>2714285.714285715</v>
      </c>
      <c r="V83" s="32">
        <v>3314285.714285715</v>
      </c>
      <c r="W83" s="32"/>
      <c r="X83" s="32"/>
      <c r="Y83" s="32"/>
      <c r="Z83" s="32"/>
      <c r="AA83" s="32">
        <v>0.02</v>
      </c>
      <c r="AB83" s="32">
        <v>0.05</v>
      </c>
      <c r="AC83" s="32">
        <v>2.75E-2</v>
      </c>
      <c r="AD83" s="32">
        <v>0.15068493150684931</v>
      </c>
      <c r="AE83" s="32">
        <v>409001.95694716251</v>
      </c>
      <c r="AF83" s="32">
        <v>499412.915851272</v>
      </c>
      <c r="AG83" s="32" t="s">
        <v>1532</v>
      </c>
      <c r="AH83" s="32"/>
      <c r="AI83" s="32" t="s">
        <v>1493</v>
      </c>
      <c r="AJ83" s="32"/>
      <c r="AK83" s="28"/>
      <c r="AL83" s="18" t="str">
        <f t="shared" si="1"/>
        <v>To what extent do you use should cost models to challenge and negotiate supplier pricing?_</v>
      </c>
    </row>
    <row r="84" spans="1:38" ht="43.5" x14ac:dyDescent="0.35">
      <c r="A84" s="32">
        <v>3</v>
      </c>
      <c r="B84" s="32" t="s">
        <v>1451</v>
      </c>
      <c r="C84" s="32" t="s">
        <v>1452</v>
      </c>
      <c r="D84" s="32" t="s">
        <v>1224</v>
      </c>
      <c r="E84" s="32" t="s">
        <v>1453</v>
      </c>
      <c r="F84" s="32"/>
      <c r="G84" s="32" t="s">
        <v>1279</v>
      </c>
      <c r="H84" s="32" t="s">
        <v>1336</v>
      </c>
      <c r="I84" s="32"/>
      <c r="J84" s="32" t="s">
        <v>1239</v>
      </c>
      <c r="K84" s="32" t="s">
        <v>1332</v>
      </c>
      <c r="L84" s="32" t="s">
        <v>1333</v>
      </c>
      <c r="M84" s="32" t="s">
        <v>1334</v>
      </c>
      <c r="N84" s="32" t="s">
        <v>1335</v>
      </c>
      <c r="O84" s="32">
        <v>2</v>
      </c>
      <c r="P84" s="32">
        <v>0.04</v>
      </c>
      <c r="Q84" s="32">
        <v>0.1</v>
      </c>
      <c r="R84" s="32">
        <v>0.8</v>
      </c>
      <c r="S84" s="32">
        <v>6.7500000000000004E-2</v>
      </c>
      <c r="T84" s="32">
        <v>8.2500000000000004E-2</v>
      </c>
      <c r="U84" s="32">
        <v>2700000</v>
      </c>
      <c r="V84" s="32">
        <v>3300000</v>
      </c>
      <c r="W84" s="32"/>
      <c r="X84" s="32"/>
      <c r="Y84" s="32"/>
      <c r="Z84" s="32"/>
      <c r="AA84" s="32">
        <v>0.02</v>
      </c>
      <c r="AB84" s="32">
        <v>0.03</v>
      </c>
      <c r="AC84" s="32">
        <v>2.5000000000000001E-2</v>
      </c>
      <c r="AD84" s="32">
        <v>0.13698630136986301</v>
      </c>
      <c r="AE84" s="32">
        <v>369863.01369863021</v>
      </c>
      <c r="AF84" s="32">
        <v>452054.7945205479</v>
      </c>
      <c r="AG84" s="32" t="s">
        <v>1454</v>
      </c>
      <c r="AH84" s="32" t="s">
        <v>1455</v>
      </c>
      <c r="AI84" s="32" t="s">
        <v>2046</v>
      </c>
      <c r="AJ84" s="32"/>
      <c r="AK84" s="28"/>
      <c r="AL84" s="18" t="str">
        <f t="shared" si="1"/>
        <v>Do you review pack sizes and explore delivery options in bulk or flexi tanks to streamline supply chain operations and reduce costs?_</v>
      </c>
    </row>
    <row r="85" spans="1:38" ht="43.5" x14ac:dyDescent="0.35">
      <c r="A85" s="32">
        <v>3</v>
      </c>
      <c r="B85" s="32" t="s">
        <v>1451</v>
      </c>
      <c r="C85" s="32" t="s">
        <v>1452</v>
      </c>
      <c r="D85" s="32" t="s">
        <v>1224</v>
      </c>
      <c r="E85" s="32" t="s">
        <v>1453</v>
      </c>
      <c r="F85" s="32"/>
      <c r="G85" s="32" t="s">
        <v>1279</v>
      </c>
      <c r="H85" s="32" t="s">
        <v>1336</v>
      </c>
      <c r="I85" s="32"/>
      <c r="J85" s="32" t="s">
        <v>1239</v>
      </c>
      <c r="K85" s="32" t="s">
        <v>1332</v>
      </c>
      <c r="L85" s="32" t="s">
        <v>1333</v>
      </c>
      <c r="M85" s="32" t="s">
        <v>1334</v>
      </c>
      <c r="N85" s="32" t="s">
        <v>1335</v>
      </c>
      <c r="O85" s="32">
        <v>2</v>
      </c>
      <c r="P85" s="32">
        <v>0.04</v>
      </c>
      <c r="Q85" s="32">
        <v>0.1</v>
      </c>
      <c r="R85" s="32">
        <v>0.8</v>
      </c>
      <c r="S85" s="32">
        <v>6.7857142857142866E-2</v>
      </c>
      <c r="T85" s="32">
        <v>8.2857142857142865E-2</v>
      </c>
      <c r="U85" s="32">
        <v>2714285.714285715</v>
      </c>
      <c r="V85" s="32">
        <v>3314285.714285715</v>
      </c>
      <c r="W85" s="32"/>
      <c r="X85" s="32"/>
      <c r="Y85" s="32"/>
      <c r="Z85" s="32"/>
      <c r="AA85" s="32">
        <v>0.02</v>
      </c>
      <c r="AB85" s="32">
        <v>0.03</v>
      </c>
      <c r="AC85" s="32">
        <v>2.5000000000000001E-2</v>
      </c>
      <c r="AD85" s="32">
        <v>0.13698630136986301</v>
      </c>
      <c r="AE85" s="32">
        <v>371819.96086105681</v>
      </c>
      <c r="AF85" s="32">
        <v>454011.74168297462</v>
      </c>
      <c r="AG85" s="32" t="s">
        <v>1463</v>
      </c>
      <c r="AH85" s="32" t="s">
        <v>1464</v>
      </c>
      <c r="AI85" s="32" t="s">
        <v>2046</v>
      </c>
      <c r="AJ85" s="32"/>
      <c r="AK85" s="28"/>
      <c r="AL85" s="18" t="str">
        <f t="shared" si="1"/>
        <v>Do you review pack sizes and explore delivery options in bulk or flexi tanks to streamline supply chain operations and reduce costs?_</v>
      </c>
    </row>
    <row r="86" spans="1:38" ht="43.5" x14ac:dyDescent="0.35">
      <c r="A86" s="32">
        <v>3</v>
      </c>
      <c r="B86" s="32" t="s">
        <v>1451</v>
      </c>
      <c r="C86" s="32" t="s">
        <v>1452</v>
      </c>
      <c r="D86" s="32" t="s">
        <v>1224</v>
      </c>
      <c r="E86" s="32" t="s">
        <v>1453</v>
      </c>
      <c r="F86" s="32"/>
      <c r="G86" s="32" t="s">
        <v>1279</v>
      </c>
      <c r="H86" s="32" t="s">
        <v>1336</v>
      </c>
      <c r="I86" s="32"/>
      <c r="J86" s="32" t="s">
        <v>1239</v>
      </c>
      <c r="K86" s="32" t="s">
        <v>1332</v>
      </c>
      <c r="L86" s="32" t="s">
        <v>1333</v>
      </c>
      <c r="M86" s="32" t="s">
        <v>1334</v>
      </c>
      <c r="N86" s="32" t="s">
        <v>1335</v>
      </c>
      <c r="O86" s="32">
        <v>2</v>
      </c>
      <c r="P86" s="32">
        <v>0.04</v>
      </c>
      <c r="Q86" s="32">
        <v>0.1</v>
      </c>
      <c r="R86" s="32">
        <v>0.8</v>
      </c>
      <c r="S86" s="32">
        <v>6.7857142857142866E-2</v>
      </c>
      <c r="T86" s="32">
        <v>8.2857142857142865E-2</v>
      </c>
      <c r="U86" s="32">
        <v>2714285.714285715</v>
      </c>
      <c r="V86" s="32">
        <v>3314285.714285715</v>
      </c>
      <c r="W86" s="32"/>
      <c r="X86" s="32"/>
      <c r="Y86" s="32"/>
      <c r="Z86" s="32"/>
      <c r="AA86" s="32">
        <v>0.02</v>
      </c>
      <c r="AB86" s="32">
        <v>0.03</v>
      </c>
      <c r="AC86" s="32">
        <v>2.5000000000000001E-2</v>
      </c>
      <c r="AD86" s="32">
        <v>0.13698630136986301</v>
      </c>
      <c r="AE86" s="32">
        <v>371819.96086105681</v>
      </c>
      <c r="AF86" s="32">
        <v>454011.74168297462</v>
      </c>
      <c r="AG86" s="32" t="s">
        <v>1465</v>
      </c>
      <c r="AH86" s="32" t="s">
        <v>1466</v>
      </c>
      <c r="AI86" s="32" t="s">
        <v>2046</v>
      </c>
      <c r="AJ86" s="32"/>
      <c r="AK86" s="28"/>
      <c r="AL86" s="18" t="str">
        <f t="shared" si="1"/>
        <v>Do you review pack sizes and explore delivery options in bulk or flexi tanks to streamline supply chain operations and reduce costs?_</v>
      </c>
    </row>
    <row r="87" spans="1:38" ht="43.5" x14ac:dyDescent="0.35">
      <c r="A87" s="32">
        <v>3</v>
      </c>
      <c r="B87" s="32" t="s">
        <v>1451</v>
      </c>
      <c r="C87" s="32" t="s">
        <v>1452</v>
      </c>
      <c r="D87" s="32" t="s">
        <v>1224</v>
      </c>
      <c r="E87" s="32" t="s">
        <v>1453</v>
      </c>
      <c r="F87" s="32"/>
      <c r="G87" s="32" t="s">
        <v>1279</v>
      </c>
      <c r="H87" s="32" t="s">
        <v>1336</v>
      </c>
      <c r="I87" s="32"/>
      <c r="J87" s="32" t="s">
        <v>1239</v>
      </c>
      <c r="K87" s="32" t="s">
        <v>1332</v>
      </c>
      <c r="L87" s="32" t="s">
        <v>1333</v>
      </c>
      <c r="M87" s="32" t="s">
        <v>1334</v>
      </c>
      <c r="N87" s="32" t="s">
        <v>1335</v>
      </c>
      <c r="O87" s="32">
        <v>2</v>
      </c>
      <c r="P87" s="32">
        <v>0.04</v>
      </c>
      <c r="Q87" s="32">
        <v>0.1</v>
      </c>
      <c r="R87" s="32">
        <v>0.8</v>
      </c>
      <c r="S87" s="32">
        <v>6.7857142857142866E-2</v>
      </c>
      <c r="T87" s="32">
        <v>8.2857142857142865E-2</v>
      </c>
      <c r="U87" s="32">
        <v>2714285.714285715</v>
      </c>
      <c r="V87" s="32">
        <v>3314285.714285715</v>
      </c>
      <c r="W87" s="32"/>
      <c r="X87" s="32"/>
      <c r="Y87" s="32"/>
      <c r="Z87" s="32"/>
      <c r="AA87" s="32">
        <v>0.02</v>
      </c>
      <c r="AB87" s="32">
        <v>0.03</v>
      </c>
      <c r="AC87" s="32">
        <v>2.5000000000000001E-2</v>
      </c>
      <c r="AD87" s="32">
        <v>0.13698630136986301</v>
      </c>
      <c r="AE87" s="32">
        <v>371819.96086105681</v>
      </c>
      <c r="AF87" s="32">
        <v>454011.74168297462</v>
      </c>
      <c r="AG87" s="32" t="s">
        <v>1467</v>
      </c>
      <c r="AH87" s="32" t="s">
        <v>1468</v>
      </c>
      <c r="AI87" s="32" t="s">
        <v>2046</v>
      </c>
      <c r="AJ87" s="32"/>
      <c r="AK87" s="28"/>
      <c r="AL87" s="18" t="str">
        <f t="shared" si="1"/>
        <v>Do you review pack sizes and explore delivery options in bulk or flexi tanks to streamline supply chain operations and reduce costs?_</v>
      </c>
    </row>
    <row r="88" spans="1:38" ht="43.5" x14ac:dyDescent="0.35">
      <c r="A88" s="32">
        <v>3</v>
      </c>
      <c r="B88" s="32" t="s">
        <v>1451</v>
      </c>
      <c r="C88" s="32" t="s">
        <v>1452</v>
      </c>
      <c r="D88" s="32" t="s">
        <v>1224</v>
      </c>
      <c r="E88" s="32" t="s">
        <v>1453</v>
      </c>
      <c r="F88" s="32"/>
      <c r="G88" s="32" t="s">
        <v>1279</v>
      </c>
      <c r="H88" s="32" t="s">
        <v>1336</v>
      </c>
      <c r="I88" s="32"/>
      <c r="J88" s="32" t="s">
        <v>1239</v>
      </c>
      <c r="K88" s="32" t="s">
        <v>1332</v>
      </c>
      <c r="L88" s="32" t="s">
        <v>1333</v>
      </c>
      <c r="M88" s="32" t="s">
        <v>1334</v>
      </c>
      <c r="N88" s="32" t="s">
        <v>1335</v>
      </c>
      <c r="O88" s="32">
        <v>2</v>
      </c>
      <c r="P88" s="32">
        <v>0.04</v>
      </c>
      <c r="Q88" s="32">
        <v>0.1</v>
      </c>
      <c r="R88" s="32">
        <v>0.8</v>
      </c>
      <c r="S88" s="32">
        <v>6.7857142857142866E-2</v>
      </c>
      <c r="T88" s="32">
        <v>8.2857142857142865E-2</v>
      </c>
      <c r="U88" s="32">
        <v>2714285.714285715</v>
      </c>
      <c r="V88" s="32">
        <v>3314285.714285715</v>
      </c>
      <c r="W88" s="32"/>
      <c r="X88" s="32"/>
      <c r="Y88" s="32"/>
      <c r="Z88" s="32"/>
      <c r="AA88" s="32">
        <v>0.02</v>
      </c>
      <c r="AB88" s="32">
        <v>0.03</v>
      </c>
      <c r="AC88" s="32">
        <v>2.5000000000000001E-2</v>
      </c>
      <c r="AD88" s="32">
        <v>0.13698630136986301</v>
      </c>
      <c r="AE88" s="32">
        <v>371819.96086105681</v>
      </c>
      <c r="AF88" s="32">
        <v>454011.74168297462</v>
      </c>
      <c r="AG88" s="32" t="s">
        <v>1471</v>
      </c>
      <c r="AH88" s="32" t="s">
        <v>1472</v>
      </c>
      <c r="AI88" s="32" t="s">
        <v>2046</v>
      </c>
      <c r="AJ88" s="32"/>
      <c r="AK88" s="28"/>
      <c r="AL88" s="18" t="str">
        <f t="shared" si="1"/>
        <v>Do you review pack sizes and explore delivery options in bulk or flexi tanks to streamline supply chain operations and reduce costs?_</v>
      </c>
    </row>
    <row r="89" spans="1:38" ht="43.5" x14ac:dyDescent="0.35">
      <c r="A89" s="32">
        <v>3</v>
      </c>
      <c r="B89" s="32" t="s">
        <v>1451</v>
      </c>
      <c r="C89" s="32" t="s">
        <v>1452</v>
      </c>
      <c r="D89" s="32" t="s">
        <v>1224</v>
      </c>
      <c r="E89" s="32" t="s">
        <v>1453</v>
      </c>
      <c r="F89" s="32"/>
      <c r="G89" s="32" t="s">
        <v>1279</v>
      </c>
      <c r="H89" s="32" t="s">
        <v>1336</v>
      </c>
      <c r="I89" s="32"/>
      <c r="J89" s="32" t="s">
        <v>1239</v>
      </c>
      <c r="K89" s="32" t="s">
        <v>1332</v>
      </c>
      <c r="L89" s="32" t="s">
        <v>1333</v>
      </c>
      <c r="M89" s="32" t="s">
        <v>1334</v>
      </c>
      <c r="N89" s="32" t="s">
        <v>1335</v>
      </c>
      <c r="O89" s="32">
        <v>2</v>
      </c>
      <c r="P89" s="32">
        <v>0.04</v>
      </c>
      <c r="Q89" s="32">
        <v>0.1</v>
      </c>
      <c r="R89" s="32">
        <v>0.8</v>
      </c>
      <c r="S89" s="32">
        <v>6.7857142857142866E-2</v>
      </c>
      <c r="T89" s="32">
        <v>8.2857142857142865E-2</v>
      </c>
      <c r="U89" s="32">
        <v>2714285.714285715</v>
      </c>
      <c r="V89" s="32">
        <v>3314285.714285715</v>
      </c>
      <c r="W89" s="32"/>
      <c r="X89" s="32"/>
      <c r="Y89" s="32"/>
      <c r="Z89" s="32"/>
      <c r="AA89" s="32">
        <v>0.02</v>
      </c>
      <c r="AB89" s="32">
        <v>0.03</v>
      </c>
      <c r="AC89" s="32">
        <v>2.5000000000000001E-2</v>
      </c>
      <c r="AD89" s="32">
        <v>0.13698630136986301</v>
      </c>
      <c r="AE89" s="32">
        <v>371819.96086105681</v>
      </c>
      <c r="AF89" s="32">
        <v>454011.74168297462</v>
      </c>
      <c r="AG89" s="32" t="s">
        <v>1475</v>
      </c>
      <c r="AH89" s="32" t="s">
        <v>1476</v>
      </c>
      <c r="AI89" s="32" t="s">
        <v>2046</v>
      </c>
      <c r="AJ89" s="32"/>
      <c r="AK89" s="28"/>
      <c r="AL89" s="18" t="str">
        <f t="shared" si="1"/>
        <v>Do you review pack sizes and explore delivery options in bulk or flexi tanks to streamline supply chain operations and reduce costs?_</v>
      </c>
    </row>
    <row r="90" spans="1:38" ht="87" x14ac:dyDescent="0.35">
      <c r="A90" s="32">
        <v>3</v>
      </c>
      <c r="B90" s="32" t="s">
        <v>1451</v>
      </c>
      <c r="C90" s="32" t="s">
        <v>1452</v>
      </c>
      <c r="D90" s="32" t="s">
        <v>1224</v>
      </c>
      <c r="E90" s="32" t="s">
        <v>1453</v>
      </c>
      <c r="F90" s="32"/>
      <c r="G90" s="32" t="s">
        <v>1279</v>
      </c>
      <c r="H90" s="32" t="s">
        <v>1336</v>
      </c>
      <c r="I90" s="32"/>
      <c r="J90" s="32" t="s">
        <v>1239</v>
      </c>
      <c r="K90" s="32" t="s">
        <v>1332</v>
      </c>
      <c r="L90" s="32" t="s">
        <v>1333</v>
      </c>
      <c r="M90" s="32" t="s">
        <v>1334</v>
      </c>
      <c r="N90" s="32" t="s">
        <v>1335</v>
      </c>
      <c r="O90" s="32">
        <v>2</v>
      </c>
      <c r="P90" s="32">
        <v>0.04</v>
      </c>
      <c r="Q90" s="32">
        <v>0.1</v>
      </c>
      <c r="R90" s="32">
        <v>0.8</v>
      </c>
      <c r="S90" s="32">
        <v>6.7857142857142866E-2</v>
      </c>
      <c r="T90" s="32">
        <v>8.2857142857142865E-2</v>
      </c>
      <c r="U90" s="32">
        <v>2714285.714285715</v>
      </c>
      <c r="V90" s="32">
        <v>3314285.714285715</v>
      </c>
      <c r="W90" s="32"/>
      <c r="X90" s="32"/>
      <c r="Y90" s="32"/>
      <c r="Z90" s="32"/>
      <c r="AA90" s="32">
        <v>0.02</v>
      </c>
      <c r="AB90" s="32">
        <v>0.03</v>
      </c>
      <c r="AC90" s="32">
        <v>2.5000000000000001E-2</v>
      </c>
      <c r="AD90" s="32">
        <v>0.13698630136986301</v>
      </c>
      <c r="AE90" s="32">
        <v>371819.96086105681</v>
      </c>
      <c r="AF90" s="32">
        <v>454011.74168297462</v>
      </c>
      <c r="AG90" s="32" t="s">
        <v>1477</v>
      </c>
      <c r="AH90" s="32" t="s">
        <v>1478</v>
      </c>
      <c r="AI90" s="32" t="s">
        <v>2046</v>
      </c>
      <c r="AJ90" s="32" t="s">
        <v>2058</v>
      </c>
      <c r="AK90" s="28" t="s">
        <v>2059</v>
      </c>
      <c r="AL90" s="18" t="str">
        <f t="shared" si="1"/>
        <v>Do you review pack sizes and explore delivery options in bulk or flexi tanks to streamline supply chain operations and reduce costs?_If SKU-level pricing data shows multiple UoMs, and variations in order sizes, call these out as examples of non-standard orders / order size proliferation</v>
      </c>
    </row>
    <row r="91" spans="1:38" ht="43.5" x14ac:dyDescent="0.35">
      <c r="A91" s="32">
        <v>3</v>
      </c>
      <c r="B91" s="32" t="s">
        <v>1451</v>
      </c>
      <c r="C91" s="32" t="s">
        <v>1452</v>
      </c>
      <c r="D91" s="32" t="s">
        <v>1224</v>
      </c>
      <c r="E91" s="32" t="s">
        <v>1453</v>
      </c>
      <c r="F91" s="32"/>
      <c r="G91" s="32" t="s">
        <v>1279</v>
      </c>
      <c r="H91" s="32" t="s">
        <v>1336</v>
      </c>
      <c r="I91" s="32"/>
      <c r="J91" s="32" t="s">
        <v>1239</v>
      </c>
      <c r="K91" s="32" t="s">
        <v>1332</v>
      </c>
      <c r="L91" s="32" t="s">
        <v>1333</v>
      </c>
      <c r="M91" s="32" t="s">
        <v>1334</v>
      </c>
      <c r="N91" s="32" t="s">
        <v>1335</v>
      </c>
      <c r="O91" s="32">
        <v>2</v>
      </c>
      <c r="P91" s="32">
        <v>0.04</v>
      </c>
      <c r="Q91" s="32">
        <v>0.1</v>
      </c>
      <c r="R91" s="32">
        <v>0.8</v>
      </c>
      <c r="S91" s="32">
        <v>6.7857142857142866E-2</v>
      </c>
      <c r="T91" s="32">
        <v>8.2857142857142865E-2</v>
      </c>
      <c r="U91" s="32">
        <v>2714285.714285715</v>
      </c>
      <c r="V91" s="32">
        <v>3314285.714285715</v>
      </c>
      <c r="W91" s="32"/>
      <c r="X91" s="32"/>
      <c r="Y91" s="32"/>
      <c r="Z91" s="32"/>
      <c r="AA91" s="32">
        <v>0.02</v>
      </c>
      <c r="AB91" s="32">
        <v>0.03</v>
      </c>
      <c r="AC91" s="32">
        <v>2.5000000000000001E-2</v>
      </c>
      <c r="AD91" s="32">
        <v>0.13698630136986301</v>
      </c>
      <c r="AE91" s="32">
        <v>371819.96086105681</v>
      </c>
      <c r="AF91" s="32">
        <v>454011.74168297462</v>
      </c>
      <c r="AG91" s="32" t="s">
        <v>1481</v>
      </c>
      <c r="AH91" s="32" t="s">
        <v>1482</v>
      </c>
      <c r="AI91" s="32" t="s">
        <v>2046</v>
      </c>
      <c r="AJ91" s="32"/>
      <c r="AK91" s="28"/>
      <c r="AL91" s="18" t="str">
        <f t="shared" si="1"/>
        <v>Do you review pack sizes and explore delivery options in bulk or flexi tanks to streamline supply chain operations and reduce costs?_</v>
      </c>
    </row>
    <row r="92" spans="1:38" ht="58" x14ac:dyDescent="0.35">
      <c r="A92" s="32">
        <v>3</v>
      </c>
      <c r="B92" s="32" t="s">
        <v>1451</v>
      </c>
      <c r="C92" s="32" t="s">
        <v>1452</v>
      </c>
      <c r="D92" s="32" t="s">
        <v>1224</v>
      </c>
      <c r="E92" s="32" t="s">
        <v>1453</v>
      </c>
      <c r="F92" s="32"/>
      <c r="G92" s="32" t="s">
        <v>1279</v>
      </c>
      <c r="H92" s="32" t="s">
        <v>1336</v>
      </c>
      <c r="I92" s="32"/>
      <c r="J92" s="32" t="s">
        <v>1239</v>
      </c>
      <c r="K92" s="32" t="s">
        <v>1332</v>
      </c>
      <c r="L92" s="32" t="s">
        <v>1333</v>
      </c>
      <c r="M92" s="32" t="s">
        <v>1334</v>
      </c>
      <c r="N92" s="32" t="s">
        <v>1335</v>
      </c>
      <c r="O92" s="32">
        <v>2</v>
      </c>
      <c r="P92" s="32">
        <v>0.04</v>
      </c>
      <c r="Q92" s="32">
        <v>0.1</v>
      </c>
      <c r="R92" s="32">
        <v>0.8</v>
      </c>
      <c r="S92" s="32">
        <v>6.7857142857142866E-2</v>
      </c>
      <c r="T92" s="32">
        <v>8.2857142857142865E-2</v>
      </c>
      <c r="U92" s="32">
        <v>2714285.714285715</v>
      </c>
      <c r="V92" s="32">
        <v>3314285.714285715</v>
      </c>
      <c r="W92" s="32"/>
      <c r="X92" s="32"/>
      <c r="Y92" s="32"/>
      <c r="Z92" s="32"/>
      <c r="AA92" s="32">
        <v>0.02</v>
      </c>
      <c r="AB92" s="32">
        <v>0.03</v>
      </c>
      <c r="AC92" s="32">
        <v>2.5000000000000001E-2</v>
      </c>
      <c r="AD92" s="32">
        <v>0.13698630136986301</v>
      </c>
      <c r="AE92" s="32">
        <v>371819.96086105681</v>
      </c>
      <c r="AF92" s="32">
        <v>454011.74168297462</v>
      </c>
      <c r="AG92" s="32" t="s">
        <v>1483</v>
      </c>
      <c r="AH92" s="32" t="s">
        <v>1484</v>
      </c>
      <c r="AI92" s="32" t="s">
        <v>2046</v>
      </c>
      <c r="AJ92" s="32"/>
      <c r="AK92" s="28"/>
      <c r="AL92" s="18" t="str">
        <f t="shared" si="1"/>
        <v>Do you review pack sizes and explore delivery options in bulk or flexi tanks to streamline supply chain operations and reduce costs?_</v>
      </c>
    </row>
    <row r="93" spans="1:38" ht="43.5" x14ac:dyDescent="0.35">
      <c r="A93" s="32">
        <v>3</v>
      </c>
      <c r="B93" s="32" t="s">
        <v>1451</v>
      </c>
      <c r="C93" s="32" t="s">
        <v>1452</v>
      </c>
      <c r="D93" s="32" t="s">
        <v>1224</v>
      </c>
      <c r="E93" s="32" t="s">
        <v>1453</v>
      </c>
      <c r="F93" s="32"/>
      <c r="G93" s="32" t="s">
        <v>1279</v>
      </c>
      <c r="H93" s="32" t="s">
        <v>1336</v>
      </c>
      <c r="I93" s="32"/>
      <c r="J93" s="32" t="s">
        <v>1239</v>
      </c>
      <c r="K93" s="32" t="s">
        <v>1332</v>
      </c>
      <c r="L93" s="32" t="s">
        <v>1333</v>
      </c>
      <c r="M93" s="32" t="s">
        <v>1334</v>
      </c>
      <c r="N93" s="32" t="s">
        <v>1335</v>
      </c>
      <c r="O93" s="32">
        <v>2</v>
      </c>
      <c r="P93" s="32">
        <v>0.04</v>
      </c>
      <c r="Q93" s="32">
        <v>0.1</v>
      </c>
      <c r="R93" s="32">
        <v>0.8</v>
      </c>
      <c r="S93" s="32">
        <v>6.7857142857142866E-2</v>
      </c>
      <c r="T93" s="32">
        <v>8.2857142857142865E-2</v>
      </c>
      <c r="U93" s="32">
        <v>2714285.714285715</v>
      </c>
      <c r="V93" s="32">
        <v>3314285.714285715</v>
      </c>
      <c r="W93" s="32"/>
      <c r="X93" s="32"/>
      <c r="Y93" s="32"/>
      <c r="Z93" s="32"/>
      <c r="AA93" s="32">
        <v>0.02</v>
      </c>
      <c r="AB93" s="32">
        <v>0.03</v>
      </c>
      <c r="AC93" s="32">
        <v>2.5000000000000001E-2</v>
      </c>
      <c r="AD93" s="32">
        <v>0.13698630136986301</v>
      </c>
      <c r="AE93" s="32">
        <v>371819.96086105681</v>
      </c>
      <c r="AF93" s="32">
        <v>454011.74168297462</v>
      </c>
      <c r="AG93" s="32" t="s">
        <v>1486</v>
      </c>
      <c r="AH93" s="32" t="s">
        <v>1487</v>
      </c>
      <c r="AI93" s="32" t="s">
        <v>2046</v>
      </c>
      <c r="AJ93" s="32"/>
      <c r="AK93" s="28"/>
      <c r="AL93" s="18" t="str">
        <f t="shared" si="1"/>
        <v>Do you review pack sizes and explore delivery options in bulk or flexi tanks to streamline supply chain operations and reduce costs?_</v>
      </c>
    </row>
    <row r="94" spans="1:38" ht="43.5" x14ac:dyDescent="0.35">
      <c r="A94" s="32">
        <v>3</v>
      </c>
      <c r="B94" s="32" t="s">
        <v>1451</v>
      </c>
      <c r="C94" s="32" t="s">
        <v>1452</v>
      </c>
      <c r="D94" s="32" t="s">
        <v>1224</v>
      </c>
      <c r="E94" s="32" t="s">
        <v>1453</v>
      </c>
      <c r="F94" s="32"/>
      <c r="G94" s="32" t="s">
        <v>1279</v>
      </c>
      <c r="H94" s="32" t="s">
        <v>1336</v>
      </c>
      <c r="I94" s="32"/>
      <c r="J94" s="32" t="s">
        <v>1239</v>
      </c>
      <c r="K94" s="32" t="s">
        <v>1332</v>
      </c>
      <c r="L94" s="32" t="s">
        <v>1333</v>
      </c>
      <c r="M94" s="32" t="s">
        <v>1334</v>
      </c>
      <c r="N94" s="32" t="s">
        <v>1335</v>
      </c>
      <c r="O94" s="32">
        <v>2</v>
      </c>
      <c r="P94" s="32">
        <v>0.04</v>
      </c>
      <c r="Q94" s="32">
        <v>0.1</v>
      </c>
      <c r="R94" s="32">
        <v>0.8</v>
      </c>
      <c r="S94" s="32">
        <v>6.7857142857142866E-2</v>
      </c>
      <c r="T94" s="32">
        <v>8.2857142857142865E-2</v>
      </c>
      <c r="U94" s="32">
        <v>2714285.714285715</v>
      </c>
      <c r="V94" s="32">
        <v>3314285.714285715</v>
      </c>
      <c r="W94" s="32"/>
      <c r="X94" s="32"/>
      <c r="Y94" s="32"/>
      <c r="Z94" s="32"/>
      <c r="AA94" s="32">
        <v>0.02</v>
      </c>
      <c r="AB94" s="32">
        <v>0.03</v>
      </c>
      <c r="AC94" s="32">
        <v>2.5000000000000001E-2</v>
      </c>
      <c r="AD94" s="32">
        <v>0.13698630136986301</v>
      </c>
      <c r="AE94" s="32">
        <v>371819.96086105681</v>
      </c>
      <c r="AF94" s="32">
        <v>454011.74168297462</v>
      </c>
      <c r="AG94" s="32" t="s">
        <v>1488</v>
      </c>
      <c r="AH94" s="32" t="s">
        <v>1489</v>
      </c>
      <c r="AI94" s="32" t="s">
        <v>2046</v>
      </c>
      <c r="AJ94" s="32"/>
      <c r="AK94" s="28"/>
      <c r="AL94" s="18" t="str">
        <f t="shared" si="1"/>
        <v>Do you review pack sizes and explore delivery options in bulk or flexi tanks to streamline supply chain operations and reduce costs?_</v>
      </c>
    </row>
    <row r="95" spans="1:38" ht="43.5" x14ac:dyDescent="0.35">
      <c r="A95" s="32">
        <v>3</v>
      </c>
      <c r="B95" s="32" t="s">
        <v>1451</v>
      </c>
      <c r="C95" s="32" t="s">
        <v>1452</v>
      </c>
      <c r="D95" s="32" t="s">
        <v>1224</v>
      </c>
      <c r="E95" s="32" t="s">
        <v>1453</v>
      </c>
      <c r="F95" s="32"/>
      <c r="G95" s="32" t="s">
        <v>1279</v>
      </c>
      <c r="H95" s="32" t="s">
        <v>1336</v>
      </c>
      <c r="I95" s="32"/>
      <c r="J95" s="32" t="s">
        <v>1239</v>
      </c>
      <c r="K95" s="32" t="s">
        <v>1332</v>
      </c>
      <c r="L95" s="32" t="s">
        <v>1333</v>
      </c>
      <c r="M95" s="32" t="s">
        <v>1334</v>
      </c>
      <c r="N95" s="32" t="s">
        <v>1335</v>
      </c>
      <c r="O95" s="32">
        <v>2</v>
      </c>
      <c r="P95" s="32">
        <v>0.04</v>
      </c>
      <c r="Q95" s="32">
        <v>0.1</v>
      </c>
      <c r="R95" s="32">
        <v>0.8</v>
      </c>
      <c r="S95" s="32">
        <v>6.7857142857142866E-2</v>
      </c>
      <c r="T95" s="32">
        <v>8.2857142857142865E-2</v>
      </c>
      <c r="U95" s="32">
        <v>2714285.714285715</v>
      </c>
      <c r="V95" s="32">
        <v>3314285.714285715</v>
      </c>
      <c r="W95" s="32"/>
      <c r="X95" s="32"/>
      <c r="Y95" s="32"/>
      <c r="Z95" s="32"/>
      <c r="AA95" s="32">
        <v>0.02</v>
      </c>
      <c r="AB95" s="32">
        <v>0.03</v>
      </c>
      <c r="AC95" s="32">
        <v>2.5000000000000001E-2</v>
      </c>
      <c r="AD95" s="32">
        <v>0.13698630136986301</v>
      </c>
      <c r="AE95" s="32">
        <v>371819.96086105681</v>
      </c>
      <c r="AF95" s="32">
        <v>454011.74168297462</v>
      </c>
      <c r="AG95" s="32" t="s">
        <v>1490</v>
      </c>
      <c r="AH95" s="32" t="s">
        <v>1491</v>
      </c>
      <c r="AI95" s="32" t="s">
        <v>2046</v>
      </c>
      <c r="AJ95" s="32"/>
      <c r="AK95" s="28"/>
      <c r="AL95" s="18" t="str">
        <f t="shared" si="1"/>
        <v>Do you review pack sizes and explore delivery options in bulk or flexi tanks to streamline supply chain operations and reduce costs?_</v>
      </c>
    </row>
    <row r="96" spans="1:38" ht="43.5" x14ac:dyDescent="0.35">
      <c r="A96" s="32">
        <v>3</v>
      </c>
      <c r="B96" s="32" t="s">
        <v>1451</v>
      </c>
      <c r="C96" s="32" t="s">
        <v>1452</v>
      </c>
      <c r="D96" s="32" t="s">
        <v>1224</v>
      </c>
      <c r="E96" s="32" t="s">
        <v>1453</v>
      </c>
      <c r="F96" s="32"/>
      <c r="G96" s="32" t="s">
        <v>1279</v>
      </c>
      <c r="H96" s="32" t="s">
        <v>1336</v>
      </c>
      <c r="I96" s="32"/>
      <c r="J96" s="32" t="s">
        <v>1239</v>
      </c>
      <c r="K96" s="32" t="s">
        <v>1332</v>
      </c>
      <c r="L96" s="32" t="s">
        <v>1333</v>
      </c>
      <c r="M96" s="32" t="s">
        <v>1334</v>
      </c>
      <c r="N96" s="32" t="s">
        <v>1335</v>
      </c>
      <c r="O96" s="32">
        <v>2</v>
      </c>
      <c r="P96" s="32">
        <v>0.04</v>
      </c>
      <c r="Q96" s="32">
        <v>0.1</v>
      </c>
      <c r="R96" s="32">
        <v>0.8</v>
      </c>
      <c r="S96" s="32">
        <v>6.7857142857142866E-2</v>
      </c>
      <c r="T96" s="32">
        <v>8.2857142857142865E-2</v>
      </c>
      <c r="U96" s="32">
        <v>2714285.714285715</v>
      </c>
      <c r="V96" s="32">
        <v>3314285.714285715</v>
      </c>
      <c r="W96" s="32"/>
      <c r="X96" s="32"/>
      <c r="Y96" s="32"/>
      <c r="Z96" s="32"/>
      <c r="AA96" s="32">
        <v>0.02</v>
      </c>
      <c r="AB96" s="32">
        <v>0.03</v>
      </c>
      <c r="AC96" s="32">
        <v>2.5000000000000001E-2</v>
      </c>
      <c r="AD96" s="32">
        <v>0.13698630136986301</v>
      </c>
      <c r="AE96" s="32">
        <v>371819.96086105681</v>
      </c>
      <c r="AF96" s="32">
        <v>454011.74168297462</v>
      </c>
      <c r="AG96" s="32" t="s">
        <v>1492</v>
      </c>
      <c r="AH96" s="32" t="s">
        <v>1538</v>
      </c>
      <c r="AI96" s="32" t="s">
        <v>1493</v>
      </c>
      <c r="AJ96" s="32"/>
      <c r="AK96" s="28"/>
      <c r="AL96" s="18" t="str">
        <f t="shared" si="1"/>
        <v>Do you review pack sizes and explore delivery options in bulk or flexi tanks to streamline supply chain operations and reduce costs?_</v>
      </c>
    </row>
    <row r="97" spans="1:38" ht="43.5" x14ac:dyDescent="0.35">
      <c r="A97" s="32">
        <v>3</v>
      </c>
      <c r="B97" s="32" t="s">
        <v>1451</v>
      </c>
      <c r="C97" s="32" t="s">
        <v>1452</v>
      </c>
      <c r="D97" s="32" t="s">
        <v>1224</v>
      </c>
      <c r="E97" s="32" t="s">
        <v>1453</v>
      </c>
      <c r="F97" s="32"/>
      <c r="G97" s="32" t="s">
        <v>1279</v>
      </c>
      <c r="H97" s="32" t="s">
        <v>1336</v>
      </c>
      <c r="I97" s="32"/>
      <c r="J97" s="32" t="s">
        <v>1239</v>
      </c>
      <c r="K97" s="32" t="s">
        <v>1332</v>
      </c>
      <c r="L97" s="32" t="s">
        <v>1333</v>
      </c>
      <c r="M97" s="32" t="s">
        <v>1334</v>
      </c>
      <c r="N97" s="32" t="s">
        <v>1335</v>
      </c>
      <c r="O97" s="32">
        <v>2</v>
      </c>
      <c r="P97" s="32">
        <v>0.04</v>
      </c>
      <c r="Q97" s="32">
        <v>0.1</v>
      </c>
      <c r="R97" s="32">
        <v>0.8</v>
      </c>
      <c r="S97" s="32">
        <v>6.7857142857142866E-2</v>
      </c>
      <c r="T97" s="32">
        <v>8.2857142857142865E-2</v>
      </c>
      <c r="U97" s="32">
        <v>2714285.714285715</v>
      </c>
      <c r="V97" s="32">
        <v>3314285.714285715</v>
      </c>
      <c r="W97" s="32"/>
      <c r="X97" s="32"/>
      <c r="Y97" s="32"/>
      <c r="Z97" s="32"/>
      <c r="AA97" s="32">
        <v>0.02</v>
      </c>
      <c r="AB97" s="32">
        <v>0.03</v>
      </c>
      <c r="AC97" s="32">
        <v>2.5000000000000001E-2</v>
      </c>
      <c r="AD97" s="32">
        <v>0.13698630136986301</v>
      </c>
      <c r="AE97" s="32">
        <v>371819.96086105681</v>
      </c>
      <c r="AF97" s="32">
        <v>454011.74168297462</v>
      </c>
      <c r="AG97" s="32" t="s">
        <v>1494</v>
      </c>
      <c r="AH97" s="32" t="s">
        <v>1539</v>
      </c>
      <c r="AI97" s="32" t="s">
        <v>1493</v>
      </c>
      <c r="AJ97" s="32"/>
      <c r="AK97" s="28"/>
      <c r="AL97" s="18" t="str">
        <f t="shared" si="1"/>
        <v>Do you review pack sizes and explore delivery options in bulk or flexi tanks to streamline supply chain operations and reduce costs?_</v>
      </c>
    </row>
    <row r="98" spans="1:38" ht="43.5" x14ac:dyDescent="0.35">
      <c r="A98" s="32">
        <v>3</v>
      </c>
      <c r="B98" s="32" t="s">
        <v>1451</v>
      </c>
      <c r="C98" s="32" t="s">
        <v>1452</v>
      </c>
      <c r="D98" s="32" t="s">
        <v>1224</v>
      </c>
      <c r="E98" s="32" t="s">
        <v>1453</v>
      </c>
      <c r="F98" s="32"/>
      <c r="G98" s="32" t="s">
        <v>1279</v>
      </c>
      <c r="H98" s="32" t="s">
        <v>1336</v>
      </c>
      <c r="I98" s="32"/>
      <c r="J98" s="32" t="s">
        <v>1239</v>
      </c>
      <c r="K98" s="32" t="s">
        <v>1332</v>
      </c>
      <c r="L98" s="32" t="s">
        <v>1333</v>
      </c>
      <c r="M98" s="32" t="s">
        <v>1334</v>
      </c>
      <c r="N98" s="32" t="s">
        <v>1335</v>
      </c>
      <c r="O98" s="32">
        <v>2</v>
      </c>
      <c r="P98" s="32">
        <v>0.04</v>
      </c>
      <c r="Q98" s="32">
        <v>0.1</v>
      </c>
      <c r="R98" s="32">
        <v>0.8</v>
      </c>
      <c r="S98" s="32">
        <v>6.7857142857142866E-2</v>
      </c>
      <c r="T98" s="32">
        <v>8.2857142857142865E-2</v>
      </c>
      <c r="U98" s="32">
        <v>2714285.714285715</v>
      </c>
      <c r="V98" s="32">
        <v>3314285.714285715</v>
      </c>
      <c r="W98" s="32"/>
      <c r="X98" s="32"/>
      <c r="Y98" s="32"/>
      <c r="Z98" s="32"/>
      <c r="AA98" s="32">
        <v>0.02</v>
      </c>
      <c r="AB98" s="32">
        <v>0.03</v>
      </c>
      <c r="AC98" s="32">
        <v>2.5000000000000001E-2</v>
      </c>
      <c r="AD98" s="32">
        <v>0.13698630136986301</v>
      </c>
      <c r="AE98" s="32">
        <v>371819.96086105681</v>
      </c>
      <c r="AF98" s="32">
        <v>454011.74168297462</v>
      </c>
      <c r="AG98" s="32" t="s">
        <v>1495</v>
      </c>
      <c r="AH98" s="32"/>
      <c r="AI98" s="32" t="s">
        <v>1493</v>
      </c>
      <c r="AJ98" s="32"/>
      <c r="AK98" s="28"/>
      <c r="AL98" s="18" t="str">
        <f t="shared" si="1"/>
        <v>Do you review pack sizes and explore delivery options in bulk or flexi tanks to streamline supply chain operations and reduce costs?_</v>
      </c>
    </row>
    <row r="99" spans="1:38" ht="43.5" x14ac:dyDescent="0.35">
      <c r="A99" s="32">
        <v>3</v>
      </c>
      <c r="B99" s="32" t="s">
        <v>1451</v>
      </c>
      <c r="C99" s="32" t="s">
        <v>1452</v>
      </c>
      <c r="D99" s="32" t="s">
        <v>1224</v>
      </c>
      <c r="E99" s="32" t="s">
        <v>1453</v>
      </c>
      <c r="F99" s="32"/>
      <c r="G99" s="32" t="s">
        <v>1279</v>
      </c>
      <c r="H99" s="32" t="s">
        <v>1336</v>
      </c>
      <c r="I99" s="32"/>
      <c r="J99" s="32" t="s">
        <v>1239</v>
      </c>
      <c r="K99" s="32" t="s">
        <v>1332</v>
      </c>
      <c r="L99" s="32" t="s">
        <v>1333</v>
      </c>
      <c r="M99" s="32" t="s">
        <v>1334</v>
      </c>
      <c r="N99" s="32" t="s">
        <v>1335</v>
      </c>
      <c r="O99" s="32">
        <v>2</v>
      </c>
      <c r="P99" s="32">
        <v>0.04</v>
      </c>
      <c r="Q99" s="32">
        <v>0.1</v>
      </c>
      <c r="R99" s="32">
        <v>0.8</v>
      </c>
      <c r="S99" s="32">
        <v>6.7857142857142866E-2</v>
      </c>
      <c r="T99" s="32">
        <v>8.2857142857142865E-2</v>
      </c>
      <c r="U99" s="32">
        <v>2714285.714285715</v>
      </c>
      <c r="V99" s="32">
        <v>3314285.714285715</v>
      </c>
      <c r="W99" s="32"/>
      <c r="X99" s="32"/>
      <c r="Y99" s="32"/>
      <c r="Z99" s="32"/>
      <c r="AA99" s="32">
        <v>0.02</v>
      </c>
      <c r="AB99" s="32">
        <v>0.03</v>
      </c>
      <c r="AC99" s="32">
        <v>2.5000000000000001E-2</v>
      </c>
      <c r="AD99" s="32">
        <v>0.13698630136986301</v>
      </c>
      <c r="AE99" s="32">
        <v>371819.96086105681</v>
      </c>
      <c r="AF99" s="32">
        <v>454011.74168297462</v>
      </c>
      <c r="AG99" s="32" t="s">
        <v>1496</v>
      </c>
      <c r="AH99" s="32"/>
      <c r="AI99" s="32" t="s">
        <v>1493</v>
      </c>
      <c r="AJ99" s="32"/>
      <c r="AK99" s="28"/>
      <c r="AL99" s="18" t="str">
        <f t="shared" si="1"/>
        <v>Do you review pack sizes and explore delivery options in bulk or flexi tanks to streamline supply chain operations and reduce costs?_</v>
      </c>
    </row>
    <row r="100" spans="1:38" ht="43.5" x14ac:dyDescent="0.35">
      <c r="A100" s="32">
        <v>3</v>
      </c>
      <c r="B100" s="32" t="s">
        <v>1451</v>
      </c>
      <c r="C100" s="32" t="s">
        <v>1452</v>
      </c>
      <c r="D100" s="32" t="s">
        <v>1224</v>
      </c>
      <c r="E100" s="32" t="s">
        <v>1453</v>
      </c>
      <c r="F100" s="32"/>
      <c r="G100" s="32" t="s">
        <v>1279</v>
      </c>
      <c r="H100" s="32" t="s">
        <v>1336</v>
      </c>
      <c r="I100" s="32"/>
      <c r="J100" s="32" t="s">
        <v>1239</v>
      </c>
      <c r="K100" s="32" t="s">
        <v>1332</v>
      </c>
      <c r="L100" s="32" t="s">
        <v>1333</v>
      </c>
      <c r="M100" s="32" t="s">
        <v>1334</v>
      </c>
      <c r="N100" s="32" t="s">
        <v>1335</v>
      </c>
      <c r="O100" s="32">
        <v>2</v>
      </c>
      <c r="P100" s="32">
        <v>0.04</v>
      </c>
      <c r="Q100" s="32">
        <v>0.1</v>
      </c>
      <c r="R100" s="32">
        <v>0.8</v>
      </c>
      <c r="S100" s="32">
        <v>6.7857142857142866E-2</v>
      </c>
      <c r="T100" s="32">
        <v>8.2857142857142865E-2</v>
      </c>
      <c r="U100" s="32">
        <v>2714285.714285715</v>
      </c>
      <c r="V100" s="32">
        <v>3314285.714285715</v>
      </c>
      <c r="W100" s="32"/>
      <c r="X100" s="32"/>
      <c r="Y100" s="32"/>
      <c r="Z100" s="32"/>
      <c r="AA100" s="32">
        <v>0.02</v>
      </c>
      <c r="AB100" s="32">
        <v>0.03</v>
      </c>
      <c r="AC100" s="32">
        <v>2.5000000000000001E-2</v>
      </c>
      <c r="AD100" s="32">
        <v>0.13698630136986301</v>
      </c>
      <c r="AE100" s="32">
        <v>371819.96086105681</v>
      </c>
      <c r="AF100" s="32">
        <v>454011.74168297462</v>
      </c>
      <c r="AG100" s="32" t="s">
        <v>1499</v>
      </c>
      <c r="AH100" s="32"/>
      <c r="AI100" s="32" t="s">
        <v>1493</v>
      </c>
      <c r="AJ100" s="32"/>
      <c r="AK100" s="28"/>
      <c r="AL100" s="18" t="str">
        <f t="shared" si="1"/>
        <v>Do you review pack sizes and explore delivery options in bulk or flexi tanks to streamline supply chain operations and reduce costs?_</v>
      </c>
    </row>
    <row r="101" spans="1:38" ht="43.5" x14ac:dyDescent="0.35">
      <c r="A101" s="32">
        <v>3</v>
      </c>
      <c r="B101" s="32" t="s">
        <v>1451</v>
      </c>
      <c r="C101" s="32" t="s">
        <v>1452</v>
      </c>
      <c r="D101" s="32" t="s">
        <v>1224</v>
      </c>
      <c r="E101" s="32" t="s">
        <v>1453</v>
      </c>
      <c r="F101" s="32"/>
      <c r="G101" s="32" t="s">
        <v>1279</v>
      </c>
      <c r="H101" s="32" t="s">
        <v>1336</v>
      </c>
      <c r="I101" s="32"/>
      <c r="J101" s="32" t="s">
        <v>1239</v>
      </c>
      <c r="K101" s="32" t="s">
        <v>1332</v>
      </c>
      <c r="L101" s="32" t="s">
        <v>1333</v>
      </c>
      <c r="M101" s="32" t="s">
        <v>1334</v>
      </c>
      <c r="N101" s="32" t="s">
        <v>1335</v>
      </c>
      <c r="O101" s="32">
        <v>2</v>
      </c>
      <c r="P101" s="32">
        <v>0.04</v>
      </c>
      <c r="Q101" s="32">
        <v>0.1</v>
      </c>
      <c r="R101" s="32">
        <v>0.8</v>
      </c>
      <c r="S101" s="32">
        <v>6.7857142857142866E-2</v>
      </c>
      <c r="T101" s="32">
        <v>8.2857142857142865E-2</v>
      </c>
      <c r="U101" s="32">
        <v>2714285.714285715</v>
      </c>
      <c r="V101" s="32">
        <v>3314285.714285715</v>
      </c>
      <c r="W101" s="32"/>
      <c r="X101" s="32"/>
      <c r="Y101" s="32"/>
      <c r="Z101" s="32"/>
      <c r="AA101" s="32">
        <v>0.02</v>
      </c>
      <c r="AB101" s="32">
        <v>0.03</v>
      </c>
      <c r="AC101" s="32">
        <v>2.5000000000000001E-2</v>
      </c>
      <c r="AD101" s="32">
        <v>0.13698630136986301</v>
      </c>
      <c r="AE101" s="32">
        <v>371819.96086105681</v>
      </c>
      <c r="AF101" s="32">
        <v>454011.74168297462</v>
      </c>
      <c r="AG101" s="32" t="s">
        <v>1500</v>
      </c>
      <c r="AH101" s="32"/>
      <c r="AI101" s="32" t="s">
        <v>1493</v>
      </c>
      <c r="AJ101" s="32"/>
      <c r="AK101" s="28"/>
      <c r="AL101" s="18" t="str">
        <f t="shared" si="1"/>
        <v>Do you review pack sizes and explore delivery options in bulk or flexi tanks to streamline supply chain operations and reduce costs?_</v>
      </c>
    </row>
    <row r="102" spans="1:38" ht="43.5" x14ac:dyDescent="0.35">
      <c r="A102" s="32">
        <v>3</v>
      </c>
      <c r="B102" s="32" t="s">
        <v>1451</v>
      </c>
      <c r="C102" s="32" t="s">
        <v>1452</v>
      </c>
      <c r="D102" s="32" t="s">
        <v>1224</v>
      </c>
      <c r="E102" s="32" t="s">
        <v>1453</v>
      </c>
      <c r="F102" s="32"/>
      <c r="G102" s="32" t="s">
        <v>1279</v>
      </c>
      <c r="H102" s="32" t="s">
        <v>1336</v>
      </c>
      <c r="I102" s="32"/>
      <c r="J102" s="32" t="s">
        <v>1239</v>
      </c>
      <c r="K102" s="32" t="s">
        <v>1332</v>
      </c>
      <c r="L102" s="32" t="s">
        <v>1333</v>
      </c>
      <c r="M102" s="32" t="s">
        <v>1334</v>
      </c>
      <c r="N102" s="32" t="s">
        <v>1335</v>
      </c>
      <c r="O102" s="32">
        <v>2</v>
      </c>
      <c r="P102" s="32">
        <v>0.04</v>
      </c>
      <c r="Q102" s="32">
        <v>0.1</v>
      </c>
      <c r="R102" s="32">
        <v>0.8</v>
      </c>
      <c r="S102" s="32">
        <v>6.7857142857142866E-2</v>
      </c>
      <c r="T102" s="32">
        <v>8.2857142857142865E-2</v>
      </c>
      <c r="U102" s="32">
        <v>2714285.714285715</v>
      </c>
      <c r="V102" s="32">
        <v>3314285.714285715</v>
      </c>
      <c r="W102" s="32"/>
      <c r="X102" s="32"/>
      <c r="Y102" s="32"/>
      <c r="Z102" s="32"/>
      <c r="AA102" s="32">
        <v>0.02</v>
      </c>
      <c r="AB102" s="32">
        <v>0.03</v>
      </c>
      <c r="AC102" s="32">
        <v>2.5000000000000001E-2</v>
      </c>
      <c r="AD102" s="32">
        <v>0.13698630136986301</v>
      </c>
      <c r="AE102" s="32">
        <v>371819.96086105681</v>
      </c>
      <c r="AF102" s="32">
        <v>454011.74168297462</v>
      </c>
      <c r="AG102" s="32" t="s">
        <v>1501</v>
      </c>
      <c r="AH102" s="32"/>
      <c r="AI102" s="32" t="s">
        <v>1493</v>
      </c>
      <c r="AJ102" s="32"/>
      <c r="AK102" s="28"/>
      <c r="AL102" s="18" t="str">
        <f t="shared" si="1"/>
        <v>Do you review pack sizes and explore delivery options in bulk or flexi tanks to streamline supply chain operations and reduce costs?_</v>
      </c>
    </row>
    <row r="103" spans="1:38" ht="43.5" x14ac:dyDescent="0.35">
      <c r="A103" s="32">
        <v>3</v>
      </c>
      <c r="B103" s="32" t="s">
        <v>1451</v>
      </c>
      <c r="C103" s="32" t="s">
        <v>1452</v>
      </c>
      <c r="D103" s="32" t="s">
        <v>1224</v>
      </c>
      <c r="E103" s="32" t="s">
        <v>1453</v>
      </c>
      <c r="F103" s="32"/>
      <c r="G103" s="32" t="s">
        <v>1279</v>
      </c>
      <c r="H103" s="32" t="s">
        <v>1336</v>
      </c>
      <c r="I103" s="32"/>
      <c r="J103" s="32" t="s">
        <v>1239</v>
      </c>
      <c r="K103" s="32" t="s">
        <v>1332</v>
      </c>
      <c r="L103" s="32" t="s">
        <v>1333</v>
      </c>
      <c r="M103" s="32" t="s">
        <v>1334</v>
      </c>
      <c r="N103" s="32" t="s">
        <v>1335</v>
      </c>
      <c r="O103" s="32">
        <v>2</v>
      </c>
      <c r="P103" s="32">
        <v>0.04</v>
      </c>
      <c r="Q103" s="32">
        <v>0.1</v>
      </c>
      <c r="R103" s="32">
        <v>0.8</v>
      </c>
      <c r="S103" s="32">
        <v>6.7857142857142866E-2</v>
      </c>
      <c r="T103" s="32">
        <v>8.2857142857142865E-2</v>
      </c>
      <c r="U103" s="32">
        <v>2714285.714285715</v>
      </c>
      <c r="V103" s="32">
        <v>3314285.714285715</v>
      </c>
      <c r="W103" s="32"/>
      <c r="X103" s="32"/>
      <c r="Y103" s="32"/>
      <c r="Z103" s="32"/>
      <c r="AA103" s="32">
        <v>0.02</v>
      </c>
      <c r="AB103" s="32">
        <v>0.03</v>
      </c>
      <c r="AC103" s="32">
        <v>2.5000000000000001E-2</v>
      </c>
      <c r="AD103" s="32">
        <v>0.13698630136986301</v>
      </c>
      <c r="AE103" s="32">
        <v>371819.96086105681</v>
      </c>
      <c r="AF103" s="32">
        <v>454011.74168297462</v>
      </c>
      <c r="AG103" s="32" t="s">
        <v>1502</v>
      </c>
      <c r="AH103" s="32"/>
      <c r="AI103" s="32" t="s">
        <v>1493</v>
      </c>
      <c r="AJ103" s="32"/>
      <c r="AK103" s="28"/>
      <c r="AL103" s="18" t="str">
        <f t="shared" si="1"/>
        <v>Do you review pack sizes and explore delivery options in bulk or flexi tanks to streamline supply chain operations and reduce costs?_</v>
      </c>
    </row>
    <row r="104" spans="1:38" ht="43.5" x14ac:dyDescent="0.35">
      <c r="A104" s="32">
        <v>3</v>
      </c>
      <c r="B104" s="32" t="s">
        <v>1451</v>
      </c>
      <c r="C104" s="32" t="s">
        <v>1452</v>
      </c>
      <c r="D104" s="32" t="s">
        <v>1224</v>
      </c>
      <c r="E104" s="32" t="s">
        <v>1453</v>
      </c>
      <c r="F104" s="32"/>
      <c r="G104" s="32" t="s">
        <v>1279</v>
      </c>
      <c r="H104" s="32" t="s">
        <v>1336</v>
      </c>
      <c r="I104" s="32"/>
      <c r="J104" s="32" t="s">
        <v>1239</v>
      </c>
      <c r="K104" s="32" t="s">
        <v>1332</v>
      </c>
      <c r="L104" s="32" t="s">
        <v>1333</v>
      </c>
      <c r="M104" s="32" t="s">
        <v>1334</v>
      </c>
      <c r="N104" s="32" t="s">
        <v>1335</v>
      </c>
      <c r="O104" s="32">
        <v>2</v>
      </c>
      <c r="P104" s="32">
        <v>0.04</v>
      </c>
      <c r="Q104" s="32">
        <v>0.1</v>
      </c>
      <c r="R104" s="32">
        <v>0.8</v>
      </c>
      <c r="S104" s="32">
        <v>6.7857142857142866E-2</v>
      </c>
      <c r="T104" s="32">
        <v>8.2857142857142865E-2</v>
      </c>
      <c r="U104" s="32">
        <v>2714285.714285715</v>
      </c>
      <c r="V104" s="32">
        <v>3314285.714285715</v>
      </c>
      <c r="W104" s="32"/>
      <c r="X104" s="32"/>
      <c r="Y104" s="32"/>
      <c r="Z104" s="32"/>
      <c r="AA104" s="32">
        <v>0.02</v>
      </c>
      <c r="AB104" s="32">
        <v>0.03</v>
      </c>
      <c r="AC104" s="32">
        <v>2.5000000000000001E-2</v>
      </c>
      <c r="AD104" s="32">
        <v>0.13698630136986301</v>
      </c>
      <c r="AE104" s="32">
        <v>371819.96086105681</v>
      </c>
      <c r="AF104" s="32">
        <v>454011.74168297462</v>
      </c>
      <c r="AG104" s="32" t="s">
        <v>1503</v>
      </c>
      <c r="AH104" s="32"/>
      <c r="AI104" s="32" t="s">
        <v>1493</v>
      </c>
      <c r="AJ104" s="32"/>
      <c r="AK104" s="28"/>
      <c r="AL104" s="18" t="str">
        <f t="shared" si="1"/>
        <v>Do you review pack sizes and explore delivery options in bulk or flexi tanks to streamline supply chain operations and reduce costs?_</v>
      </c>
    </row>
    <row r="105" spans="1:38" ht="43.5" x14ac:dyDescent="0.35">
      <c r="A105" s="32">
        <v>3</v>
      </c>
      <c r="B105" s="32" t="s">
        <v>1451</v>
      </c>
      <c r="C105" s="32" t="s">
        <v>1452</v>
      </c>
      <c r="D105" s="32" t="s">
        <v>1224</v>
      </c>
      <c r="E105" s="32" t="s">
        <v>1453</v>
      </c>
      <c r="F105" s="32"/>
      <c r="G105" s="32" t="s">
        <v>1279</v>
      </c>
      <c r="H105" s="32" t="s">
        <v>1336</v>
      </c>
      <c r="I105" s="32"/>
      <c r="J105" s="32" t="s">
        <v>1239</v>
      </c>
      <c r="K105" s="32" t="s">
        <v>1332</v>
      </c>
      <c r="L105" s="32" t="s">
        <v>1333</v>
      </c>
      <c r="M105" s="32" t="s">
        <v>1334</v>
      </c>
      <c r="N105" s="32" t="s">
        <v>1335</v>
      </c>
      <c r="O105" s="32">
        <v>2</v>
      </c>
      <c r="P105" s="32">
        <v>0.04</v>
      </c>
      <c r="Q105" s="32">
        <v>0.1</v>
      </c>
      <c r="R105" s="32">
        <v>0.8</v>
      </c>
      <c r="S105" s="32">
        <v>6.7857142857142866E-2</v>
      </c>
      <c r="T105" s="32">
        <v>8.2857142857142865E-2</v>
      </c>
      <c r="U105" s="32">
        <v>2714285.714285715</v>
      </c>
      <c r="V105" s="32">
        <v>3314285.714285715</v>
      </c>
      <c r="W105" s="32"/>
      <c r="X105" s="32"/>
      <c r="Y105" s="32"/>
      <c r="Z105" s="32"/>
      <c r="AA105" s="32">
        <v>0.02</v>
      </c>
      <c r="AB105" s="32">
        <v>0.03</v>
      </c>
      <c r="AC105" s="32">
        <v>2.5000000000000001E-2</v>
      </c>
      <c r="AD105" s="32">
        <v>0.13698630136986301</v>
      </c>
      <c r="AE105" s="32">
        <v>371819.96086105681</v>
      </c>
      <c r="AF105" s="32">
        <v>454011.74168297462</v>
      </c>
      <c r="AG105" s="32" t="s">
        <v>1504</v>
      </c>
      <c r="AH105" s="32"/>
      <c r="AI105" s="32" t="s">
        <v>1493</v>
      </c>
      <c r="AJ105" s="32"/>
      <c r="AK105" s="28"/>
      <c r="AL105" s="18" t="str">
        <f t="shared" si="1"/>
        <v>Do you review pack sizes and explore delivery options in bulk or flexi tanks to streamline supply chain operations and reduce costs?_</v>
      </c>
    </row>
    <row r="106" spans="1:38" ht="43.5" x14ac:dyDescent="0.35">
      <c r="A106" s="32">
        <v>3</v>
      </c>
      <c r="B106" s="32" t="s">
        <v>1451</v>
      </c>
      <c r="C106" s="32" t="s">
        <v>1452</v>
      </c>
      <c r="D106" s="32" t="s">
        <v>1224</v>
      </c>
      <c r="E106" s="32" t="s">
        <v>1453</v>
      </c>
      <c r="F106" s="32"/>
      <c r="G106" s="32" t="s">
        <v>1279</v>
      </c>
      <c r="H106" s="32" t="s">
        <v>1336</v>
      </c>
      <c r="I106" s="32"/>
      <c r="J106" s="32" t="s">
        <v>1239</v>
      </c>
      <c r="K106" s="32" t="s">
        <v>1332</v>
      </c>
      <c r="L106" s="32" t="s">
        <v>1333</v>
      </c>
      <c r="M106" s="32" t="s">
        <v>1334</v>
      </c>
      <c r="N106" s="32" t="s">
        <v>1335</v>
      </c>
      <c r="O106" s="32">
        <v>2</v>
      </c>
      <c r="P106" s="32">
        <v>0.04</v>
      </c>
      <c r="Q106" s="32">
        <v>0.1</v>
      </c>
      <c r="R106" s="32">
        <v>0.8</v>
      </c>
      <c r="S106" s="32">
        <v>6.7857142857142866E-2</v>
      </c>
      <c r="T106" s="32">
        <v>8.2857142857142865E-2</v>
      </c>
      <c r="U106" s="32">
        <v>2714285.714285715</v>
      </c>
      <c r="V106" s="32">
        <v>3314285.714285715</v>
      </c>
      <c r="W106" s="32"/>
      <c r="X106" s="32"/>
      <c r="Y106" s="32"/>
      <c r="Z106" s="32"/>
      <c r="AA106" s="32">
        <v>0.02</v>
      </c>
      <c r="AB106" s="32">
        <v>0.03</v>
      </c>
      <c r="AC106" s="32">
        <v>2.5000000000000001E-2</v>
      </c>
      <c r="AD106" s="32">
        <v>0.13698630136986301</v>
      </c>
      <c r="AE106" s="32">
        <v>371819.96086105681</v>
      </c>
      <c r="AF106" s="32">
        <v>454011.74168297462</v>
      </c>
      <c r="AG106" s="32" t="s">
        <v>1505</v>
      </c>
      <c r="AH106" s="32"/>
      <c r="AI106" s="32" t="s">
        <v>1493</v>
      </c>
      <c r="AJ106" s="32"/>
      <c r="AK106" s="28"/>
      <c r="AL106" s="18" t="str">
        <f t="shared" si="1"/>
        <v>Do you review pack sizes and explore delivery options in bulk or flexi tanks to streamline supply chain operations and reduce costs?_</v>
      </c>
    </row>
    <row r="107" spans="1:38" ht="43.5" x14ac:dyDescent="0.35">
      <c r="A107" s="32">
        <v>3</v>
      </c>
      <c r="B107" s="32" t="s">
        <v>1451</v>
      </c>
      <c r="C107" s="32" t="s">
        <v>1452</v>
      </c>
      <c r="D107" s="32" t="s">
        <v>1224</v>
      </c>
      <c r="E107" s="32" t="s">
        <v>1453</v>
      </c>
      <c r="F107" s="32"/>
      <c r="G107" s="32" t="s">
        <v>1279</v>
      </c>
      <c r="H107" s="32" t="s">
        <v>1336</v>
      </c>
      <c r="I107" s="32"/>
      <c r="J107" s="32" t="s">
        <v>1239</v>
      </c>
      <c r="K107" s="32" t="s">
        <v>1332</v>
      </c>
      <c r="L107" s="32" t="s">
        <v>1333</v>
      </c>
      <c r="M107" s="32" t="s">
        <v>1334</v>
      </c>
      <c r="N107" s="32" t="s">
        <v>1335</v>
      </c>
      <c r="O107" s="32">
        <v>2</v>
      </c>
      <c r="P107" s="32">
        <v>0.04</v>
      </c>
      <c r="Q107" s="32">
        <v>0.1</v>
      </c>
      <c r="R107" s="32">
        <v>0.8</v>
      </c>
      <c r="S107" s="32">
        <v>6.7857142857142866E-2</v>
      </c>
      <c r="T107" s="32">
        <v>8.2857142857142865E-2</v>
      </c>
      <c r="U107" s="32">
        <v>2714285.714285715</v>
      </c>
      <c r="V107" s="32">
        <v>3314285.714285715</v>
      </c>
      <c r="W107" s="32"/>
      <c r="X107" s="32"/>
      <c r="Y107" s="32"/>
      <c r="Z107" s="32"/>
      <c r="AA107" s="32">
        <v>0.02</v>
      </c>
      <c r="AB107" s="32">
        <v>0.03</v>
      </c>
      <c r="AC107" s="32">
        <v>2.5000000000000001E-2</v>
      </c>
      <c r="AD107" s="32">
        <v>0.13698630136986301</v>
      </c>
      <c r="AE107" s="32">
        <v>371819.96086105681</v>
      </c>
      <c r="AF107" s="32">
        <v>454011.74168297462</v>
      </c>
      <c r="AG107" s="32" t="s">
        <v>1506</v>
      </c>
      <c r="AH107" s="32"/>
      <c r="AI107" s="32" t="s">
        <v>1493</v>
      </c>
      <c r="AJ107" s="32"/>
      <c r="AK107" s="28"/>
      <c r="AL107" s="18" t="str">
        <f t="shared" si="1"/>
        <v>Do you review pack sizes and explore delivery options in bulk or flexi tanks to streamline supply chain operations and reduce costs?_</v>
      </c>
    </row>
    <row r="108" spans="1:38" ht="43.5" x14ac:dyDescent="0.35">
      <c r="A108" s="32">
        <v>3</v>
      </c>
      <c r="B108" s="32" t="s">
        <v>1451</v>
      </c>
      <c r="C108" s="32" t="s">
        <v>1452</v>
      </c>
      <c r="D108" s="32" t="s">
        <v>1224</v>
      </c>
      <c r="E108" s="32" t="s">
        <v>1453</v>
      </c>
      <c r="F108" s="32"/>
      <c r="G108" s="32" t="s">
        <v>1279</v>
      </c>
      <c r="H108" s="32" t="s">
        <v>1336</v>
      </c>
      <c r="I108" s="32"/>
      <c r="J108" s="32" t="s">
        <v>1239</v>
      </c>
      <c r="K108" s="32" t="s">
        <v>1332</v>
      </c>
      <c r="L108" s="32" t="s">
        <v>1333</v>
      </c>
      <c r="M108" s="32" t="s">
        <v>1334</v>
      </c>
      <c r="N108" s="32" t="s">
        <v>1335</v>
      </c>
      <c r="O108" s="32">
        <v>2</v>
      </c>
      <c r="P108" s="32">
        <v>0.04</v>
      </c>
      <c r="Q108" s="32">
        <v>0.1</v>
      </c>
      <c r="R108" s="32">
        <v>0.8</v>
      </c>
      <c r="S108" s="32">
        <v>6.7857142857142866E-2</v>
      </c>
      <c r="T108" s="32">
        <v>8.2857142857142865E-2</v>
      </c>
      <c r="U108" s="32">
        <v>2714285.714285715</v>
      </c>
      <c r="V108" s="32">
        <v>3314285.714285715</v>
      </c>
      <c r="W108" s="32"/>
      <c r="X108" s="32"/>
      <c r="Y108" s="32"/>
      <c r="Z108" s="32"/>
      <c r="AA108" s="32">
        <v>0.02</v>
      </c>
      <c r="AB108" s="32">
        <v>0.03</v>
      </c>
      <c r="AC108" s="32">
        <v>2.5000000000000001E-2</v>
      </c>
      <c r="AD108" s="32">
        <v>0.13698630136986301</v>
      </c>
      <c r="AE108" s="32">
        <v>371819.96086105681</v>
      </c>
      <c r="AF108" s="32">
        <v>454011.74168297462</v>
      </c>
      <c r="AG108" s="32" t="s">
        <v>1507</v>
      </c>
      <c r="AH108" s="32"/>
      <c r="AI108" s="32" t="s">
        <v>1493</v>
      </c>
      <c r="AJ108" s="32"/>
      <c r="AK108" s="28"/>
      <c r="AL108" s="18" t="str">
        <f t="shared" si="1"/>
        <v>Do you review pack sizes and explore delivery options in bulk or flexi tanks to streamline supply chain operations and reduce costs?_</v>
      </c>
    </row>
    <row r="109" spans="1:38" ht="72.5" x14ac:dyDescent="0.35">
      <c r="A109" s="32">
        <v>3</v>
      </c>
      <c r="B109" s="32" t="s">
        <v>1451</v>
      </c>
      <c r="C109" s="32" t="s">
        <v>1452</v>
      </c>
      <c r="D109" s="32" t="s">
        <v>1224</v>
      </c>
      <c r="E109" s="32" t="s">
        <v>1453</v>
      </c>
      <c r="F109" s="32"/>
      <c r="G109" s="32" t="s">
        <v>1279</v>
      </c>
      <c r="H109" s="32" t="s">
        <v>1336</v>
      </c>
      <c r="I109" s="32"/>
      <c r="J109" s="32" t="s">
        <v>1239</v>
      </c>
      <c r="K109" s="32" t="s">
        <v>1332</v>
      </c>
      <c r="L109" s="32" t="s">
        <v>1333</v>
      </c>
      <c r="M109" s="32" t="s">
        <v>1334</v>
      </c>
      <c r="N109" s="32" t="s">
        <v>1335</v>
      </c>
      <c r="O109" s="32">
        <v>2</v>
      </c>
      <c r="P109" s="32">
        <v>0.04</v>
      </c>
      <c r="Q109" s="32">
        <v>0.1</v>
      </c>
      <c r="R109" s="32">
        <v>0.8</v>
      </c>
      <c r="S109" s="32">
        <v>6.7857142857142866E-2</v>
      </c>
      <c r="T109" s="32">
        <v>8.2857142857142865E-2</v>
      </c>
      <c r="U109" s="32">
        <v>2714285.714285715</v>
      </c>
      <c r="V109" s="32">
        <v>3314285.714285715</v>
      </c>
      <c r="W109" s="32"/>
      <c r="X109" s="32"/>
      <c r="Y109" s="32"/>
      <c r="Z109" s="32"/>
      <c r="AA109" s="32">
        <v>0.02</v>
      </c>
      <c r="AB109" s="32">
        <v>0.03</v>
      </c>
      <c r="AC109" s="32">
        <v>2.5000000000000001E-2</v>
      </c>
      <c r="AD109" s="32">
        <v>0.13698630136986301</v>
      </c>
      <c r="AE109" s="32">
        <v>371819.96086105681</v>
      </c>
      <c r="AF109" s="32">
        <v>454011.74168297462</v>
      </c>
      <c r="AG109" s="32" t="s">
        <v>1508</v>
      </c>
      <c r="AH109" s="32"/>
      <c r="AI109" s="32" t="s">
        <v>1493</v>
      </c>
      <c r="AJ109" s="32" t="s">
        <v>2060</v>
      </c>
      <c r="AK109" s="28" t="s">
        <v>2061</v>
      </c>
      <c r="AL109" s="18" t="str">
        <f t="shared" si="1"/>
        <v>Do you review pack sizes and explore delivery options in bulk or flexi tanks to streamline supply chain operations and reduce costs?_Callout the contribution of packaging costs within the cost strcuture of vegetable oils</v>
      </c>
    </row>
    <row r="110" spans="1:38" ht="43.5" x14ac:dyDescent="0.35">
      <c r="A110" s="32">
        <v>3</v>
      </c>
      <c r="B110" s="32" t="s">
        <v>1451</v>
      </c>
      <c r="C110" s="32" t="s">
        <v>1452</v>
      </c>
      <c r="D110" s="32" t="s">
        <v>1224</v>
      </c>
      <c r="E110" s="32" t="s">
        <v>1453</v>
      </c>
      <c r="F110" s="32"/>
      <c r="G110" s="32" t="s">
        <v>1279</v>
      </c>
      <c r="H110" s="32" t="s">
        <v>1336</v>
      </c>
      <c r="I110" s="32"/>
      <c r="J110" s="32" t="s">
        <v>1239</v>
      </c>
      <c r="K110" s="32" t="s">
        <v>1332</v>
      </c>
      <c r="L110" s="32" t="s">
        <v>1333</v>
      </c>
      <c r="M110" s="32" t="s">
        <v>1334</v>
      </c>
      <c r="N110" s="32" t="s">
        <v>1335</v>
      </c>
      <c r="O110" s="32">
        <v>2</v>
      </c>
      <c r="P110" s="32">
        <v>0.04</v>
      </c>
      <c r="Q110" s="32">
        <v>0.1</v>
      </c>
      <c r="R110" s="32">
        <v>0.8</v>
      </c>
      <c r="S110" s="32">
        <v>6.7857142857142866E-2</v>
      </c>
      <c r="T110" s="32">
        <v>8.2857142857142865E-2</v>
      </c>
      <c r="U110" s="32">
        <v>2714285.714285715</v>
      </c>
      <c r="V110" s="32">
        <v>3314285.714285715</v>
      </c>
      <c r="W110" s="32"/>
      <c r="X110" s="32"/>
      <c r="Y110" s="32"/>
      <c r="Z110" s="32"/>
      <c r="AA110" s="32">
        <v>0.02</v>
      </c>
      <c r="AB110" s="32">
        <v>0.03</v>
      </c>
      <c r="AC110" s="32">
        <v>2.5000000000000001E-2</v>
      </c>
      <c r="AD110" s="32">
        <v>0.13698630136986301</v>
      </c>
      <c r="AE110" s="32">
        <v>371819.96086105681</v>
      </c>
      <c r="AF110" s="32">
        <v>454011.74168297462</v>
      </c>
      <c r="AG110" s="32" t="s">
        <v>1509</v>
      </c>
      <c r="AH110" s="32"/>
      <c r="AI110" s="32" t="s">
        <v>1493</v>
      </c>
      <c r="AJ110" s="32"/>
      <c r="AK110" s="28"/>
      <c r="AL110" s="18" t="str">
        <f t="shared" si="1"/>
        <v>Do you review pack sizes and explore delivery options in bulk or flexi tanks to streamline supply chain operations and reduce costs?_</v>
      </c>
    </row>
    <row r="111" spans="1:38" ht="43.5" x14ac:dyDescent="0.35">
      <c r="A111" s="32">
        <v>3</v>
      </c>
      <c r="B111" s="32" t="s">
        <v>1451</v>
      </c>
      <c r="C111" s="32" t="s">
        <v>1452</v>
      </c>
      <c r="D111" s="32" t="s">
        <v>1224</v>
      </c>
      <c r="E111" s="32" t="s">
        <v>1453</v>
      </c>
      <c r="F111" s="32"/>
      <c r="G111" s="32" t="s">
        <v>1279</v>
      </c>
      <c r="H111" s="32" t="s">
        <v>1336</v>
      </c>
      <c r="I111" s="32"/>
      <c r="J111" s="32" t="s">
        <v>1239</v>
      </c>
      <c r="K111" s="32" t="s">
        <v>1332</v>
      </c>
      <c r="L111" s="32" t="s">
        <v>1333</v>
      </c>
      <c r="M111" s="32" t="s">
        <v>1334</v>
      </c>
      <c r="N111" s="32" t="s">
        <v>1335</v>
      </c>
      <c r="O111" s="32">
        <v>2</v>
      </c>
      <c r="P111" s="32">
        <v>0.04</v>
      </c>
      <c r="Q111" s="32">
        <v>0.1</v>
      </c>
      <c r="R111" s="32">
        <v>0.8</v>
      </c>
      <c r="S111" s="32">
        <v>6.7857142857142866E-2</v>
      </c>
      <c r="T111" s="32">
        <v>8.2857142857142865E-2</v>
      </c>
      <c r="U111" s="32">
        <v>2714285.714285715</v>
      </c>
      <c r="V111" s="32">
        <v>3314285.714285715</v>
      </c>
      <c r="W111" s="32"/>
      <c r="X111" s="32"/>
      <c r="Y111" s="32"/>
      <c r="Z111" s="32"/>
      <c r="AA111" s="32">
        <v>0.02</v>
      </c>
      <c r="AB111" s="32">
        <v>0.03</v>
      </c>
      <c r="AC111" s="32">
        <v>2.5000000000000001E-2</v>
      </c>
      <c r="AD111" s="32">
        <v>0.13698630136986301</v>
      </c>
      <c r="AE111" s="32">
        <v>371819.96086105681</v>
      </c>
      <c r="AF111" s="32">
        <v>454011.74168297462</v>
      </c>
      <c r="AG111" s="32" t="s">
        <v>1510</v>
      </c>
      <c r="AH111" s="32"/>
      <c r="AI111" s="32" t="s">
        <v>1493</v>
      </c>
      <c r="AJ111" s="32"/>
      <c r="AK111" s="28"/>
      <c r="AL111" s="18" t="str">
        <f t="shared" si="1"/>
        <v>Do you review pack sizes and explore delivery options in bulk or flexi tanks to streamline supply chain operations and reduce costs?_</v>
      </c>
    </row>
    <row r="112" spans="1:38" ht="43.5" x14ac:dyDescent="0.35">
      <c r="A112" s="32">
        <v>3</v>
      </c>
      <c r="B112" s="32" t="s">
        <v>1451</v>
      </c>
      <c r="C112" s="32" t="s">
        <v>1452</v>
      </c>
      <c r="D112" s="32" t="s">
        <v>1224</v>
      </c>
      <c r="E112" s="32" t="s">
        <v>1453</v>
      </c>
      <c r="F112" s="32"/>
      <c r="G112" s="32" t="s">
        <v>1279</v>
      </c>
      <c r="H112" s="32" t="s">
        <v>1336</v>
      </c>
      <c r="I112" s="32"/>
      <c r="J112" s="32" t="s">
        <v>1239</v>
      </c>
      <c r="K112" s="32" t="s">
        <v>1332</v>
      </c>
      <c r="L112" s="32" t="s">
        <v>1333</v>
      </c>
      <c r="M112" s="32" t="s">
        <v>1334</v>
      </c>
      <c r="N112" s="32" t="s">
        <v>1335</v>
      </c>
      <c r="O112" s="32">
        <v>2</v>
      </c>
      <c r="P112" s="32">
        <v>0.04</v>
      </c>
      <c r="Q112" s="32">
        <v>0.1</v>
      </c>
      <c r="R112" s="32">
        <v>0.8</v>
      </c>
      <c r="S112" s="32">
        <v>6.7857142857142866E-2</v>
      </c>
      <c r="T112" s="32">
        <v>8.2857142857142865E-2</v>
      </c>
      <c r="U112" s="32">
        <v>2714285.714285715</v>
      </c>
      <c r="V112" s="32">
        <v>3314285.714285715</v>
      </c>
      <c r="W112" s="32"/>
      <c r="X112" s="32"/>
      <c r="Y112" s="32"/>
      <c r="Z112" s="32"/>
      <c r="AA112" s="32">
        <v>0.02</v>
      </c>
      <c r="AB112" s="32">
        <v>0.03</v>
      </c>
      <c r="AC112" s="32">
        <v>2.5000000000000001E-2</v>
      </c>
      <c r="AD112" s="32">
        <v>0.13698630136986301</v>
      </c>
      <c r="AE112" s="32">
        <v>371819.96086105681</v>
      </c>
      <c r="AF112" s="32">
        <v>454011.74168297462</v>
      </c>
      <c r="AG112" s="32" t="s">
        <v>1511</v>
      </c>
      <c r="AH112" s="32"/>
      <c r="AI112" s="32" t="s">
        <v>1493</v>
      </c>
      <c r="AJ112" s="32"/>
      <c r="AK112" s="28"/>
      <c r="AL112" s="18" t="str">
        <f t="shared" si="1"/>
        <v>Do you review pack sizes and explore delivery options in bulk or flexi tanks to streamline supply chain operations and reduce costs?_</v>
      </c>
    </row>
    <row r="113" spans="1:38" ht="43.5" x14ac:dyDescent="0.35">
      <c r="A113" s="32">
        <v>3</v>
      </c>
      <c r="B113" s="32" t="s">
        <v>1451</v>
      </c>
      <c r="C113" s="32" t="s">
        <v>1452</v>
      </c>
      <c r="D113" s="32" t="s">
        <v>1224</v>
      </c>
      <c r="E113" s="32" t="s">
        <v>1453</v>
      </c>
      <c r="F113" s="32"/>
      <c r="G113" s="32" t="s">
        <v>1279</v>
      </c>
      <c r="H113" s="32" t="s">
        <v>1336</v>
      </c>
      <c r="I113" s="32"/>
      <c r="J113" s="32" t="s">
        <v>1239</v>
      </c>
      <c r="K113" s="32" t="s">
        <v>1332</v>
      </c>
      <c r="L113" s="32" t="s">
        <v>1333</v>
      </c>
      <c r="M113" s="32" t="s">
        <v>1334</v>
      </c>
      <c r="N113" s="32" t="s">
        <v>1335</v>
      </c>
      <c r="O113" s="32">
        <v>2</v>
      </c>
      <c r="P113" s="32">
        <v>0.04</v>
      </c>
      <c r="Q113" s="32">
        <v>0.1</v>
      </c>
      <c r="R113" s="32">
        <v>0.8</v>
      </c>
      <c r="S113" s="32">
        <v>6.7857142857142866E-2</v>
      </c>
      <c r="T113" s="32">
        <v>8.2857142857142865E-2</v>
      </c>
      <c r="U113" s="32">
        <v>2714285.714285715</v>
      </c>
      <c r="V113" s="32">
        <v>3314285.714285715</v>
      </c>
      <c r="W113" s="32"/>
      <c r="X113" s="32"/>
      <c r="Y113" s="32"/>
      <c r="Z113" s="32"/>
      <c r="AA113" s="32">
        <v>0.02</v>
      </c>
      <c r="AB113" s="32">
        <v>0.03</v>
      </c>
      <c r="AC113" s="32">
        <v>2.5000000000000001E-2</v>
      </c>
      <c r="AD113" s="32">
        <v>0.13698630136986301</v>
      </c>
      <c r="AE113" s="32">
        <v>371819.96086105681</v>
      </c>
      <c r="AF113" s="32">
        <v>454011.74168297462</v>
      </c>
      <c r="AG113" s="32" t="s">
        <v>1512</v>
      </c>
      <c r="AH113" s="32"/>
      <c r="AI113" s="32" t="s">
        <v>1493</v>
      </c>
      <c r="AJ113" s="32"/>
      <c r="AK113" s="28"/>
      <c r="AL113" s="18" t="str">
        <f t="shared" si="1"/>
        <v>Do you review pack sizes and explore delivery options in bulk or flexi tanks to streamline supply chain operations and reduce costs?_</v>
      </c>
    </row>
    <row r="114" spans="1:38" ht="43.5" x14ac:dyDescent="0.35">
      <c r="A114" s="32">
        <v>3</v>
      </c>
      <c r="B114" s="32" t="s">
        <v>1451</v>
      </c>
      <c r="C114" s="32" t="s">
        <v>1452</v>
      </c>
      <c r="D114" s="32" t="s">
        <v>1224</v>
      </c>
      <c r="E114" s="32" t="s">
        <v>1453</v>
      </c>
      <c r="F114" s="32"/>
      <c r="G114" s="32" t="s">
        <v>1279</v>
      </c>
      <c r="H114" s="32" t="s">
        <v>1336</v>
      </c>
      <c r="I114" s="32"/>
      <c r="J114" s="32" t="s">
        <v>1239</v>
      </c>
      <c r="K114" s="32" t="s">
        <v>1332</v>
      </c>
      <c r="L114" s="32" t="s">
        <v>1333</v>
      </c>
      <c r="M114" s="32" t="s">
        <v>1334</v>
      </c>
      <c r="N114" s="32" t="s">
        <v>1335</v>
      </c>
      <c r="O114" s="32">
        <v>2</v>
      </c>
      <c r="P114" s="32">
        <v>0.04</v>
      </c>
      <c r="Q114" s="32">
        <v>0.1</v>
      </c>
      <c r="R114" s="32">
        <v>0.8</v>
      </c>
      <c r="S114" s="32">
        <v>6.7857142857142866E-2</v>
      </c>
      <c r="T114" s="32">
        <v>8.2857142857142865E-2</v>
      </c>
      <c r="U114" s="32">
        <v>2714285.714285715</v>
      </c>
      <c r="V114" s="32">
        <v>3314285.714285715</v>
      </c>
      <c r="W114" s="32"/>
      <c r="X114" s="32"/>
      <c r="Y114" s="32"/>
      <c r="Z114" s="32"/>
      <c r="AA114" s="32">
        <v>0.02</v>
      </c>
      <c r="AB114" s="32">
        <v>0.03</v>
      </c>
      <c r="AC114" s="32">
        <v>2.5000000000000001E-2</v>
      </c>
      <c r="AD114" s="32">
        <v>0.13698630136986301</v>
      </c>
      <c r="AE114" s="32">
        <v>371819.96086105681</v>
      </c>
      <c r="AF114" s="32">
        <v>454011.74168297462</v>
      </c>
      <c r="AG114" s="32" t="s">
        <v>1513</v>
      </c>
      <c r="AH114" s="32"/>
      <c r="AI114" s="32" t="s">
        <v>1493</v>
      </c>
      <c r="AJ114" s="32"/>
      <c r="AK114" s="28"/>
      <c r="AL114" s="18" t="str">
        <f t="shared" si="1"/>
        <v>Do you review pack sizes and explore delivery options in bulk or flexi tanks to streamline supply chain operations and reduce costs?_</v>
      </c>
    </row>
    <row r="115" spans="1:38" ht="43.5" x14ac:dyDescent="0.35">
      <c r="A115" s="32">
        <v>3</v>
      </c>
      <c r="B115" s="32" t="s">
        <v>1451</v>
      </c>
      <c r="C115" s="32" t="s">
        <v>1452</v>
      </c>
      <c r="D115" s="32" t="s">
        <v>1224</v>
      </c>
      <c r="E115" s="32" t="s">
        <v>1453</v>
      </c>
      <c r="F115" s="32"/>
      <c r="G115" s="32" t="s">
        <v>1279</v>
      </c>
      <c r="H115" s="32" t="s">
        <v>1336</v>
      </c>
      <c r="I115" s="32"/>
      <c r="J115" s="32" t="s">
        <v>1239</v>
      </c>
      <c r="K115" s="32" t="s">
        <v>1332</v>
      </c>
      <c r="L115" s="32" t="s">
        <v>1333</v>
      </c>
      <c r="M115" s="32" t="s">
        <v>1334</v>
      </c>
      <c r="N115" s="32" t="s">
        <v>1335</v>
      </c>
      <c r="O115" s="32">
        <v>2</v>
      </c>
      <c r="P115" s="32">
        <v>0.04</v>
      </c>
      <c r="Q115" s="32">
        <v>0.1</v>
      </c>
      <c r="R115" s="32">
        <v>0.8</v>
      </c>
      <c r="S115" s="32">
        <v>6.7857142857142866E-2</v>
      </c>
      <c r="T115" s="32">
        <v>8.2857142857142865E-2</v>
      </c>
      <c r="U115" s="32">
        <v>2714285.714285715</v>
      </c>
      <c r="V115" s="32">
        <v>3314285.714285715</v>
      </c>
      <c r="W115" s="32"/>
      <c r="X115" s="32"/>
      <c r="Y115" s="32"/>
      <c r="Z115" s="32"/>
      <c r="AA115" s="32">
        <v>0.02</v>
      </c>
      <c r="AB115" s="32">
        <v>0.03</v>
      </c>
      <c r="AC115" s="32">
        <v>2.5000000000000001E-2</v>
      </c>
      <c r="AD115" s="32">
        <v>0.13698630136986301</v>
      </c>
      <c r="AE115" s="32">
        <v>371819.96086105681</v>
      </c>
      <c r="AF115" s="32">
        <v>454011.74168297462</v>
      </c>
      <c r="AG115" s="32" t="s">
        <v>1514</v>
      </c>
      <c r="AH115" s="32"/>
      <c r="AI115" s="32" t="s">
        <v>1493</v>
      </c>
      <c r="AJ115" s="32"/>
      <c r="AK115" s="28"/>
      <c r="AL115" s="18" t="str">
        <f t="shared" si="1"/>
        <v>Do you review pack sizes and explore delivery options in bulk or flexi tanks to streamline supply chain operations and reduce costs?_</v>
      </c>
    </row>
    <row r="116" spans="1:38" ht="43.5" x14ac:dyDescent="0.35">
      <c r="A116" s="32">
        <v>3</v>
      </c>
      <c r="B116" s="32" t="s">
        <v>1451</v>
      </c>
      <c r="C116" s="32" t="s">
        <v>1452</v>
      </c>
      <c r="D116" s="32" t="s">
        <v>1224</v>
      </c>
      <c r="E116" s="32" t="s">
        <v>1453</v>
      </c>
      <c r="F116" s="32"/>
      <c r="G116" s="32" t="s">
        <v>1279</v>
      </c>
      <c r="H116" s="32" t="s">
        <v>1336</v>
      </c>
      <c r="I116" s="32"/>
      <c r="J116" s="32" t="s">
        <v>1239</v>
      </c>
      <c r="K116" s="32" t="s">
        <v>1332</v>
      </c>
      <c r="L116" s="32" t="s">
        <v>1333</v>
      </c>
      <c r="M116" s="32" t="s">
        <v>1334</v>
      </c>
      <c r="N116" s="32" t="s">
        <v>1335</v>
      </c>
      <c r="O116" s="32">
        <v>2</v>
      </c>
      <c r="P116" s="32">
        <v>0.04</v>
      </c>
      <c r="Q116" s="32">
        <v>0.1</v>
      </c>
      <c r="R116" s="32">
        <v>0.8</v>
      </c>
      <c r="S116" s="32">
        <v>6.7857142857142866E-2</v>
      </c>
      <c r="T116" s="32">
        <v>8.2857142857142865E-2</v>
      </c>
      <c r="U116" s="32">
        <v>2714285.714285715</v>
      </c>
      <c r="V116" s="32">
        <v>3314285.714285715</v>
      </c>
      <c r="W116" s="32"/>
      <c r="X116" s="32"/>
      <c r="Y116" s="32"/>
      <c r="Z116" s="32"/>
      <c r="AA116" s="32">
        <v>0.02</v>
      </c>
      <c r="AB116" s="32">
        <v>0.03</v>
      </c>
      <c r="AC116" s="32">
        <v>2.5000000000000001E-2</v>
      </c>
      <c r="AD116" s="32">
        <v>0.13698630136986301</v>
      </c>
      <c r="AE116" s="32">
        <v>371819.96086105681</v>
      </c>
      <c r="AF116" s="32">
        <v>454011.74168297462</v>
      </c>
      <c r="AG116" s="32" t="s">
        <v>1515</v>
      </c>
      <c r="AH116" s="32"/>
      <c r="AI116" s="32" t="s">
        <v>1493</v>
      </c>
      <c r="AJ116" s="32"/>
      <c r="AK116" s="28"/>
      <c r="AL116" s="18" t="str">
        <f t="shared" si="1"/>
        <v>Do you review pack sizes and explore delivery options in bulk or flexi tanks to streamline supply chain operations and reduce costs?_</v>
      </c>
    </row>
    <row r="117" spans="1:38" ht="43.5" x14ac:dyDescent="0.35">
      <c r="A117" s="32">
        <v>3</v>
      </c>
      <c r="B117" s="32" t="s">
        <v>1451</v>
      </c>
      <c r="C117" s="32" t="s">
        <v>1452</v>
      </c>
      <c r="D117" s="32" t="s">
        <v>1224</v>
      </c>
      <c r="E117" s="32" t="s">
        <v>1453</v>
      </c>
      <c r="F117" s="32"/>
      <c r="G117" s="32" t="s">
        <v>1279</v>
      </c>
      <c r="H117" s="32" t="s">
        <v>1336</v>
      </c>
      <c r="I117" s="32"/>
      <c r="J117" s="32" t="s">
        <v>1239</v>
      </c>
      <c r="K117" s="32" t="s">
        <v>1332</v>
      </c>
      <c r="L117" s="32" t="s">
        <v>1333</v>
      </c>
      <c r="M117" s="32" t="s">
        <v>1334</v>
      </c>
      <c r="N117" s="32" t="s">
        <v>1335</v>
      </c>
      <c r="O117" s="32">
        <v>2</v>
      </c>
      <c r="P117" s="32">
        <v>0.04</v>
      </c>
      <c r="Q117" s="32">
        <v>0.1</v>
      </c>
      <c r="R117" s="32">
        <v>0.8</v>
      </c>
      <c r="S117" s="32">
        <v>6.7857142857142866E-2</v>
      </c>
      <c r="T117" s="32">
        <v>8.2857142857142865E-2</v>
      </c>
      <c r="U117" s="32">
        <v>2714285.714285715</v>
      </c>
      <c r="V117" s="32">
        <v>3314285.714285715</v>
      </c>
      <c r="W117" s="32"/>
      <c r="X117" s="32"/>
      <c r="Y117" s="32"/>
      <c r="Z117" s="32"/>
      <c r="AA117" s="32">
        <v>0.02</v>
      </c>
      <c r="AB117" s="32">
        <v>0.03</v>
      </c>
      <c r="AC117" s="32">
        <v>2.5000000000000001E-2</v>
      </c>
      <c r="AD117" s="32">
        <v>0.13698630136986301</v>
      </c>
      <c r="AE117" s="32">
        <v>371819.96086105681</v>
      </c>
      <c r="AF117" s="32">
        <v>454011.74168297462</v>
      </c>
      <c r="AG117" s="32" t="s">
        <v>1516</v>
      </c>
      <c r="AH117" s="32"/>
      <c r="AI117" s="32" t="s">
        <v>1493</v>
      </c>
      <c r="AJ117" s="32"/>
      <c r="AK117" s="28"/>
      <c r="AL117" s="18" t="str">
        <f t="shared" si="1"/>
        <v>Do you review pack sizes and explore delivery options in bulk or flexi tanks to streamline supply chain operations and reduce costs?_</v>
      </c>
    </row>
    <row r="118" spans="1:38" ht="43.5" x14ac:dyDescent="0.35">
      <c r="A118" s="32">
        <v>3</v>
      </c>
      <c r="B118" s="32" t="s">
        <v>1451</v>
      </c>
      <c r="C118" s="32" t="s">
        <v>1452</v>
      </c>
      <c r="D118" s="32" t="s">
        <v>1224</v>
      </c>
      <c r="E118" s="32" t="s">
        <v>1453</v>
      </c>
      <c r="F118" s="32"/>
      <c r="G118" s="32" t="s">
        <v>1279</v>
      </c>
      <c r="H118" s="32" t="s">
        <v>1336</v>
      </c>
      <c r="I118" s="32"/>
      <c r="J118" s="32" t="s">
        <v>1239</v>
      </c>
      <c r="K118" s="32" t="s">
        <v>1332</v>
      </c>
      <c r="L118" s="32" t="s">
        <v>1333</v>
      </c>
      <c r="M118" s="32" t="s">
        <v>1334</v>
      </c>
      <c r="N118" s="32" t="s">
        <v>1335</v>
      </c>
      <c r="O118" s="32">
        <v>2</v>
      </c>
      <c r="P118" s="32">
        <v>0.04</v>
      </c>
      <c r="Q118" s="32">
        <v>0.1</v>
      </c>
      <c r="R118" s="32">
        <v>0.8</v>
      </c>
      <c r="S118" s="32">
        <v>6.7857142857142866E-2</v>
      </c>
      <c r="T118" s="32">
        <v>8.2857142857142865E-2</v>
      </c>
      <c r="U118" s="32">
        <v>2714285.714285715</v>
      </c>
      <c r="V118" s="32">
        <v>3314285.714285715</v>
      </c>
      <c r="W118" s="32"/>
      <c r="X118" s="32"/>
      <c r="Y118" s="32"/>
      <c r="Z118" s="32"/>
      <c r="AA118" s="32">
        <v>0.02</v>
      </c>
      <c r="AB118" s="32">
        <v>0.03</v>
      </c>
      <c r="AC118" s="32">
        <v>2.5000000000000001E-2</v>
      </c>
      <c r="AD118" s="32">
        <v>0.13698630136986301</v>
      </c>
      <c r="AE118" s="32">
        <v>371819.96086105681</v>
      </c>
      <c r="AF118" s="32">
        <v>454011.74168297462</v>
      </c>
      <c r="AG118" s="32" t="s">
        <v>1517</v>
      </c>
      <c r="AH118" s="32"/>
      <c r="AI118" s="32" t="s">
        <v>1493</v>
      </c>
      <c r="AJ118" s="32"/>
      <c r="AK118" s="28"/>
      <c r="AL118" s="18" t="str">
        <f t="shared" si="1"/>
        <v>Do you review pack sizes and explore delivery options in bulk or flexi tanks to streamline supply chain operations and reduce costs?_</v>
      </c>
    </row>
    <row r="119" spans="1:38" ht="43.5" x14ac:dyDescent="0.35">
      <c r="A119" s="32">
        <v>3</v>
      </c>
      <c r="B119" s="32" t="s">
        <v>1451</v>
      </c>
      <c r="C119" s="32" t="s">
        <v>1452</v>
      </c>
      <c r="D119" s="32" t="s">
        <v>1224</v>
      </c>
      <c r="E119" s="32" t="s">
        <v>1453</v>
      </c>
      <c r="F119" s="32"/>
      <c r="G119" s="32" t="s">
        <v>1279</v>
      </c>
      <c r="H119" s="32" t="s">
        <v>1336</v>
      </c>
      <c r="I119" s="32"/>
      <c r="J119" s="32" t="s">
        <v>1239</v>
      </c>
      <c r="K119" s="32" t="s">
        <v>1332</v>
      </c>
      <c r="L119" s="32" t="s">
        <v>1333</v>
      </c>
      <c r="M119" s="32" t="s">
        <v>1334</v>
      </c>
      <c r="N119" s="32" t="s">
        <v>1335</v>
      </c>
      <c r="O119" s="32">
        <v>2</v>
      </c>
      <c r="P119" s="32">
        <v>0.04</v>
      </c>
      <c r="Q119" s="32">
        <v>0.1</v>
      </c>
      <c r="R119" s="32">
        <v>0.8</v>
      </c>
      <c r="S119" s="32">
        <v>6.7857142857142866E-2</v>
      </c>
      <c r="T119" s="32">
        <v>8.2857142857142865E-2</v>
      </c>
      <c r="U119" s="32">
        <v>2714285.714285715</v>
      </c>
      <c r="V119" s="32">
        <v>3314285.714285715</v>
      </c>
      <c r="W119" s="32"/>
      <c r="X119" s="32"/>
      <c r="Y119" s="32"/>
      <c r="Z119" s="32"/>
      <c r="AA119" s="32">
        <v>0.02</v>
      </c>
      <c r="AB119" s="32">
        <v>0.03</v>
      </c>
      <c r="AC119" s="32">
        <v>2.5000000000000001E-2</v>
      </c>
      <c r="AD119" s="32">
        <v>0.13698630136986301</v>
      </c>
      <c r="AE119" s="32">
        <v>371819.96086105681</v>
      </c>
      <c r="AF119" s="32">
        <v>454011.74168297462</v>
      </c>
      <c r="AG119" s="32" t="s">
        <v>1524</v>
      </c>
      <c r="AH119" s="32"/>
      <c r="AI119" s="32" t="s">
        <v>1493</v>
      </c>
      <c r="AJ119" s="32"/>
      <c r="AK119" s="28"/>
      <c r="AL119" s="18" t="str">
        <f t="shared" si="1"/>
        <v>Do you review pack sizes and explore delivery options in bulk or flexi tanks to streamline supply chain operations and reduce costs?_</v>
      </c>
    </row>
    <row r="120" spans="1:38" ht="43.5" x14ac:dyDescent="0.35">
      <c r="A120" s="32">
        <v>3</v>
      </c>
      <c r="B120" s="32" t="s">
        <v>1451</v>
      </c>
      <c r="C120" s="32" t="s">
        <v>1452</v>
      </c>
      <c r="D120" s="32" t="s">
        <v>1224</v>
      </c>
      <c r="E120" s="32" t="s">
        <v>1453</v>
      </c>
      <c r="F120" s="32"/>
      <c r="G120" s="32" t="s">
        <v>1279</v>
      </c>
      <c r="H120" s="32" t="s">
        <v>1336</v>
      </c>
      <c r="I120" s="32"/>
      <c r="J120" s="32" t="s">
        <v>1239</v>
      </c>
      <c r="K120" s="32" t="s">
        <v>1332</v>
      </c>
      <c r="L120" s="32" t="s">
        <v>1333</v>
      </c>
      <c r="M120" s="32" t="s">
        <v>1334</v>
      </c>
      <c r="N120" s="32" t="s">
        <v>1335</v>
      </c>
      <c r="O120" s="32">
        <v>2</v>
      </c>
      <c r="P120" s="32">
        <v>0.04</v>
      </c>
      <c r="Q120" s="32">
        <v>0.1</v>
      </c>
      <c r="R120" s="32">
        <v>0.8</v>
      </c>
      <c r="S120" s="32">
        <v>6.7857142857142866E-2</v>
      </c>
      <c r="T120" s="32">
        <v>8.2857142857142865E-2</v>
      </c>
      <c r="U120" s="32">
        <v>2714285.714285715</v>
      </c>
      <c r="V120" s="32">
        <v>3314285.714285715</v>
      </c>
      <c r="W120" s="32"/>
      <c r="X120" s="32"/>
      <c r="Y120" s="32"/>
      <c r="Z120" s="32"/>
      <c r="AA120" s="32">
        <v>0.02</v>
      </c>
      <c r="AB120" s="32">
        <v>0.03</v>
      </c>
      <c r="AC120" s="32">
        <v>2.5000000000000001E-2</v>
      </c>
      <c r="AD120" s="32">
        <v>0.13698630136986301</v>
      </c>
      <c r="AE120" s="32">
        <v>371819.96086105681</v>
      </c>
      <c r="AF120" s="32">
        <v>454011.74168297462</v>
      </c>
      <c r="AG120" s="32" t="s">
        <v>1528</v>
      </c>
      <c r="AH120" s="32"/>
      <c r="AI120" s="32" t="s">
        <v>1493</v>
      </c>
      <c r="AJ120" s="32"/>
      <c r="AK120" s="28"/>
      <c r="AL120" s="18" t="str">
        <f t="shared" si="1"/>
        <v>Do you review pack sizes and explore delivery options in bulk or flexi tanks to streamline supply chain operations and reduce costs?_</v>
      </c>
    </row>
    <row r="121" spans="1:38" ht="43.5" x14ac:dyDescent="0.35">
      <c r="A121" s="32">
        <v>3</v>
      </c>
      <c r="B121" s="32" t="s">
        <v>1451</v>
      </c>
      <c r="C121" s="32" t="s">
        <v>1452</v>
      </c>
      <c r="D121" s="32" t="s">
        <v>1224</v>
      </c>
      <c r="E121" s="32" t="s">
        <v>1453</v>
      </c>
      <c r="F121" s="32"/>
      <c r="G121" s="32" t="s">
        <v>1279</v>
      </c>
      <c r="H121" s="32" t="s">
        <v>1336</v>
      </c>
      <c r="I121" s="32"/>
      <c r="J121" s="32" t="s">
        <v>1239</v>
      </c>
      <c r="K121" s="32" t="s">
        <v>1332</v>
      </c>
      <c r="L121" s="32" t="s">
        <v>1333</v>
      </c>
      <c r="M121" s="32" t="s">
        <v>1334</v>
      </c>
      <c r="N121" s="32" t="s">
        <v>1335</v>
      </c>
      <c r="O121" s="32">
        <v>2</v>
      </c>
      <c r="P121" s="32">
        <v>0.04</v>
      </c>
      <c r="Q121" s="32">
        <v>0.1</v>
      </c>
      <c r="R121" s="32">
        <v>0.8</v>
      </c>
      <c r="S121" s="32">
        <v>6.7857142857142866E-2</v>
      </c>
      <c r="T121" s="32">
        <v>8.2857142857142865E-2</v>
      </c>
      <c r="U121" s="32">
        <v>2714285.714285715</v>
      </c>
      <c r="V121" s="32">
        <v>3314285.714285715</v>
      </c>
      <c r="W121" s="32"/>
      <c r="X121" s="32"/>
      <c r="Y121" s="32"/>
      <c r="Z121" s="32"/>
      <c r="AA121" s="32">
        <v>0.02</v>
      </c>
      <c r="AB121" s="32">
        <v>0.03</v>
      </c>
      <c r="AC121" s="32">
        <v>2.5000000000000001E-2</v>
      </c>
      <c r="AD121" s="32">
        <v>0.13698630136986301</v>
      </c>
      <c r="AE121" s="32">
        <v>371819.96086105681</v>
      </c>
      <c r="AF121" s="32">
        <v>454011.74168297462</v>
      </c>
      <c r="AG121" s="32" t="s">
        <v>1529</v>
      </c>
      <c r="AH121" s="32"/>
      <c r="AI121" s="32" t="s">
        <v>1493</v>
      </c>
      <c r="AJ121" s="32"/>
      <c r="AK121" s="28"/>
      <c r="AL121" s="18" t="str">
        <f t="shared" si="1"/>
        <v>Do you review pack sizes and explore delivery options in bulk or flexi tanks to streamline supply chain operations and reduce costs?_</v>
      </c>
    </row>
    <row r="122" spans="1:38" ht="43.5" x14ac:dyDescent="0.35">
      <c r="A122" s="32">
        <v>3</v>
      </c>
      <c r="B122" s="32" t="s">
        <v>1451</v>
      </c>
      <c r="C122" s="32" t="s">
        <v>1452</v>
      </c>
      <c r="D122" s="32" t="s">
        <v>1224</v>
      </c>
      <c r="E122" s="32" t="s">
        <v>1453</v>
      </c>
      <c r="F122" s="32"/>
      <c r="G122" s="32" t="s">
        <v>1279</v>
      </c>
      <c r="H122" s="32" t="s">
        <v>1336</v>
      </c>
      <c r="I122" s="32"/>
      <c r="J122" s="32" t="s">
        <v>1239</v>
      </c>
      <c r="K122" s="32" t="s">
        <v>1332</v>
      </c>
      <c r="L122" s="32" t="s">
        <v>1333</v>
      </c>
      <c r="M122" s="32" t="s">
        <v>1334</v>
      </c>
      <c r="N122" s="32" t="s">
        <v>1335</v>
      </c>
      <c r="O122" s="32">
        <v>2</v>
      </c>
      <c r="P122" s="32">
        <v>0.04</v>
      </c>
      <c r="Q122" s="32">
        <v>0.1</v>
      </c>
      <c r="R122" s="32">
        <v>0.8</v>
      </c>
      <c r="S122" s="32">
        <v>6.7857142857142866E-2</v>
      </c>
      <c r="T122" s="32">
        <v>8.2857142857142865E-2</v>
      </c>
      <c r="U122" s="32">
        <v>2714285.714285715</v>
      </c>
      <c r="V122" s="32">
        <v>3314285.714285715</v>
      </c>
      <c r="W122" s="32"/>
      <c r="X122" s="32"/>
      <c r="Y122" s="32"/>
      <c r="Z122" s="32"/>
      <c r="AA122" s="32">
        <v>0.02</v>
      </c>
      <c r="AB122" s="32">
        <v>0.03</v>
      </c>
      <c r="AC122" s="32">
        <v>2.5000000000000001E-2</v>
      </c>
      <c r="AD122" s="32">
        <v>0.13698630136986301</v>
      </c>
      <c r="AE122" s="32">
        <v>371819.96086105681</v>
      </c>
      <c r="AF122" s="32">
        <v>454011.74168297462</v>
      </c>
      <c r="AG122" s="32" t="s">
        <v>1530</v>
      </c>
      <c r="AH122" s="32"/>
      <c r="AI122" s="32" t="s">
        <v>1493</v>
      </c>
      <c r="AJ122" s="32"/>
      <c r="AK122" s="28"/>
      <c r="AL122" s="18" t="str">
        <f t="shared" si="1"/>
        <v>Do you review pack sizes and explore delivery options in bulk or flexi tanks to streamline supply chain operations and reduce costs?_</v>
      </c>
    </row>
    <row r="123" spans="1:38" ht="43.5" x14ac:dyDescent="0.35">
      <c r="A123" s="32">
        <v>3</v>
      </c>
      <c r="B123" s="32" t="s">
        <v>1451</v>
      </c>
      <c r="C123" s="32" t="s">
        <v>1452</v>
      </c>
      <c r="D123" s="32" t="s">
        <v>1224</v>
      </c>
      <c r="E123" s="32" t="s">
        <v>1453</v>
      </c>
      <c r="F123" s="32"/>
      <c r="G123" s="32" t="s">
        <v>1279</v>
      </c>
      <c r="H123" s="32" t="s">
        <v>1336</v>
      </c>
      <c r="I123" s="32"/>
      <c r="J123" s="32" t="s">
        <v>1239</v>
      </c>
      <c r="K123" s="32" t="s">
        <v>1332</v>
      </c>
      <c r="L123" s="32" t="s">
        <v>1333</v>
      </c>
      <c r="M123" s="32" t="s">
        <v>1334</v>
      </c>
      <c r="N123" s="32" t="s">
        <v>1335</v>
      </c>
      <c r="O123" s="32">
        <v>2</v>
      </c>
      <c r="P123" s="32">
        <v>0.04</v>
      </c>
      <c r="Q123" s="32">
        <v>0.1</v>
      </c>
      <c r="R123" s="32">
        <v>0.8</v>
      </c>
      <c r="S123" s="32">
        <v>6.7857142857142866E-2</v>
      </c>
      <c r="T123" s="32">
        <v>8.2857142857142865E-2</v>
      </c>
      <c r="U123" s="32">
        <v>2714285.714285715</v>
      </c>
      <c r="V123" s="32">
        <v>3314285.714285715</v>
      </c>
      <c r="W123" s="32"/>
      <c r="X123" s="32"/>
      <c r="Y123" s="32"/>
      <c r="Z123" s="32"/>
      <c r="AA123" s="32">
        <v>0.02</v>
      </c>
      <c r="AB123" s="32">
        <v>0.03</v>
      </c>
      <c r="AC123" s="32">
        <v>2.5000000000000001E-2</v>
      </c>
      <c r="AD123" s="32">
        <v>0.13698630136986301</v>
      </c>
      <c r="AE123" s="32">
        <v>371819.96086105681</v>
      </c>
      <c r="AF123" s="32">
        <v>454011.74168297462</v>
      </c>
      <c r="AG123" s="32" t="s">
        <v>1531</v>
      </c>
      <c r="AH123" s="32"/>
      <c r="AI123" s="32" t="s">
        <v>1493</v>
      </c>
      <c r="AJ123" s="32"/>
      <c r="AK123" s="28"/>
      <c r="AL123" s="18" t="str">
        <f t="shared" si="1"/>
        <v>Do you review pack sizes and explore delivery options in bulk or flexi tanks to streamline supply chain operations and reduce costs?_</v>
      </c>
    </row>
    <row r="124" spans="1:38" ht="43.5" x14ac:dyDescent="0.35">
      <c r="A124" s="32">
        <v>3</v>
      </c>
      <c r="B124" s="32" t="s">
        <v>1451</v>
      </c>
      <c r="C124" s="32" t="s">
        <v>1452</v>
      </c>
      <c r="D124" s="32" t="s">
        <v>1224</v>
      </c>
      <c r="E124" s="32" t="s">
        <v>1453</v>
      </c>
      <c r="F124" s="32"/>
      <c r="G124" s="32" t="s">
        <v>1279</v>
      </c>
      <c r="H124" s="32" t="s">
        <v>1336</v>
      </c>
      <c r="I124" s="32"/>
      <c r="J124" s="32" t="s">
        <v>1239</v>
      </c>
      <c r="K124" s="32" t="s">
        <v>1332</v>
      </c>
      <c r="L124" s="32" t="s">
        <v>1333</v>
      </c>
      <c r="M124" s="32" t="s">
        <v>1334</v>
      </c>
      <c r="N124" s="32" t="s">
        <v>1335</v>
      </c>
      <c r="O124" s="32">
        <v>2</v>
      </c>
      <c r="P124" s="32">
        <v>0.04</v>
      </c>
      <c r="Q124" s="32">
        <v>0.1</v>
      </c>
      <c r="R124" s="32">
        <v>0.8</v>
      </c>
      <c r="S124" s="32">
        <v>6.7857142857142866E-2</v>
      </c>
      <c r="T124" s="32">
        <v>8.2857142857142865E-2</v>
      </c>
      <c r="U124" s="32">
        <v>2714285.714285715</v>
      </c>
      <c r="V124" s="32">
        <v>3314285.714285715</v>
      </c>
      <c r="W124" s="32"/>
      <c r="X124" s="32"/>
      <c r="Y124" s="32"/>
      <c r="Z124" s="32"/>
      <c r="AA124" s="32">
        <v>0.02</v>
      </c>
      <c r="AB124" s="32">
        <v>0.03</v>
      </c>
      <c r="AC124" s="32">
        <v>2.5000000000000001E-2</v>
      </c>
      <c r="AD124" s="32">
        <v>0.13698630136986301</v>
      </c>
      <c r="AE124" s="32">
        <v>371819.96086105681</v>
      </c>
      <c r="AF124" s="32">
        <v>454011.74168297462</v>
      </c>
      <c r="AG124" s="32" t="s">
        <v>1532</v>
      </c>
      <c r="AH124" s="32"/>
      <c r="AI124" s="32" t="s">
        <v>1493</v>
      </c>
      <c r="AJ124" s="32"/>
      <c r="AK124" s="28"/>
      <c r="AL124" s="18" t="str">
        <f t="shared" si="1"/>
        <v>Do you review pack sizes and explore delivery options in bulk or flexi tanks to streamline supply chain operations and reduce costs?_</v>
      </c>
    </row>
    <row r="125" spans="1:38" ht="87" x14ac:dyDescent="0.35">
      <c r="A125" s="32">
        <v>4</v>
      </c>
      <c r="B125" s="32" t="s">
        <v>1451</v>
      </c>
      <c r="C125" s="32" t="s">
        <v>1452</v>
      </c>
      <c r="D125" s="32" t="s">
        <v>1224</v>
      </c>
      <c r="E125" s="32" t="s">
        <v>1453</v>
      </c>
      <c r="F125" s="32"/>
      <c r="G125" s="32" t="s">
        <v>1291</v>
      </c>
      <c r="H125" s="32" t="s">
        <v>1379</v>
      </c>
      <c r="I125" s="32"/>
      <c r="J125" s="32" t="s">
        <v>1290</v>
      </c>
      <c r="K125" s="32" t="s">
        <v>1375</v>
      </c>
      <c r="L125" s="32" t="s">
        <v>1376</v>
      </c>
      <c r="M125" s="32" t="s">
        <v>1377</v>
      </c>
      <c r="N125" s="32" t="s">
        <v>1378</v>
      </c>
      <c r="O125" s="32">
        <v>2</v>
      </c>
      <c r="P125" s="32">
        <v>0.04</v>
      </c>
      <c r="Q125" s="32">
        <v>0.1</v>
      </c>
      <c r="R125" s="32">
        <v>0.8</v>
      </c>
      <c r="S125" s="32">
        <v>6.7500000000000004E-2</v>
      </c>
      <c r="T125" s="32">
        <v>8.2500000000000004E-2</v>
      </c>
      <c r="U125" s="32">
        <v>2700000</v>
      </c>
      <c r="V125" s="32">
        <v>3300000</v>
      </c>
      <c r="W125" s="32"/>
      <c r="X125" s="32"/>
      <c r="Y125" s="32"/>
      <c r="Z125" s="32"/>
      <c r="AA125" s="32">
        <v>0.02</v>
      </c>
      <c r="AB125" s="32">
        <v>0.03</v>
      </c>
      <c r="AC125" s="32">
        <v>2.5000000000000001E-2</v>
      </c>
      <c r="AD125" s="32">
        <v>0.13698630136986301</v>
      </c>
      <c r="AE125" s="32">
        <v>369863.01369863021</v>
      </c>
      <c r="AF125" s="32">
        <v>452054.7945205479</v>
      </c>
      <c r="AG125" s="32" t="s">
        <v>1454</v>
      </c>
      <c r="AH125" s="32" t="s">
        <v>1455</v>
      </c>
      <c r="AI125" s="32" t="s">
        <v>2046</v>
      </c>
      <c r="AJ125" s="32" t="s">
        <v>2062</v>
      </c>
      <c r="AK125" s="28" t="s">
        <v>2063</v>
      </c>
      <c r="AL125" s="18" t="str">
        <f t="shared" si="1"/>
        <v>How often do you identify opportunities to simplify your portfolio of vegetable oils to enhance procurement efficiency?_If vegetable oil spend shows concentration in 2-3 regions for &gt;80% spend, suggest bundling volumes across SKUs by geographic origin to negotiate regional supply agreements achieving economies of scale with local crushing facilities</v>
      </c>
    </row>
    <row r="126" spans="1:38" ht="43.5" x14ac:dyDescent="0.35">
      <c r="A126" s="32">
        <v>4</v>
      </c>
      <c r="B126" s="32" t="s">
        <v>1451</v>
      </c>
      <c r="C126" s="32" t="s">
        <v>1452</v>
      </c>
      <c r="D126" s="32" t="s">
        <v>1224</v>
      </c>
      <c r="E126" s="32" t="s">
        <v>1453</v>
      </c>
      <c r="F126" s="32"/>
      <c r="G126" s="32" t="s">
        <v>1291</v>
      </c>
      <c r="H126" s="32" t="s">
        <v>1379</v>
      </c>
      <c r="I126" s="32"/>
      <c r="J126" s="32" t="s">
        <v>1290</v>
      </c>
      <c r="K126" s="32" t="s">
        <v>1375</v>
      </c>
      <c r="L126" s="32" t="s">
        <v>1376</v>
      </c>
      <c r="M126" s="32" t="s">
        <v>1377</v>
      </c>
      <c r="N126" s="32" t="s">
        <v>1378</v>
      </c>
      <c r="O126" s="32">
        <v>2</v>
      </c>
      <c r="P126" s="32">
        <v>0.04</v>
      </c>
      <c r="Q126" s="32">
        <v>0.1</v>
      </c>
      <c r="R126" s="32">
        <v>0.8</v>
      </c>
      <c r="S126" s="32">
        <v>6.7857142857142866E-2</v>
      </c>
      <c r="T126" s="32">
        <v>8.2857142857142865E-2</v>
      </c>
      <c r="U126" s="32">
        <v>2714285.714285715</v>
      </c>
      <c r="V126" s="32">
        <v>3314285.714285715</v>
      </c>
      <c r="W126" s="32"/>
      <c r="X126" s="32"/>
      <c r="Y126" s="32"/>
      <c r="Z126" s="32"/>
      <c r="AA126" s="32">
        <v>0.02</v>
      </c>
      <c r="AB126" s="32">
        <v>0.03</v>
      </c>
      <c r="AC126" s="32">
        <v>2.5000000000000001E-2</v>
      </c>
      <c r="AD126" s="32">
        <v>0.13698630136986301</v>
      </c>
      <c r="AE126" s="32">
        <v>371819.96086105681</v>
      </c>
      <c r="AF126" s="32">
        <v>454011.74168297462</v>
      </c>
      <c r="AG126" s="32" t="s">
        <v>1463</v>
      </c>
      <c r="AH126" s="32" t="s">
        <v>1464</v>
      </c>
      <c r="AI126" s="32" t="s">
        <v>2046</v>
      </c>
      <c r="AJ126" s="32"/>
      <c r="AK126" s="28"/>
      <c r="AL126" s="18" t="str">
        <f t="shared" si="1"/>
        <v>How often do you identify opportunities to simplify your portfolio of vegetable oils to enhance procurement efficiency?_</v>
      </c>
    </row>
    <row r="127" spans="1:38" ht="43.5" x14ac:dyDescent="0.35">
      <c r="A127" s="32">
        <v>4</v>
      </c>
      <c r="B127" s="32" t="s">
        <v>1451</v>
      </c>
      <c r="C127" s="32" t="s">
        <v>1452</v>
      </c>
      <c r="D127" s="32" t="s">
        <v>1224</v>
      </c>
      <c r="E127" s="32" t="s">
        <v>1453</v>
      </c>
      <c r="F127" s="32"/>
      <c r="G127" s="32" t="s">
        <v>1291</v>
      </c>
      <c r="H127" s="32" t="s">
        <v>1379</v>
      </c>
      <c r="I127" s="32"/>
      <c r="J127" s="32" t="s">
        <v>1290</v>
      </c>
      <c r="K127" s="32" t="s">
        <v>1375</v>
      </c>
      <c r="L127" s="32" t="s">
        <v>1376</v>
      </c>
      <c r="M127" s="32" t="s">
        <v>1377</v>
      </c>
      <c r="N127" s="32" t="s">
        <v>1378</v>
      </c>
      <c r="O127" s="32">
        <v>2</v>
      </c>
      <c r="P127" s="32">
        <v>0.04</v>
      </c>
      <c r="Q127" s="32">
        <v>0.1</v>
      </c>
      <c r="R127" s="32">
        <v>0.8</v>
      </c>
      <c r="S127" s="32">
        <v>6.7857142857142866E-2</v>
      </c>
      <c r="T127" s="32">
        <v>8.2857142857142865E-2</v>
      </c>
      <c r="U127" s="32">
        <v>2714285.714285715</v>
      </c>
      <c r="V127" s="32">
        <v>3314285.714285715</v>
      </c>
      <c r="W127" s="32"/>
      <c r="X127" s="32"/>
      <c r="Y127" s="32"/>
      <c r="Z127" s="32"/>
      <c r="AA127" s="32">
        <v>0.02</v>
      </c>
      <c r="AB127" s="32">
        <v>0.03</v>
      </c>
      <c r="AC127" s="32">
        <v>2.5000000000000001E-2</v>
      </c>
      <c r="AD127" s="32">
        <v>0.13698630136986301</v>
      </c>
      <c r="AE127" s="32">
        <v>371819.96086105681</v>
      </c>
      <c r="AF127" s="32">
        <v>454011.74168297462</v>
      </c>
      <c r="AG127" s="32" t="s">
        <v>1465</v>
      </c>
      <c r="AH127" s="32" t="s">
        <v>1466</v>
      </c>
      <c r="AI127" s="32" t="s">
        <v>2046</v>
      </c>
      <c r="AJ127" s="32"/>
      <c r="AK127" s="28"/>
      <c r="AL127" s="18" t="str">
        <f t="shared" si="1"/>
        <v>How often do you identify opportunities to simplify your portfolio of vegetable oils to enhance procurement efficiency?_</v>
      </c>
    </row>
    <row r="128" spans="1:38" ht="43.5" x14ac:dyDescent="0.35">
      <c r="A128" s="32">
        <v>4</v>
      </c>
      <c r="B128" s="32" t="s">
        <v>1451</v>
      </c>
      <c r="C128" s="32" t="s">
        <v>1452</v>
      </c>
      <c r="D128" s="32" t="s">
        <v>1224</v>
      </c>
      <c r="E128" s="32" t="s">
        <v>1453</v>
      </c>
      <c r="F128" s="32"/>
      <c r="G128" s="32" t="s">
        <v>1291</v>
      </c>
      <c r="H128" s="32" t="s">
        <v>1379</v>
      </c>
      <c r="I128" s="32"/>
      <c r="J128" s="32" t="s">
        <v>1290</v>
      </c>
      <c r="K128" s="32" t="s">
        <v>1375</v>
      </c>
      <c r="L128" s="32" t="s">
        <v>1376</v>
      </c>
      <c r="M128" s="32" t="s">
        <v>1377</v>
      </c>
      <c r="N128" s="32" t="s">
        <v>1378</v>
      </c>
      <c r="O128" s="32">
        <v>2</v>
      </c>
      <c r="P128" s="32">
        <v>0.04</v>
      </c>
      <c r="Q128" s="32">
        <v>0.1</v>
      </c>
      <c r="R128" s="32">
        <v>0.8</v>
      </c>
      <c r="S128" s="32">
        <v>6.7857142857142866E-2</v>
      </c>
      <c r="T128" s="32">
        <v>8.2857142857142865E-2</v>
      </c>
      <c r="U128" s="32">
        <v>2714285.714285715</v>
      </c>
      <c r="V128" s="32">
        <v>3314285.714285715</v>
      </c>
      <c r="W128" s="32"/>
      <c r="X128" s="32"/>
      <c r="Y128" s="32"/>
      <c r="Z128" s="32"/>
      <c r="AA128" s="32">
        <v>0.02</v>
      </c>
      <c r="AB128" s="32">
        <v>0.03</v>
      </c>
      <c r="AC128" s="32">
        <v>2.5000000000000001E-2</v>
      </c>
      <c r="AD128" s="32">
        <v>0.13698630136986301</v>
      </c>
      <c r="AE128" s="32">
        <v>371819.96086105681</v>
      </c>
      <c r="AF128" s="32">
        <v>454011.74168297462</v>
      </c>
      <c r="AG128" s="32" t="s">
        <v>1467</v>
      </c>
      <c r="AH128" s="32" t="s">
        <v>1468</v>
      </c>
      <c r="AI128" s="32" t="s">
        <v>2046</v>
      </c>
      <c r="AJ128" s="32"/>
      <c r="AK128" s="28"/>
      <c r="AL128" s="18" t="str">
        <f t="shared" si="1"/>
        <v>How often do you identify opportunities to simplify your portfolio of vegetable oils to enhance procurement efficiency?_</v>
      </c>
    </row>
    <row r="129" spans="1:38" ht="130.5" x14ac:dyDescent="0.35">
      <c r="A129" s="32">
        <v>4</v>
      </c>
      <c r="B129" s="32" t="s">
        <v>1451</v>
      </c>
      <c r="C129" s="32" t="s">
        <v>1452</v>
      </c>
      <c r="D129" s="32" t="s">
        <v>1224</v>
      </c>
      <c r="E129" s="32" t="s">
        <v>1453</v>
      </c>
      <c r="F129" s="32"/>
      <c r="G129" s="32" t="s">
        <v>1291</v>
      </c>
      <c r="H129" s="32" t="s">
        <v>1379</v>
      </c>
      <c r="I129" s="32"/>
      <c r="J129" s="32" t="s">
        <v>1290</v>
      </c>
      <c r="K129" s="32" t="s">
        <v>1375</v>
      </c>
      <c r="L129" s="32" t="s">
        <v>1376</v>
      </c>
      <c r="M129" s="32" t="s">
        <v>1377</v>
      </c>
      <c r="N129" s="32" t="s">
        <v>1378</v>
      </c>
      <c r="O129" s="32">
        <v>2</v>
      </c>
      <c r="P129" s="32">
        <v>0.04</v>
      </c>
      <c r="Q129" s="32">
        <v>0.1</v>
      </c>
      <c r="R129" s="32">
        <v>0.8</v>
      </c>
      <c r="S129" s="32">
        <v>6.7857142857142866E-2</v>
      </c>
      <c r="T129" s="32">
        <v>8.2857142857142865E-2</v>
      </c>
      <c r="U129" s="32">
        <v>2714285.714285715</v>
      </c>
      <c r="V129" s="32">
        <v>3314285.714285715</v>
      </c>
      <c r="W129" s="32"/>
      <c r="X129" s="32"/>
      <c r="Y129" s="32"/>
      <c r="Z129" s="32"/>
      <c r="AA129" s="32">
        <v>0.02</v>
      </c>
      <c r="AB129" s="32">
        <v>0.03</v>
      </c>
      <c r="AC129" s="32">
        <v>2.5000000000000001E-2</v>
      </c>
      <c r="AD129" s="32">
        <v>0.13698630136986301</v>
      </c>
      <c r="AE129" s="32">
        <v>371819.96086105681</v>
      </c>
      <c r="AF129" s="32">
        <v>454011.74168297462</v>
      </c>
      <c r="AG129" s="32" t="s">
        <v>1471</v>
      </c>
      <c r="AH129" s="32" t="s">
        <v>1472</v>
      </c>
      <c r="AI129" s="32" t="s">
        <v>2046</v>
      </c>
      <c r="AJ129" s="32" t="s">
        <v>2064</v>
      </c>
      <c r="AK129" s="28" t="s">
        <v>2065</v>
      </c>
      <c r="AL129" s="18" t="str">
        <f t="shared" si="1"/>
        <v>How often do you identify opportunities to simplify your portfolio of vegetable oils to enhance procurement efficiency?_If vegetable oil spend is fragmented across &gt;5 suppliers for similar oil applications, bundle volumes across SKUs to achieve lower complexity and costs; callout these examples of suppliers that can be consolidated</v>
      </c>
    </row>
    <row r="130" spans="1:38" ht="43.5" x14ac:dyDescent="0.35">
      <c r="A130" s="32">
        <v>4</v>
      </c>
      <c r="B130" s="32" t="s">
        <v>1451</v>
      </c>
      <c r="C130" s="32" t="s">
        <v>1452</v>
      </c>
      <c r="D130" s="32" t="s">
        <v>1224</v>
      </c>
      <c r="E130" s="32" t="s">
        <v>1453</v>
      </c>
      <c r="F130" s="32"/>
      <c r="G130" s="32" t="s">
        <v>1291</v>
      </c>
      <c r="H130" s="32" t="s">
        <v>1379</v>
      </c>
      <c r="I130" s="32"/>
      <c r="J130" s="32" t="s">
        <v>1290</v>
      </c>
      <c r="K130" s="32" t="s">
        <v>1375</v>
      </c>
      <c r="L130" s="32" t="s">
        <v>1376</v>
      </c>
      <c r="M130" s="32" t="s">
        <v>1377</v>
      </c>
      <c r="N130" s="32" t="s">
        <v>1378</v>
      </c>
      <c r="O130" s="32">
        <v>2</v>
      </c>
      <c r="P130" s="32">
        <v>0.04</v>
      </c>
      <c r="Q130" s="32">
        <v>0.1</v>
      </c>
      <c r="R130" s="32">
        <v>0.8</v>
      </c>
      <c r="S130" s="32">
        <v>6.7857142857142866E-2</v>
      </c>
      <c r="T130" s="32">
        <v>8.2857142857142865E-2</v>
      </c>
      <c r="U130" s="32">
        <v>2714285.714285715</v>
      </c>
      <c r="V130" s="32">
        <v>3314285.714285715</v>
      </c>
      <c r="W130" s="32"/>
      <c r="X130" s="32"/>
      <c r="Y130" s="32"/>
      <c r="Z130" s="32"/>
      <c r="AA130" s="32">
        <v>0.02</v>
      </c>
      <c r="AB130" s="32">
        <v>0.03</v>
      </c>
      <c r="AC130" s="32">
        <v>2.5000000000000001E-2</v>
      </c>
      <c r="AD130" s="32">
        <v>0.13698630136986301</v>
      </c>
      <c r="AE130" s="32">
        <v>371819.96086105681</v>
      </c>
      <c r="AF130" s="32">
        <v>454011.74168297462</v>
      </c>
      <c r="AG130" s="32" t="s">
        <v>1475</v>
      </c>
      <c r="AH130" s="32" t="s">
        <v>1476</v>
      </c>
      <c r="AI130" s="32" t="s">
        <v>2046</v>
      </c>
      <c r="AJ130" s="32"/>
      <c r="AK130" s="28"/>
      <c r="AL130" s="18" t="str">
        <f t="shared" si="1"/>
        <v>How often do you identify opportunities to simplify your portfolio of vegetable oils to enhance procurement efficiency?_</v>
      </c>
    </row>
    <row r="131" spans="1:38" ht="217.5" x14ac:dyDescent="0.35">
      <c r="A131" s="32">
        <v>4</v>
      </c>
      <c r="B131" s="32" t="s">
        <v>1451</v>
      </c>
      <c r="C131" s="32" t="s">
        <v>1452</v>
      </c>
      <c r="D131" s="32" t="s">
        <v>1224</v>
      </c>
      <c r="E131" s="32" t="s">
        <v>1453</v>
      </c>
      <c r="F131" s="32"/>
      <c r="G131" s="32" t="s">
        <v>1291</v>
      </c>
      <c r="H131" s="32" t="s">
        <v>1379</v>
      </c>
      <c r="I131" s="32"/>
      <c r="J131" s="32" t="s">
        <v>1290</v>
      </c>
      <c r="K131" s="32" t="s">
        <v>1375</v>
      </c>
      <c r="L131" s="32" t="s">
        <v>1376</v>
      </c>
      <c r="M131" s="32" t="s">
        <v>1377</v>
      </c>
      <c r="N131" s="32" t="s">
        <v>1378</v>
      </c>
      <c r="O131" s="32">
        <v>2</v>
      </c>
      <c r="P131" s="32">
        <v>0.04</v>
      </c>
      <c r="Q131" s="32">
        <v>0.1</v>
      </c>
      <c r="R131" s="32">
        <v>0.8</v>
      </c>
      <c r="S131" s="32">
        <v>6.7857142857142866E-2</v>
      </c>
      <c r="T131" s="32">
        <v>8.2857142857142865E-2</v>
      </c>
      <c r="U131" s="32">
        <v>2714285.714285715</v>
      </c>
      <c r="V131" s="32">
        <v>3314285.714285715</v>
      </c>
      <c r="W131" s="32"/>
      <c r="X131" s="32"/>
      <c r="Y131" s="32"/>
      <c r="Z131" s="32"/>
      <c r="AA131" s="32">
        <v>0.02</v>
      </c>
      <c r="AB131" s="32">
        <v>0.03</v>
      </c>
      <c r="AC131" s="32">
        <v>2.5000000000000001E-2</v>
      </c>
      <c r="AD131" s="32">
        <v>0.13698630136986301</v>
      </c>
      <c r="AE131" s="32">
        <v>371819.96086105681</v>
      </c>
      <c r="AF131" s="32">
        <v>454011.74168297462</v>
      </c>
      <c r="AG131" s="32" t="s">
        <v>1477</v>
      </c>
      <c r="AH131" s="32" t="s">
        <v>1478</v>
      </c>
      <c r="AI131" s="32" t="s">
        <v>2046</v>
      </c>
      <c r="AJ131" s="32" t="s">
        <v>2066</v>
      </c>
      <c r="AK131" s="28" t="s">
        <v>2067</v>
      </c>
      <c r="AL131" s="18" t="str">
        <f t="shared" ref="AL131:AL194" si="2">CONCATENATE(G131,"_",AJ131)</f>
        <v>How often do you identify opportunities to simplify your portfolio of vegetable oils to enhance procurement efficiency?_If vegetable oil PO/invoice analysis reveals identical oil grades with &gt;20% price variance across suppliers, simplify portfolio by consolidating to suppliers offering consistent pricing while maintaining quality specifications that meet &gt;80% of applications. List down those potential suppliers</v>
      </c>
    </row>
    <row r="132" spans="1:38" ht="43.5" x14ac:dyDescent="0.35">
      <c r="A132" s="32">
        <v>4</v>
      </c>
      <c r="B132" s="32" t="s">
        <v>1451</v>
      </c>
      <c r="C132" s="32" t="s">
        <v>1452</v>
      </c>
      <c r="D132" s="32" t="s">
        <v>1224</v>
      </c>
      <c r="E132" s="32" t="s">
        <v>1453</v>
      </c>
      <c r="F132" s="32"/>
      <c r="G132" s="32" t="s">
        <v>1291</v>
      </c>
      <c r="H132" s="32" t="s">
        <v>1379</v>
      </c>
      <c r="I132" s="32"/>
      <c r="J132" s="32" t="s">
        <v>1290</v>
      </c>
      <c r="K132" s="32" t="s">
        <v>1375</v>
      </c>
      <c r="L132" s="32" t="s">
        <v>1376</v>
      </c>
      <c r="M132" s="32" t="s">
        <v>1377</v>
      </c>
      <c r="N132" s="32" t="s">
        <v>1378</v>
      </c>
      <c r="O132" s="32">
        <v>2</v>
      </c>
      <c r="P132" s="32">
        <v>0.04</v>
      </c>
      <c r="Q132" s="32">
        <v>0.1</v>
      </c>
      <c r="R132" s="32">
        <v>0.8</v>
      </c>
      <c r="S132" s="32">
        <v>6.7857142857142866E-2</v>
      </c>
      <c r="T132" s="32">
        <v>8.2857142857142865E-2</v>
      </c>
      <c r="U132" s="32">
        <v>2714285.714285715</v>
      </c>
      <c r="V132" s="32">
        <v>3314285.714285715</v>
      </c>
      <c r="W132" s="32"/>
      <c r="X132" s="32"/>
      <c r="Y132" s="32"/>
      <c r="Z132" s="32"/>
      <c r="AA132" s="32">
        <v>0.02</v>
      </c>
      <c r="AB132" s="32">
        <v>0.03</v>
      </c>
      <c r="AC132" s="32">
        <v>2.5000000000000001E-2</v>
      </c>
      <c r="AD132" s="32">
        <v>0.13698630136986301</v>
      </c>
      <c r="AE132" s="32">
        <v>371819.96086105681</v>
      </c>
      <c r="AF132" s="32">
        <v>454011.74168297462</v>
      </c>
      <c r="AG132" s="32" t="s">
        <v>1481</v>
      </c>
      <c r="AH132" s="32" t="s">
        <v>1482</v>
      </c>
      <c r="AI132" s="32" t="s">
        <v>2046</v>
      </c>
      <c r="AJ132" s="32"/>
      <c r="AK132" s="28"/>
      <c r="AL132" s="18" t="str">
        <f t="shared" si="2"/>
        <v>How often do you identify opportunities to simplify your portfolio of vegetable oils to enhance procurement efficiency?_</v>
      </c>
    </row>
    <row r="133" spans="1:38" ht="58" x14ac:dyDescent="0.35">
      <c r="A133" s="32">
        <v>4</v>
      </c>
      <c r="B133" s="32" t="s">
        <v>1451</v>
      </c>
      <c r="C133" s="32" t="s">
        <v>1452</v>
      </c>
      <c r="D133" s="32" t="s">
        <v>1224</v>
      </c>
      <c r="E133" s="32" t="s">
        <v>1453</v>
      </c>
      <c r="F133" s="32"/>
      <c r="G133" s="32" t="s">
        <v>1291</v>
      </c>
      <c r="H133" s="32" t="s">
        <v>1379</v>
      </c>
      <c r="I133" s="32"/>
      <c r="J133" s="32" t="s">
        <v>1290</v>
      </c>
      <c r="K133" s="32" t="s">
        <v>1375</v>
      </c>
      <c r="L133" s="32" t="s">
        <v>1376</v>
      </c>
      <c r="M133" s="32" t="s">
        <v>1377</v>
      </c>
      <c r="N133" s="32" t="s">
        <v>1378</v>
      </c>
      <c r="O133" s="32">
        <v>2</v>
      </c>
      <c r="P133" s="32">
        <v>0.04</v>
      </c>
      <c r="Q133" s="32">
        <v>0.1</v>
      </c>
      <c r="R133" s="32">
        <v>0.8</v>
      </c>
      <c r="S133" s="32">
        <v>6.7857142857142866E-2</v>
      </c>
      <c r="T133" s="32">
        <v>8.2857142857142865E-2</v>
      </c>
      <c r="U133" s="32">
        <v>2714285.714285715</v>
      </c>
      <c r="V133" s="32">
        <v>3314285.714285715</v>
      </c>
      <c r="W133" s="32"/>
      <c r="X133" s="32"/>
      <c r="Y133" s="32"/>
      <c r="Z133" s="32"/>
      <c r="AA133" s="32">
        <v>0.02</v>
      </c>
      <c r="AB133" s="32">
        <v>0.03</v>
      </c>
      <c r="AC133" s="32">
        <v>2.5000000000000001E-2</v>
      </c>
      <c r="AD133" s="32">
        <v>0.13698630136986301</v>
      </c>
      <c r="AE133" s="32">
        <v>371819.96086105681</v>
      </c>
      <c r="AF133" s="32">
        <v>454011.74168297462</v>
      </c>
      <c r="AG133" s="32" t="s">
        <v>1483</v>
      </c>
      <c r="AH133" s="32" t="s">
        <v>1484</v>
      </c>
      <c r="AI133" s="32" t="s">
        <v>2046</v>
      </c>
      <c r="AJ133" s="32"/>
      <c r="AK133" s="28"/>
      <c r="AL133" s="18" t="str">
        <f t="shared" si="2"/>
        <v>How often do you identify opportunities to simplify your portfolio of vegetable oils to enhance procurement efficiency?_</v>
      </c>
    </row>
    <row r="134" spans="1:38" ht="43.5" x14ac:dyDescent="0.35">
      <c r="A134" s="32">
        <v>4</v>
      </c>
      <c r="B134" s="32" t="s">
        <v>1451</v>
      </c>
      <c r="C134" s="32" t="s">
        <v>1452</v>
      </c>
      <c r="D134" s="32" t="s">
        <v>1224</v>
      </c>
      <c r="E134" s="32" t="s">
        <v>1453</v>
      </c>
      <c r="F134" s="32"/>
      <c r="G134" s="32" t="s">
        <v>1291</v>
      </c>
      <c r="H134" s="32" t="s">
        <v>1379</v>
      </c>
      <c r="I134" s="32"/>
      <c r="J134" s="32" t="s">
        <v>1290</v>
      </c>
      <c r="K134" s="32" t="s">
        <v>1375</v>
      </c>
      <c r="L134" s="32" t="s">
        <v>1376</v>
      </c>
      <c r="M134" s="32" t="s">
        <v>1377</v>
      </c>
      <c r="N134" s="32" t="s">
        <v>1378</v>
      </c>
      <c r="O134" s="32">
        <v>2</v>
      </c>
      <c r="P134" s="32">
        <v>0.04</v>
      </c>
      <c r="Q134" s="32">
        <v>0.1</v>
      </c>
      <c r="R134" s="32">
        <v>0.8</v>
      </c>
      <c r="S134" s="32">
        <v>6.7857142857142866E-2</v>
      </c>
      <c r="T134" s="32">
        <v>8.2857142857142865E-2</v>
      </c>
      <c r="U134" s="32">
        <v>2714285.714285715</v>
      </c>
      <c r="V134" s="32">
        <v>3314285.714285715</v>
      </c>
      <c r="W134" s="32"/>
      <c r="X134" s="32"/>
      <c r="Y134" s="32"/>
      <c r="Z134" s="32"/>
      <c r="AA134" s="32">
        <v>0.02</v>
      </c>
      <c r="AB134" s="32">
        <v>0.03</v>
      </c>
      <c r="AC134" s="32">
        <v>2.5000000000000001E-2</v>
      </c>
      <c r="AD134" s="32">
        <v>0.13698630136986301</v>
      </c>
      <c r="AE134" s="32">
        <v>371819.96086105681</v>
      </c>
      <c r="AF134" s="32">
        <v>454011.74168297462</v>
      </c>
      <c r="AG134" s="32" t="s">
        <v>1486</v>
      </c>
      <c r="AH134" s="32" t="s">
        <v>1487</v>
      </c>
      <c r="AI134" s="32" t="s">
        <v>2046</v>
      </c>
      <c r="AJ134" s="32"/>
      <c r="AK134" s="28"/>
      <c r="AL134" s="18" t="str">
        <f t="shared" si="2"/>
        <v>How often do you identify opportunities to simplify your portfolio of vegetable oils to enhance procurement efficiency?_</v>
      </c>
    </row>
    <row r="135" spans="1:38" ht="43.5" x14ac:dyDescent="0.35">
      <c r="A135" s="32">
        <v>4</v>
      </c>
      <c r="B135" s="32" t="s">
        <v>1451</v>
      </c>
      <c r="C135" s="32" t="s">
        <v>1452</v>
      </c>
      <c r="D135" s="32" t="s">
        <v>1224</v>
      </c>
      <c r="E135" s="32" t="s">
        <v>1453</v>
      </c>
      <c r="F135" s="32"/>
      <c r="G135" s="32" t="s">
        <v>1291</v>
      </c>
      <c r="H135" s="32" t="s">
        <v>1379</v>
      </c>
      <c r="I135" s="32"/>
      <c r="J135" s="32" t="s">
        <v>1290</v>
      </c>
      <c r="K135" s="32" t="s">
        <v>1375</v>
      </c>
      <c r="L135" s="32" t="s">
        <v>1376</v>
      </c>
      <c r="M135" s="32" t="s">
        <v>1377</v>
      </c>
      <c r="N135" s="32" t="s">
        <v>1378</v>
      </c>
      <c r="O135" s="32">
        <v>2</v>
      </c>
      <c r="P135" s="32">
        <v>0.04</v>
      </c>
      <c r="Q135" s="32">
        <v>0.1</v>
      </c>
      <c r="R135" s="32">
        <v>0.8</v>
      </c>
      <c r="S135" s="32">
        <v>6.7857142857142866E-2</v>
      </c>
      <c r="T135" s="32">
        <v>8.2857142857142865E-2</v>
      </c>
      <c r="U135" s="32">
        <v>2714285.714285715</v>
      </c>
      <c r="V135" s="32">
        <v>3314285.714285715</v>
      </c>
      <c r="W135" s="32"/>
      <c r="X135" s="32"/>
      <c r="Y135" s="32"/>
      <c r="Z135" s="32"/>
      <c r="AA135" s="32">
        <v>0.02</v>
      </c>
      <c r="AB135" s="32">
        <v>0.03</v>
      </c>
      <c r="AC135" s="32">
        <v>2.5000000000000001E-2</v>
      </c>
      <c r="AD135" s="32">
        <v>0.13698630136986301</v>
      </c>
      <c r="AE135" s="32">
        <v>371819.96086105681</v>
      </c>
      <c r="AF135" s="32">
        <v>454011.74168297462</v>
      </c>
      <c r="AG135" s="32" t="s">
        <v>1488</v>
      </c>
      <c r="AH135" s="32" t="s">
        <v>1489</v>
      </c>
      <c r="AI135" s="32" t="s">
        <v>2046</v>
      </c>
      <c r="AJ135" s="32"/>
      <c r="AK135" s="28"/>
      <c r="AL135" s="18" t="str">
        <f t="shared" si="2"/>
        <v>How often do you identify opportunities to simplify your portfolio of vegetable oils to enhance procurement efficiency?_</v>
      </c>
    </row>
    <row r="136" spans="1:38" ht="43.5" x14ac:dyDescent="0.35">
      <c r="A136" s="32">
        <v>4</v>
      </c>
      <c r="B136" s="32" t="s">
        <v>1451</v>
      </c>
      <c r="C136" s="32" t="s">
        <v>1452</v>
      </c>
      <c r="D136" s="32" t="s">
        <v>1224</v>
      </c>
      <c r="E136" s="32" t="s">
        <v>1453</v>
      </c>
      <c r="F136" s="32"/>
      <c r="G136" s="32" t="s">
        <v>1291</v>
      </c>
      <c r="H136" s="32" t="s">
        <v>1379</v>
      </c>
      <c r="I136" s="32"/>
      <c r="J136" s="32" t="s">
        <v>1290</v>
      </c>
      <c r="K136" s="32" t="s">
        <v>1375</v>
      </c>
      <c r="L136" s="32" t="s">
        <v>1376</v>
      </c>
      <c r="M136" s="32" t="s">
        <v>1377</v>
      </c>
      <c r="N136" s="32" t="s">
        <v>1378</v>
      </c>
      <c r="O136" s="32">
        <v>2</v>
      </c>
      <c r="P136" s="32">
        <v>0.04</v>
      </c>
      <c r="Q136" s="32">
        <v>0.1</v>
      </c>
      <c r="R136" s="32">
        <v>0.8</v>
      </c>
      <c r="S136" s="32">
        <v>6.7857142857142866E-2</v>
      </c>
      <c r="T136" s="32">
        <v>8.2857142857142865E-2</v>
      </c>
      <c r="U136" s="32">
        <v>2714285.714285715</v>
      </c>
      <c r="V136" s="32">
        <v>3314285.714285715</v>
      </c>
      <c r="W136" s="32"/>
      <c r="X136" s="32"/>
      <c r="Y136" s="32"/>
      <c r="Z136" s="32"/>
      <c r="AA136" s="32">
        <v>0.02</v>
      </c>
      <c r="AB136" s="32">
        <v>0.03</v>
      </c>
      <c r="AC136" s="32">
        <v>2.5000000000000001E-2</v>
      </c>
      <c r="AD136" s="32">
        <v>0.13698630136986301</v>
      </c>
      <c r="AE136" s="32">
        <v>371819.96086105681</v>
      </c>
      <c r="AF136" s="32">
        <v>454011.74168297462</v>
      </c>
      <c r="AG136" s="32" t="s">
        <v>1490</v>
      </c>
      <c r="AH136" s="32" t="s">
        <v>1491</v>
      </c>
      <c r="AI136" s="32" t="s">
        <v>2046</v>
      </c>
      <c r="AJ136" s="32"/>
      <c r="AK136" s="28"/>
      <c r="AL136" s="18" t="str">
        <f t="shared" si="2"/>
        <v>How often do you identify opportunities to simplify your portfolio of vegetable oils to enhance procurement efficiency?_</v>
      </c>
    </row>
    <row r="137" spans="1:38" ht="43.5" x14ac:dyDescent="0.35">
      <c r="A137" s="32">
        <v>4</v>
      </c>
      <c r="B137" s="32" t="s">
        <v>1451</v>
      </c>
      <c r="C137" s="32" t="s">
        <v>1452</v>
      </c>
      <c r="D137" s="32" t="s">
        <v>1224</v>
      </c>
      <c r="E137" s="32" t="s">
        <v>1453</v>
      </c>
      <c r="F137" s="32"/>
      <c r="G137" s="32" t="s">
        <v>1291</v>
      </c>
      <c r="H137" s="32" t="s">
        <v>1379</v>
      </c>
      <c r="I137" s="32"/>
      <c r="J137" s="32" t="s">
        <v>1290</v>
      </c>
      <c r="K137" s="32" t="s">
        <v>1375</v>
      </c>
      <c r="L137" s="32" t="s">
        <v>1376</v>
      </c>
      <c r="M137" s="32" t="s">
        <v>1377</v>
      </c>
      <c r="N137" s="32" t="s">
        <v>1378</v>
      </c>
      <c r="O137" s="32">
        <v>2</v>
      </c>
      <c r="P137" s="32">
        <v>0.04</v>
      </c>
      <c r="Q137" s="32">
        <v>0.1</v>
      </c>
      <c r="R137" s="32">
        <v>0.8</v>
      </c>
      <c r="S137" s="32">
        <v>6.7857142857142866E-2</v>
      </c>
      <c r="T137" s="32">
        <v>8.2857142857142865E-2</v>
      </c>
      <c r="U137" s="32">
        <v>2714285.714285715</v>
      </c>
      <c r="V137" s="32">
        <v>3314285.714285715</v>
      </c>
      <c r="W137" s="32"/>
      <c r="X137" s="32"/>
      <c r="Y137" s="32"/>
      <c r="Z137" s="32"/>
      <c r="AA137" s="32">
        <v>0.02</v>
      </c>
      <c r="AB137" s="32">
        <v>0.03</v>
      </c>
      <c r="AC137" s="32">
        <v>2.5000000000000001E-2</v>
      </c>
      <c r="AD137" s="32">
        <v>0.13698630136986301</v>
      </c>
      <c r="AE137" s="32">
        <v>371819.96086105681</v>
      </c>
      <c r="AF137" s="32">
        <v>454011.74168297462</v>
      </c>
      <c r="AG137" s="32" t="s">
        <v>1492</v>
      </c>
      <c r="AH137" s="32" t="s">
        <v>1538</v>
      </c>
      <c r="AI137" s="32" t="s">
        <v>1493</v>
      </c>
      <c r="AJ137" s="32"/>
      <c r="AK137" s="28"/>
      <c r="AL137" s="18" t="str">
        <f t="shared" si="2"/>
        <v>How often do you identify opportunities to simplify your portfolio of vegetable oils to enhance procurement efficiency?_</v>
      </c>
    </row>
    <row r="138" spans="1:38" ht="43.5" x14ac:dyDescent="0.35">
      <c r="A138" s="32">
        <v>4</v>
      </c>
      <c r="B138" s="32" t="s">
        <v>1451</v>
      </c>
      <c r="C138" s="32" t="s">
        <v>1452</v>
      </c>
      <c r="D138" s="32" t="s">
        <v>1224</v>
      </c>
      <c r="E138" s="32" t="s">
        <v>1453</v>
      </c>
      <c r="F138" s="32"/>
      <c r="G138" s="32" t="s">
        <v>1291</v>
      </c>
      <c r="H138" s="32" t="s">
        <v>1379</v>
      </c>
      <c r="I138" s="32"/>
      <c r="J138" s="32" t="s">
        <v>1290</v>
      </c>
      <c r="K138" s="32" t="s">
        <v>1375</v>
      </c>
      <c r="L138" s="32" t="s">
        <v>1376</v>
      </c>
      <c r="M138" s="32" t="s">
        <v>1377</v>
      </c>
      <c r="N138" s="32" t="s">
        <v>1378</v>
      </c>
      <c r="O138" s="32">
        <v>2</v>
      </c>
      <c r="P138" s="32">
        <v>0.04</v>
      </c>
      <c r="Q138" s="32">
        <v>0.1</v>
      </c>
      <c r="R138" s="32">
        <v>0.8</v>
      </c>
      <c r="S138" s="32">
        <v>6.7857142857142866E-2</v>
      </c>
      <c r="T138" s="32">
        <v>8.2857142857142865E-2</v>
      </c>
      <c r="U138" s="32">
        <v>2714285.714285715</v>
      </c>
      <c r="V138" s="32">
        <v>3314285.714285715</v>
      </c>
      <c r="W138" s="32"/>
      <c r="X138" s="32"/>
      <c r="Y138" s="32"/>
      <c r="Z138" s="32"/>
      <c r="AA138" s="32">
        <v>0.02</v>
      </c>
      <c r="AB138" s="32">
        <v>0.03</v>
      </c>
      <c r="AC138" s="32">
        <v>2.5000000000000001E-2</v>
      </c>
      <c r="AD138" s="32">
        <v>0.13698630136986301</v>
      </c>
      <c r="AE138" s="32">
        <v>371819.96086105681</v>
      </c>
      <c r="AF138" s="32">
        <v>454011.74168297462</v>
      </c>
      <c r="AG138" s="32" t="s">
        <v>1494</v>
      </c>
      <c r="AH138" s="32" t="s">
        <v>1539</v>
      </c>
      <c r="AI138" s="32" t="s">
        <v>1493</v>
      </c>
      <c r="AJ138" s="32"/>
      <c r="AK138" s="28"/>
      <c r="AL138" s="18" t="str">
        <f t="shared" si="2"/>
        <v>How often do you identify opportunities to simplify your portfolio of vegetable oils to enhance procurement efficiency?_</v>
      </c>
    </row>
    <row r="139" spans="1:38" ht="43.5" x14ac:dyDescent="0.35">
      <c r="A139" s="32">
        <v>4</v>
      </c>
      <c r="B139" s="32" t="s">
        <v>1451</v>
      </c>
      <c r="C139" s="32" t="s">
        <v>1452</v>
      </c>
      <c r="D139" s="32" t="s">
        <v>1224</v>
      </c>
      <c r="E139" s="32" t="s">
        <v>1453</v>
      </c>
      <c r="F139" s="32"/>
      <c r="G139" s="32" t="s">
        <v>1291</v>
      </c>
      <c r="H139" s="32" t="s">
        <v>1379</v>
      </c>
      <c r="I139" s="32"/>
      <c r="J139" s="32" t="s">
        <v>1290</v>
      </c>
      <c r="K139" s="32" t="s">
        <v>1375</v>
      </c>
      <c r="L139" s="32" t="s">
        <v>1376</v>
      </c>
      <c r="M139" s="32" t="s">
        <v>1377</v>
      </c>
      <c r="N139" s="32" t="s">
        <v>1378</v>
      </c>
      <c r="O139" s="32">
        <v>2</v>
      </c>
      <c r="P139" s="32">
        <v>0.04</v>
      </c>
      <c r="Q139" s="32">
        <v>0.1</v>
      </c>
      <c r="R139" s="32">
        <v>0.8</v>
      </c>
      <c r="S139" s="32">
        <v>6.7857142857142866E-2</v>
      </c>
      <c r="T139" s="32">
        <v>8.2857142857142865E-2</v>
      </c>
      <c r="U139" s="32">
        <v>2714285.714285715</v>
      </c>
      <c r="V139" s="32">
        <v>3314285.714285715</v>
      </c>
      <c r="W139" s="32"/>
      <c r="X139" s="32"/>
      <c r="Y139" s="32"/>
      <c r="Z139" s="32"/>
      <c r="AA139" s="32">
        <v>0.02</v>
      </c>
      <c r="AB139" s="32">
        <v>0.03</v>
      </c>
      <c r="AC139" s="32">
        <v>2.5000000000000001E-2</v>
      </c>
      <c r="AD139" s="32">
        <v>0.13698630136986301</v>
      </c>
      <c r="AE139" s="32">
        <v>371819.96086105681</v>
      </c>
      <c r="AF139" s="32">
        <v>454011.74168297462</v>
      </c>
      <c r="AG139" s="32" t="s">
        <v>1495</v>
      </c>
      <c r="AH139" s="32"/>
      <c r="AI139" s="32" t="s">
        <v>1493</v>
      </c>
      <c r="AJ139" s="32"/>
      <c r="AK139" s="28"/>
      <c r="AL139" s="18" t="str">
        <f t="shared" si="2"/>
        <v>How often do you identify opportunities to simplify your portfolio of vegetable oils to enhance procurement efficiency?_</v>
      </c>
    </row>
    <row r="140" spans="1:38" ht="43.5" x14ac:dyDescent="0.35">
      <c r="A140" s="32">
        <v>4</v>
      </c>
      <c r="B140" s="32" t="s">
        <v>1451</v>
      </c>
      <c r="C140" s="32" t="s">
        <v>1452</v>
      </c>
      <c r="D140" s="32" t="s">
        <v>1224</v>
      </c>
      <c r="E140" s="32" t="s">
        <v>1453</v>
      </c>
      <c r="F140" s="32"/>
      <c r="G140" s="32" t="s">
        <v>1291</v>
      </c>
      <c r="H140" s="32" t="s">
        <v>1379</v>
      </c>
      <c r="I140" s="32"/>
      <c r="J140" s="32" t="s">
        <v>1290</v>
      </c>
      <c r="K140" s="32" t="s">
        <v>1375</v>
      </c>
      <c r="L140" s="32" t="s">
        <v>1376</v>
      </c>
      <c r="M140" s="32" t="s">
        <v>1377</v>
      </c>
      <c r="N140" s="32" t="s">
        <v>1378</v>
      </c>
      <c r="O140" s="32">
        <v>2</v>
      </c>
      <c r="P140" s="32">
        <v>0.04</v>
      </c>
      <c r="Q140" s="32">
        <v>0.1</v>
      </c>
      <c r="R140" s="32">
        <v>0.8</v>
      </c>
      <c r="S140" s="32">
        <v>6.7857142857142866E-2</v>
      </c>
      <c r="T140" s="32">
        <v>8.2857142857142865E-2</v>
      </c>
      <c r="U140" s="32">
        <v>2714285.714285715</v>
      </c>
      <c r="V140" s="32">
        <v>3314285.714285715</v>
      </c>
      <c r="W140" s="32"/>
      <c r="X140" s="32"/>
      <c r="Y140" s="32"/>
      <c r="Z140" s="32"/>
      <c r="AA140" s="32">
        <v>0.02</v>
      </c>
      <c r="AB140" s="32">
        <v>0.03</v>
      </c>
      <c r="AC140" s="32">
        <v>2.5000000000000001E-2</v>
      </c>
      <c r="AD140" s="32">
        <v>0.13698630136986301</v>
      </c>
      <c r="AE140" s="32">
        <v>371819.96086105681</v>
      </c>
      <c r="AF140" s="32">
        <v>454011.74168297462</v>
      </c>
      <c r="AG140" s="32" t="s">
        <v>1496</v>
      </c>
      <c r="AH140" s="32"/>
      <c r="AI140" s="32" t="s">
        <v>1493</v>
      </c>
      <c r="AJ140" s="32"/>
      <c r="AK140" s="28"/>
      <c r="AL140" s="18" t="str">
        <f t="shared" si="2"/>
        <v>How often do you identify opportunities to simplify your portfolio of vegetable oils to enhance procurement efficiency?_</v>
      </c>
    </row>
    <row r="141" spans="1:38" ht="43.5" x14ac:dyDescent="0.35">
      <c r="A141" s="32">
        <v>4</v>
      </c>
      <c r="B141" s="32" t="s">
        <v>1451</v>
      </c>
      <c r="C141" s="32" t="s">
        <v>1452</v>
      </c>
      <c r="D141" s="32" t="s">
        <v>1224</v>
      </c>
      <c r="E141" s="32" t="s">
        <v>1453</v>
      </c>
      <c r="F141" s="32"/>
      <c r="G141" s="32" t="s">
        <v>1291</v>
      </c>
      <c r="H141" s="32" t="s">
        <v>1379</v>
      </c>
      <c r="I141" s="32"/>
      <c r="J141" s="32" t="s">
        <v>1290</v>
      </c>
      <c r="K141" s="32" t="s">
        <v>1375</v>
      </c>
      <c r="L141" s="32" t="s">
        <v>1376</v>
      </c>
      <c r="M141" s="32" t="s">
        <v>1377</v>
      </c>
      <c r="N141" s="32" t="s">
        <v>1378</v>
      </c>
      <c r="O141" s="32">
        <v>2</v>
      </c>
      <c r="P141" s="32">
        <v>0.04</v>
      </c>
      <c r="Q141" s="32">
        <v>0.1</v>
      </c>
      <c r="R141" s="32">
        <v>0.8</v>
      </c>
      <c r="S141" s="32">
        <v>6.7857142857142866E-2</v>
      </c>
      <c r="T141" s="32">
        <v>8.2857142857142865E-2</v>
      </c>
      <c r="U141" s="32">
        <v>2714285.714285715</v>
      </c>
      <c r="V141" s="32">
        <v>3314285.714285715</v>
      </c>
      <c r="W141" s="32"/>
      <c r="X141" s="32"/>
      <c r="Y141" s="32"/>
      <c r="Z141" s="32"/>
      <c r="AA141" s="32">
        <v>0.02</v>
      </c>
      <c r="AB141" s="32">
        <v>0.03</v>
      </c>
      <c r="AC141" s="32">
        <v>2.5000000000000001E-2</v>
      </c>
      <c r="AD141" s="32">
        <v>0.13698630136986301</v>
      </c>
      <c r="AE141" s="32">
        <v>371819.96086105681</v>
      </c>
      <c r="AF141" s="32">
        <v>454011.74168297462</v>
      </c>
      <c r="AG141" s="32" t="s">
        <v>1499</v>
      </c>
      <c r="AH141" s="32"/>
      <c r="AI141" s="32" t="s">
        <v>1493</v>
      </c>
      <c r="AJ141" s="32"/>
      <c r="AK141" s="28"/>
      <c r="AL141" s="18" t="str">
        <f t="shared" si="2"/>
        <v>How often do you identify opportunities to simplify your portfolio of vegetable oils to enhance procurement efficiency?_</v>
      </c>
    </row>
    <row r="142" spans="1:38" ht="43.5" x14ac:dyDescent="0.35">
      <c r="A142" s="32">
        <v>4</v>
      </c>
      <c r="B142" s="32" t="s">
        <v>1451</v>
      </c>
      <c r="C142" s="32" t="s">
        <v>1452</v>
      </c>
      <c r="D142" s="32" t="s">
        <v>1224</v>
      </c>
      <c r="E142" s="32" t="s">
        <v>1453</v>
      </c>
      <c r="F142" s="32"/>
      <c r="G142" s="32" t="s">
        <v>1291</v>
      </c>
      <c r="H142" s="32" t="s">
        <v>1379</v>
      </c>
      <c r="I142" s="32"/>
      <c r="J142" s="32" t="s">
        <v>1290</v>
      </c>
      <c r="K142" s="32" t="s">
        <v>1375</v>
      </c>
      <c r="L142" s="32" t="s">
        <v>1376</v>
      </c>
      <c r="M142" s="32" t="s">
        <v>1377</v>
      </c>
      <c r="N142" s="32" t="s">
        <v>1378</v>
      </c>
      <c r="O142" s="32">
        <v>2</v>
      </c>
      <c r="P142" s="32">
        <v>0.04</v>
      </c>
      <c r="Q142" s="32">
        <v>0.1</v>
      </c>
      <c r="R142" s="32">
        <v>0.8</v>
      </c>
      <c r="S142" s="32">
        <v>6.7857142857142866E-2</v>
      </c>
      <c r="T142" s="32">
        <v>8.2857142857142865E-2</v>
      </c>
      <c r="U142" s="32">
        <v>2714285.714285715</v>
      </c>
      <c r="V142" s="32">
        <v>3314285.714285715</v>
      </c>
      <c r="W142" s="32"/>
      <c r="X142" s="32"/>
      <c r="Y142" s="32"/>
      <c r="Z142" s="32"/>
      <c r="AA142" s="32">
        <v>0.02</v>
      </c>
      <c r="AB142" s="32">
        <v>0.03</v>
      </c>
      <c r="AC142" s="32">
        <v>2.5000000000000001E-2</v>
      </c>
      <c r="AD142" s="32">
        <v>0.13698630136986301</v>
      </c>
      <c r="AE142" s="32">
        <v>371819.96086105681</v>
      </c>
      <c r="AF142" s="32">
        <v>454011.74168297462</v>
      </c>
      <c r="AG142" s="32" t="s">
        <v>1500</v>
      </c>
      <c r="AH142" s="32"/>
      <c r="AI142" s="32" t="s">
        <v>1493</v>
      </c>
      <c r="AJ142" s="32"/>
      <c r="AK142" s="28"/>
      <c r="AL142" s="18" t="str">
        <f t="shared" si="2"/>
        <v>How often do you identify opportunities to simplify your portfolio of vegetable oils to enhance procurement efficiency?_</v>
      </c>
    </row>
    <row r="143" spans="1:38" ht="43.5" x14ac:dyDescent="0.35">
      <c r="A143" s="32">
        <v>4</v>
      </c>
      <c r="B143" s="32" t="s">
        <v>1451</v>
      </c>
      <c r="C143" s="32" t="s">
        <v>1452</v>
      </c>
      <c r="D143" s="32" t="s">
        <v>1224</v>
      </c>
      <c r="E143" s="32" t="s">
        <v>1453</v>
      </c>
      <c r="F143" s="32"/>
      <c r="G143" s="32" t="s">
        <v>1291</v>
      </c>
      <c r="H143" s="32" t="s">
        <v>1379</v>
      </c>
      <c r="I143" s="32"/>
      <c r="J143" s="32" t="s">
        <v>1290</v>
      </c>
      <c r="K143" s="32" t="s">
        <v>1375</v>
      </c>
      <c r="L143" s="32" t="s">
        <v>1376</v>
      </c>
      <c r="M143" s="32" t="s">
        <v>1377</v>
      </c>
      <c r="N143" s="32" t="s">
        <v>1378</v>
      </c>
      <c r="O143" s="32">
        <v>2</v>
      </c>
      <c r="P143" s="32">
        <v>0.04</v>
      </c>
      <c r="Q143" s="32">
        <v>0.1</v>
      </c>
      <c r="R143" s="32">
        <v>0.8</v>
      </c>
      <c r="S143" s="32">
        <v>6.7857142857142866E-2</v>
      </c>
      <c r="T143" s="32">
        <v>8.2857142857142865E-2</v>
      </c>
      <c r="U143" s="32">
        <v>2714285.714285715</v>
      </c>
      <c r="V143" s="32">
        <v>3314285.714285715</v>
      </c>
      <c r="W143" s="32"/>
      <c r="X143" s="32"/>
      <c r="Y143" s="32"/>
      <c r="Z143" s="32"/>
      <c r="AA143" s="32">
        <v>0.02</v>
      </c>
      <c r="AB143" s="32">
        <v>0.03</v>
      </c>
      <c r="AC143" s="32">
        <v>2.5000000000000001E-2</v>
      </c>
      <c r="AD143" s="32">
        <v>0.13698630136986301</v>
      </c>
      <c r="AE143" s="32">
        <v>371819.96086105681</v>
      </c>
      <c r="AF143" s="32">
        <v>454011.74168297462</v>
      </c>
      <c r="AG143" s="32" t="s">
        <v>1501</v>
      </c>
      <c r="AH143" s="32"/>
      <c r="AI143" s="32" t="s">
        <v>1493</v>
      </c>
      <c r="AJ143" s="32"/>
      <c r="AK143" s="28"/>
      <c r="AL143" s="18" t="str">
        <f t="shared" si="2"/>
        <v>How often do you identify opportunities to simplify your portfolio of vegetable oils to enhance procurement efficiency?_</v>
      </c>
    </row>
    <row r="144" spans="1:38" ht="43.5" x14ac:dyDescent="0.35">
      <c r="A144" s="32">
        <v>4</v>
      </c>
      <c r="B144" s="32" t="s">
        <v>1451</v>
      </c>
      <c r="C144" s="32" t="s">
        <v>1452</v>
      </c>
      <c r="D144" s="32" t="s">
        <v>1224</v>
      </c>
      <c r="E144" s="32" t="s">
        <v>1453</v>
      </c>
      <c r="F144" s="32"/>
      <c r="G144" s="32" t="s">
        <v>1291</v>
      </c>
      <c r="H144" s="32" t="s">
        <v>1379</v>
      </c>
      <c r="I144" s="32"/>
      <c r="J144" s="32" t="s">
        <v>1290</v>
      </c>
      <c r="K144" s="32" t="s">
        <v>1375</v>
      </c>
      <c r="L144" s="32" t="s">
        <v>1376</v>
      </c>
      <c r="M144" s="32" t="s">
        <v>1377</v>
      </c>
      <c r="N144" s="32" t="s">
        <v>1378</v>
      </c>
      <c r="O144" s="32">
        <v>2</v>
      </c>
      <c r="P144" s="32">
        <v>0.04</v>
      </c>
      <c r="Q144" s="32">
        <v>0.1</v>
      </c>
      <c r="R144" s="32">
        <v>0.8</v>
      </c>
      <c r="S144" s="32">
        <v>6.7857142857142866E-2</v>
      </c>
      <c r="T144" s="32">
        <v>8.2857142857142865E-2</v>
      </c>
      <c r="U144" s="32">
        <v>2714285.714285715</v>
      </c>
      <c r="V144" s="32">
        <v>3314285.714285715</v>
      </c>
      <c r="W144" s="32"/>
      <c r="X144" s="32"/>
      <c r="Y144" s="32"/>
      <c r="Z144" s="32"/>
      <c r="AA144" s="32">
        <v>0.02</v>
      </c>
      <c r="AB144" s="32">
        <v>0.03</v>
      </c>
      <c r="AC144" s="32">
        <v>2.5000000000000001E-2</v>
      </c>
      <c r="AD144" s="32">
        <v>0.13698630136986301</v>
      </c>
      <c r="AE144" s="32">
        <v>371819.96086105681</v>
      </c>
      <c r="AF144" s="32">
        <v>454011.74168297462</v>
      </c>
      <c r="AG144" s="32" t="s">
        <v>1502</v>
      </c>
      <c r="AH144" s="32"/>
      <c r="AI144" s="32" t="s">
        <v>1493</v>
      </c>
      <c r="AJ144" s="32"/>
      <c r="AK144" s="28"/>
      <c r="AL144" s="18" t="str">
        <f t="shared" si="2"/>
        <v>How often do you identify opportunities to simplify your portfolio of vegetable oils to enhance procurement efficiency?_</v>
      </c>
    </row>
    <row r="145" spans="1:38" ht="43.5" x14ac:dyDescent="0.35">
      <c r="A145" s="32">
        <v>4</v>
      </c>
      <c r="B145" s="32" t="s">
        <v>1451</v>
      </c>
      <c r="C145" s="32" t="s">
        <v>1452</v>
      </c>
      <c r="D145" s="32" t="s">
        <v>1224</v>
      </c>
      <c r="E145" s="32" t="s">
        <v>1453</v>
      </c>
      <c r="F145" s="32"/>
      <c r="G145" s="32" t="s">
        <v>1291</v>
      </c>
      <c r="H145" s="32" t="s">
        <v>1379</v>
      </c>
      <c r="I145" s="32"/>
      <c r="J145" s="32" t="s">
        <v>1290</v>
      </c>
      <c r="K145" s="32" t="s">
        <v>1375</v>
      </c>
      <c r="L145" s="32" t="s">
        <v>1376</v>
      </c>
      <c r="M145" s="32" t="s">
        <v>1377</v>
      </c>
      <c r="N145" s="32" t="s">
        <v>1378</v>
      </c>
      <c r="O145" s="32">
        <v>2</v>
      </c>
      <c r="P145" s="32">
        <v>0.04</v>
      </c>
      <c r="Q145" s="32">
        <v>0.1</v>
      </c>
      <c r="R145" s="32">
        <v>0.8</v>
      </c>
      <c r="S145" s="32">
        <v>6.7857142857142866E-2</v>
      </c>
      <c r="T145" s="32">
        <v>8.2857142857142865E-2</v>
      </c>
      <c r="U145" s="32">
        <v>2714285.714285715</v>
      </c>
      <c r="V145" s="32">
        <v>3314285.714285715</v>
      </c>
      <c r="W145" s="32"/>
      <c r="X145" s="32"/>
      <c r="Y145" s="32"/>
      <c r="Z145" s="32"/>
      <c r="AA145" s="32">
        <v>0.02</v>
      </c>
      <c r="AB145" s="32">
        <v>0.03</v>
      </c>
      <c r="AC145" s="32">
        <v>2.5000000000000001E-2</v>
      </c>
      <c r="AD145" s="32">
        <v>0.13698630136986301</v>
      </c>
      <c r="AE145" s="32">
        <v>371819.96086105681</v>
      </c>
      <c r="AF145" s="32">
        <v>454011.74168297462</v>
      </c>
      <c r="AG145" s="32" t="s">
        <v>1503</v>
      </c>
      <c r="AH145" s="32"/>
      <c r="AI145" s="32" t="s">
        <v>1493</v>
      </c>
      <c r="AJ145" s="32"/>
      <c r="AK145" s="28"/>
      <c r="AL145" s="18" t="str">
        <f t="shared" si="2"/>
        <v>How often do you identify opportunities to simplify your portfolio of vegetable oils to enhance procurement efficiency?_</v>
      </c>
    </row>
    <row r="146" spans="1:38" ht="43.5" x14ac:dyDescent="0.35">
      <c r="A146" s="32">
        <v>4</v>
      </c>
      <c r="B146" s="32" t="s">
        <v>1451</v>
      </c>
      <c r="C146" s="32" t="s">
        <v>1452</v>
      </c>
      <c r="D146" s="32" t="s">
        <v>1224</v>
      </c>
      <c r="E146" s="32" t="s">
        <v>1453</v>
      </c>
      <c r="F146" s="32"/>
      <c r="G146" s="32" t="s">
        <v>1291</v>
      </c>
      <c r="H146" s="32" t="s">
        <v>1379</v>
      </c>
      <c r="I146" s="32"/>
      <c r="J146" s="32" t="s">
        <v>1290</v>
      </c>
      <c r="K146" s="32" t="s">
        <v>1375</v>
      </c>
      <c r="L146" s="32" t="s">
        <v>1376</v>
      </c>
      <c r="M146" s="32" t="s">
        <v>1377</v>
      </c>
      <c r="N146" s="32" t="s">
        <v>1378</v>
      </c>
      <c r="O146" s="32">
        <v>2</v>
      </c>
      <c r="P146" s="32">
        <v>0.04</v>
      </c>
      <c r="Q146" s="32">
        <v>0.1</v>
      </c>
      <c r="R146" s="32">
        <v>0.8</v>
      </c>
      <c r="S146" s="32">
        <v>6.7857142857142866E-2</v>
      </c>
      <c r="T146" s="32">
        <v>8.2857142857142865E-2</v>
      </c>
      <c r="U146" s="32">
        <v>2714285.714285715</v>
      </c>
      <c r="V146" s="32">
        <v>3314285.714285715</v>
      </c>
      <c r="W146" s="32"/>
      <c r="X146" s="32"/>
      <c r="Y146" s="32"/>
      <c r="Z146" s="32"/>
      <c r="AA146" s="32">
        <v>0.02</v>
      </c>
      <c r="AB146" s="32">
        <v>0.03</v>
      </c>
      <c r="AC146" s="32">
        <v>2.5000000000000001E-2</v>
      </c>
      <c r="AD146" s="32">
        <v>0.13698630136986301</v>
      </c>
      <c r="AE146" s="32">
        <v>371819.96086105681</v>
      </c>
      <c r="AF146" s="32">
        <v>454011.74168297462</v>
      </c>
      <c r="AG146" s="32" t="s">
        <v>1504</v>
      </c>
      <c r="AH146" s="32"/>
      <c r="AI146" s="32" t="s">
        <v>1493</v>
      </c>
      <c r="AJ146" s="32"/>
      <c r="AK146" s="28"/>
      <c r="AL146" s="18" t="str">
        <f t="shared" si="2"/>
        <v>How often do you identify opportunities to simplify your portfolio of vegetable oils to enhance procurement efficiency?_</v>
      </c>
    </row>
    <row r="147" spans="1:38" ht="43.5" x14ac:dyDescent="0.35">
      <c r="A147" s="32">
        <v>4</v>
      </c>
      <c r="B147" s="32" t="s">
        <v>1451</v>
      </c>
      <c r="C147" s="32" t="s">
        <v>1452</v>
      </c>
      <c r="D147" s="32" t="s">
        <v>1224</v>
      </c>
      <c r="E147" s="32" t="s">
        <v>1453</v>
      </c>
      <c r="F147" s="32"/>
      <c r="G147" s="32" t="s">
        <v>1291</v>
      </c>
      <c r="H147" s="32" t="s">
        <v>1379</v>
      </c>
      <c r="I147" s="32"/>
      <c r="J147" s="32" t="s">
        <v>1290</v>
      </c>
      <c r="K147" s="32" t="s">
        <v>1375</v>
      </c>
      <c r="L147" s="32" t="s">
        <v>1376</v>
      </c>
      <c r="M147" s="32" t="s">
        <v>1377</v>
      </c>
      <c r="N147" s="32" t="s">
        <v>1378</v>
      </c>
      <c r="O147" s="32">
        <v>2</v>
      </c>
      <c r="P147" s="32">
        <v>0.04</v>
      </c>
      <c r="Q147" s="32">
        <v>0.1</v>
      </c>
      <c r="R147" s="32">
        <v>0.8</v>
      </c>
      <c r="S147" s="32">
        <v>6.7857142857142866E-2</v>
      </c>
      <c r="T147" s="32">
        <v>8.2857142857142865E-2</v>
      </c>
      <c r="U147" s="32">
        <v>2714285.714285715</v>
      </c>
      <c r="V147" s="32">
        <v>3314285.714285715</v>
      </c>
      <c r="W147" s="32"/>
      <c r="X147" s="32"/>
      <c r="Y147" s="32"/>
      <c r="Z147" s="32"/>
      <c r="AA147" s="32">
        <v>0.02</v>
      </c>
      <c r="AB147" s="32">
        <v>0.03</v>
      </c>
      <c r="AC147" s="32">
        <v>2.5000000000000001E-2</v>
      </c>
      <c r="AD147" s="32">
        <v>0.13698630136986301</v>
      </c>
      <c r="AE147" s="32">
        <v>371819.96086105681</v>
      </c>
      <c r="AF147" s="32">
        <v>454011.74168297462</v>
      </c>
      <c r="AG147" s="32" t="s">
        <v>1505</v>
      </c>
      <c r="AH147" s="32"/>
      <c r="AI147" s="32" t="s">
        <v>1493</v>
      </c>
      <c r="AJ147" s="32"/>
      <c r="AK147" s="28"/>
      <c r="AL147" s="18" t="str">
        <f t="shared" si="2"/>
        <v>How often do you identify opportunities to simplify your portfolio of vegetable oils to enhance procurement efficiency?_</v>
      </c>
    </row>
    <row r="148" spans="1:38" ht="43.5" x14ac:dyDescent="0.35">
      <c r="A148" s="32">
        <v>4</v>
      </c>
      <c r="B148" s="32" t="s">
        <v>1451</v>
      </c>
      <c r="C148" s="32" t="s">
        <v>1452</v>
      </c>
      <c r="D148" s="32" t="s">
        <v>1224</v>
      </c>
      <c r="E148" s="32" t="s">
        <v>1453</v>
      </c>
      <c r="F148" s="32"/>
      <c r="G148" s="32" t="s">
        <v>1291</v>
      </c>
      <c r="H148" s="32" t="s">
        <v>1379</v>
      </c>
      <c r="I148" s="32"/>
      <c r="J148" s="32" t="s">
        <v>1290</v>
      </c>
      <c r="K148" s="32" t="s">
        <v>1375</v>
      </c>
      <c r="L148" s="32" t="s">
        <v>1376</v>
      </c>
      <c r="M148" s="32" t="s">
        <v>1377</v>
      </c>
      <c r="N148" s="32" t="s">
        <v>1378</v>
      </c>
      <c r="O148" s="32">
        <v>2</v>
      </c>
      <c r="P148" s="32">
        <v>0.04</v>
      </c>
      <c r="Q148" s="32">
        <v>0.1</v>
      </c>
      <c r="R148" s="32">
        <v>0.8</v>
      </c>
      <c r="S148" s="32">
        <v>6.7857142857142866E-2</v>
      </c>
      <c r="T148" s="32">
        <v>8.2857142857142865E-2</v>
      </c>
      <c r="U148" s="32">
        <v>2714285.714285715</v>
      </c>
      <c r="V148" s="32">
        <v>3314285.714285715</v>
      </c>
      <c r="W148" s="32"/>
      <c r="X148" s="32"/>
      <c r="Y148" s="32"/>
      <c r="Z148" s="32"/>
      <c r="AA148" s="32">
        <v>0.02</v>
      </c>
      <c r="AB148" s="32">
        <v>0.03</v>
      </c>
      <c r="AC148" s="32">
        <v>2.5000000000000001E-2</v>
      </c>
      <c r="AD148" s="32">
        <v>0.13698630136986301</v>
      </c>
      <c r="AE148" s="32">
        <v>371819.96086105681</v>
      </c>
      <c r="AF148" s="32">
        <v>454011.74168297462</v>
      </c>
      <c r="AG148" s="32" t="s">
        <v>1506</v>
      </c>
      <c r="AH148" s="32"/>
      <c r="AI148" s="32" t="s">
        <v>1493</v>
      </c>
      <c r="AJ148" s="32"/>
      <c r="AK148" s="28"/>
      <c r="AL148" s="18" t="str">
        <f t="shared" si="2"/>
        <v>How often do you identify opportunities to simplify your portfolio of vegetable oils to enhance procurement efficiency?_</v>
      </c>
    </row>
    <row r="149" spans="1:38" ht="43.5" x14ac:dyDescent="0.35">
      <c r="A149" s="32">
        <v>4</v>
      </c>
      <c r="B149" s="32" t="s">
        <v>1451</v>
      </c>
      <c r="C149" s="32" t="s">
        <v>1452</v>
      </c>
      <c r="D149" s="32" t="s">
        <v>1224</v>
      </c>
      <c r="E149" s="32" t="s">
        <v>1453</v>
      </c>
      <c r="F149" s="32"/>
      <c r="G149" s="32" t="s">
        <v>1291</v>
      </c>
      <c r="H149" s="32" t="s">
        <v>1379</v>
      </c>
      <c r="I149" s="32"/>
      <c r="J149" s="32" t="s">
        <v>1290</v>
      </c>
      <c r="K149" s="32" t="s">
        <v>1375</v>
      </c>
      <c r="L149" s="32" t="s">
        <v>1376</v>
      </c>
      <c r="M149" s="32" t="s">
        <v>1377</v>
      </c>
      <c r="N149" s="32" t="s">
        <v>1378</v>
      </c>
      <c r="O149" s="32">
        <v>2</v>
      </c>
      <c r="P149" s="32">
        <v>0.04</v>
      </c>
      <c r="Q149" s="32">
        <v>0.1</v>
      </c>
      <c r="R149" s="32">
        <v>0.8</v>
      </c>
      <c r="S149" s="32">
        <v>6.7857142857142866E-2</v>
      </c>
      <c r="T149" s="32">
        <v>8.2857142857142865E-2</v>
      </c>
      <c r="U149" s="32">
        <v>2714285.714285715</v>
      </c>
      <c r="V149" s="32">
        <v>3314285.714285715</v>
      </c>
      <c r="W149" s="32"/>
      <c r="X149" s="32"/>
      <c r="Y149" s="32"/>
      <c r="Z149" s="32"/>
      <c r="AA149" s="32">
        <v>0.02</v>
      </c>
      <c r="AB149" s="32">
        <v>0.03</v>
      </c>
      <c r="AC149" s="32">
        <v>2.5000000000000001E-2</v>
      </c>
      <c r="AD149" s="32">
        <v>0.13698630136986301</v>
      </c>
      <c r="AE149" s="32">
        <v>371819.96086105681</v>
      </c>
      <c r="AF149" s="32">
        <v>454011.74168297462</v>
      </c>
      <c r="AG149" s="32" t="s">
        <v>1507</v>
      </c>
      <c r="AH149" s="32"/>
      <c r="AI149" s="32" t="s">
        <v>1493</v>
      </c>
      <c r="AJ149" s="32"/>
      <c r="AK149" s="28"/>
      <c r="AL149" s="18" t="str">
        <f t="shared" si="2"/>
        <v>How often do you identify opportunities to simplify your portfolio of vegetable oils to enhance procurement efficiency?_</v>
      </c>
    </row>
    <row r="150" spans="1:38" ht="43.5" x14ac:dyDescent="0.35">
      <c r="A150" s="32">
        <v>4</v>
      </c>
      <c r="B150" s="32" t="s">
        <v>1451</v>
      </c>
      <c r="C150" s="32" t="s">
        <v>1452</v>
      </c>
      <c r="D150" s="32" t="s">
        <v>1224</v>
      </c>
      <c r="E150" s="32" t="s">
        <v>1453</v>
      </c>
      <c r="F150" s="32"/>
      <c r="G150" s="32" t="s">
        <v>1291</v>
      </c>
      <c r="H150" s="32" t="s">
        <v>1379</v>
      </c>
      <c r="I150" s="32"/>
      <c r="J150" s="32" t="s">
        <v>1290</v>
      </c>
      <c r="K150" s="32" t="s">
        <v>1375</v>
      </c>
      <c r="L150" s="32" t="s">
        <v>1376</v>
      </c>
      <c r="M150" s="32" t="s">
        <v>1377</v>
      </c>
      <c r="N150" s="32" t="s">
        <v>1378</v>
      </c>
      <c r="O150" s="32">
        <v>2</v>
      </c>
      <c r="P150" s="32">
        <v>0.04</v>
      </c>
      <c r="Q150" s="32">
        <v>0.1</v>
      </c>
      <c r="R150" s="32">
        <v>0.8</v>
      </c>
      <c r="S150" s="32">
        <v>6.7857142857142866E-2</v>
      </c>
      <c r="T150" s="32">
        <v>8.2857142857142865E-2</v>
      </c>
      <c r="U150" s="32">
        <v>2714285.714285715</v>
      </c>
      <c r="V150" s="32">
        <v>3314285.714285715</v>
      </c>
      <c r="W150" s="32"/>
      <c r="X150" s="32"/>
      <c r="Y150" s="32"/>
      <c r="Z150" s="32"/>
      <c r="AA150" s="32">
        <v>0.02</v>
      </c>
      <c r="AB150" s="32">
        <v>0.03</v>
      </c>
      <c r="AC150" s="32">
        <v>2.5000000000000001E-2</v>
      </c>
      <c r="AD150" s="32">
        <v>0.13698630136986301</v>
      </c>
      <c r="AE150" s="32">
        <v>371819.96086105681</v>
      </c>
      <c r="AF150" s="32">
        <v>454011.74168297462</v>
      </c>
      <c r="AG150" s="32" t="s">
        <v>1508</v>
      </c>
      <c r="AH150" s="32"/>
      <c r="AI150" s="32" t="s">
        <v>1493</v>
      </c>
      <c r="AJ150" s="32"/>
      <c r="AK150" s="28"/>
      <c r="AL150" s="18" t="str">
        <f t="shared" si="2"/>
        <v>How often do you identify opportunities to simplify your portfolio of vegetable oils to enhance procurement efficiency?_</v>
      </c>
    </row>
    <row r="151" spans="1:38" ht="43.5" x14ac:dyDescent="0.35">
      <c r="A151" s="32">
        <v>4</v>
      </c>
      <c r="B151" s="32" t="s">
        <v>1451</v>
      </c>
      <c r="C151" s="32" t="s">
        <v>1452</v>
      </c>
      <c r="D151" s="32" t="s">
        <v>1224</v>
      </c>
      <c r="E151" s="32" t="s">
        <v>1453</v>
      </c>
      <c r="F151" s="32"/>
      <c r="G151" s="32" t="s">
        <v>1291</v>
      </c>
      <c r="H151" s="32" t="s">
        <v>1379</v>
      </c>
      <c r="I151" s="32"/>
      <c r="J151" s="32" t="s">
        <v>1290</v>
      </c>
      <c r="K151" s="32" t="s">
        <v>1375</v>
      </c>
      <c r="L151" s="32" t="s">
        <v>1376</v>
      </c>
      <c r="M151" s="32" t="s">
        <v>1377</v>
      </c>
      <c r="N151" s="32" t="s">
        <v>1378</v>
      </c>
      <c r="O151" s="32">
        <v>2</v>
      </c>
      <c r="P151" s="32">
        <v>0.04</v>
      </c>
      <c r="Q151" s="32">
        <v>0.1</v>
      </c>
      <c r="R151" s="32">
        <v>0.8</v>
      </c>
      <c r="S151" s="32">
        <v>6.7857142857142866E-2</v>
      </c>
      <c r="T151" s="32">
        <v>8.2857142857142865E-2</v>
      </c>
      <c r="U151" s="32">
        <v>2714285.714285715</v>
      </c>
      <c r="V151" s="32">
        <v>3314285.714285715</v>
      </c>
      <c r="W151" s="32"/>
      <c r="X151" s="32"/>
      <c r="Y151" s="32"/>
      <c r="Z151" s="32"/>
      <c r="AA151" s="32">
        <v>0.02</v>
      </c>
      <c r="AB151" s="32">
        <v>0.03</v>
      </c>
      <c r="AC151" s="32">
        <v>2.5000000000000001E-2</v>
      </c>
      <c r="AD151" s="32">
        <v>0.13698630136986301</v>
      </c>
      <c r="AE151" s="32">
        <v>371819.96086105681</v>
      </c>
      <c r="AF151" s="32">
        <v>454011.74168297462</v>
      </c>
      <c r="AG151" s="32" t="s">
        <v>1509</v>
      </c>
      <c r="AH151" s="32"/>
      <c r="AI151" s="32" t="s">
        <v>1493</v>
      </c>
      <c r="AJ151" s="32"/>
      <c r="AK151" s="28"/>
      <c r="AL151" s="18" t="str">
        <f t="shared" si="2"/>
        <v>How often do you identify opportunities to simplify your portfolio of vegetable oils to enhance procurement efficiency?_</v>
      </c>
    </row>
    <row r="152" spans="1:38" ht="43.5" x14ac:dyDescent="0.35">
      <c r="A152" s="32">
        <v>4</v>
      </c>
      <c r="B152" s="32" t="s">
        <v>1451</v>
      </c>
      <c r="C152" s="32" t="s">
        <v>1452</v>
      </c>
      <c r="D152" s="32" t="s">
        <v>1224</v>
      </c>
      <c r="E152" s="32" t="s">
        <v>1453</v>
      </c>
      <c r="F152" s="32"/>
      <c r="G152" s="32" t="s">
        <v>1291</v>
      </c>
      <c r="H152" s="32" t="s">
        <v>1379</v>
      </c>
      <c r="I152" s="32"/>
      <c r="J152" s="32" t="s">
        <v>1290</v>
      </c>
      <c r="K152" s="32" t="s">
        <v>1375</v>
      </c>
      <c r="L152" s="32" t="s">
        <v>1376</v>
      </c>
      <c r="M152" s="32" t="s">
        <v>1377</v>
      </c>
      <c r="N152" s="32" t="s">
        <v>1378</v>
      </c>
      <c r="O152" s="32">
        <v>2</v>
      </c>
      <c r="P152" s="32">
        <v>0.04</v>
      </c>
      <c r="Q152" s="32">
        <v>0.1</v>
      </c>
      <c r="R152" s="32">
        <v>0.8</v>
      </c>
      <c r="S152" s="32">
        <v>6.7857142857142866E-2</v>
      </c>
      <c r="T152" s="32">
        <v>8.2857142857142865E-2</v>
      </c>
      <c r="U152" s="32">
        <v>2714285.714285715</v>
      </c>
      <c r="V152" s="32">
        <v>3314285.714285715</v>
      </c>
      <c r="W152" s="32"/>
      <c r="X152" s="32"/>
      <c r="Y152" s="32"/>
      <c r="Z152" s="32"/>
      <c r="AA152" s="32">
        <v>0.02</v>
      </c>
      <c r="AB152" s="32">
        <v>0.03</v>
      </c>
      <c r="AC152" s="32">
        <v>2.5000000000000001E-2</v>
      </c>
      <c r="AD152" s="32">
        <v>0.13698630136986301</v>
      </c>
      <c r="AE152" s="32">
        <v>371819.96086105681</v>
      </c>
      <c r="AF152" s="32">
        <v>454011.74168297462</v>
      </c>
      <c r="AG152" s="32" t="s">
        <v>1510</v>
      </c>
      <c r="AH152" s="32"/>
      <c r="AI152" s="32" t="s">
        <v>1493</v>
      </c>
      <c r="AJ152" s="32"/>
      <c r="AK152" s="28"/>
      <c r="AL152" s="18" t="str">
        <f t="shared" si="2"/>
        <v>How often do you identify opportunities to simplify your portfolio of vegetable oils to enhance procurement efficiency?_</v>
      </c>
    </row>
    <row r="153" spans="1:38" ht="43.5" x14ac:dyDescent="0.35">
      <c r="A153" s="32">
        <v>4</v>
      </c>
      <c r="B153" s="32" t="s">
        <v>1451</v>
      </c>
      <c r="C153" s="32" t="s">
        <v>1452</v>
      </c>
      <c r="D153" s="32" t="s">
        <v>1224</v>
      </c>
      <c r="E153" s="32" t="s">
        <v>1453</v>
      </c>
      <c r="F153" s="32"/>
      <c r="G153" s="32" t="s">
        <v>1291</v>
      </c>
      <c r="H153" s="32" t="s">
        <v>1379</v>
      </c>
      <c r="I153" s="32"/>
      <c r="J153" s="32" t="s">
        <v>1290</v>
      </c>
      <c r="K153" s="32" t="s">
        <v>1375</v>
      </c>
      <c r="L153" s="32" t="s">
        <v>1376</v>
      </c>
      <c r="M153" s="32" t="s">
        <v>1377</v>
      </c>
      <c r="N153" s="32" t="s">
        <v>1378</v>
      </c>
      <c r="O153" s="32">
        <v>2</v>
      </c>
      <c r="P153" s="32">
        <v>0.04</v>
      </c>
      <c r="Q153" s="32">
        <v>0.1</v>
      </c>
      <c r="R153" s="32">
        <v>0.8</v>
      </c>
      <c r="S153" s="32">
        <v>6.7857142857142866E-2</v>
      </c>
      <c r="T153" s="32">
        <v>8.2857142857142865E-2</v>
      </c>
      <c r="U153" s="32">
        <v>2714285.714285715</v>
      </c>
      <c r="V153" s="32">
        <v>3314285.714285715</v>
      </c>
      <c r="W153" s="32"/>
      <c r="X153" s="32"/>
      <c r="Y153" s="32"/>
      <c r="Z153" s="32"/>
      <c r="AA153" s="32">
        <v>0.02</v>
      </c>
      <c r="AB153" s="32">
        <v>0.03</v>
      </c>
      <c r="AC153" s="32">
        <v>2.5000000000000001E-2</v>
      </c>
      <c r="AD153" s="32">
        <v>0.13698630136986301</v>
      </c>
      <c r="AE153" s="32">
        <v>371819.96086105681</v>
      </c>
      <c r="AF153" s="32">
        <v>454011.74168297462</v>
      </c>
      <c r="AG153" s="32" t="s">
        <v>1511</v>
      </c>
      <c r="AH153" s="32"/>
      <c r="AI153" s="32" t="s">
        <v>1493</v>
      </c>
      <c r="AJ153" s="32"/>
      <c r="AK153" s="28"/>
      <c r="AL153" s="18" t="str">
        <f t="shared" si="2"/>
        <v>How often do you identify opportunities to simplify your portfolio of vegetable oils to enhance procurement efficiency?_</v>
      </c>
    </row>
    <row r="154" spans="1:38" ht="43.5" x14ac:dyDescent="0.35">
      <c r="A154" s="32">
        <v>4</v>
      </c>
      <c r="B154" s="32" t="s">
        <v>1451</v>
      </c>
      <c r="C154" s="32" t="s">
        <v>1452</v>
      </c>
      <c r="D154" s="32" t="s">
        <v>1224</v>
      </c>
      <c r="E154" s="32" t="s">
        <v>1453</v>
      </c>
      <c r="F154" s="32"/>
      <c r="G154" s="32" t="s">
        <v>1291</v>
      </c>
      <c r="H154" s="32" t="s">
        <v>1379</v>
      </c>
      <c r="I154" s="32"/>
      <c r="J154" s="32" t="s">
        <v>1290</v>
      </c>
      <c r="K154" s="32" t="s">
        <v>1375</v>
      </c>
      <c r="L154" s="32" t="s">
        <v>1376</v>
      </c>
      <c r="M154" s="32" t="s">
        <v>1377</v>
      </c>
      <c r="N154" s="32" t="s">
        <v>1378</v>
      </c>
      <c r="O154" s="32">
        <v>2</v>
      </c>
      <c r="P154" s="32">
        <v>0.04</v>
      </c>
      <c r="Q154" s="32">
        <v>0.1</v>
      </c>
      <c r="R154" s="32">
        <v>0.8</v>
      </c>
      <c r="S154" s="32">
        <v>6.7857142857142866E-2</v>
      </c>
      <c r="T154" s="32">
        <v>8.2857142857142865E-2</v>
      </c>
      <c r="U154" s="32">
        <v>2714285.714285715</v>
      </c>
      <c r="V154" s="32">
        <v>3314285.714285715</v>
      </c>
      <c r="W154" s="32"/>
      <c r="X154" s="32"/>
      <c r="Y154" s="32"/>
      <c r="Z154" s="32"/>
      <c r="AA154" s="32">
        <v>0.02</v>
      </c>
      <c r="AB154" s="32">
        <v>0.03</v>
      </c>
      <c r="AC154" s="32">
        <v>2.5000000000000001E-2</v>
      </c>
      <c r="AD154" s="32">
        <v>0.13698630136986301</v>
      </c>
      <c r="AE154" s="32">
        <v>371819.96086105681</v>
      </c>
      <c r="AF154" s="32">
        <v>454011.74168297462</v>
      </c>
      <c r="AG154" s="32" t="s">
        <v>1512</v>
      </c>
      <c r="AH154" s="32"/>
      <c r="AI154" s="32" t="s">
        <v>1493</v>
      </c>
      <c r="AJ154" s="32"/>
      <c r="AK154" s="28"/>
      <c r="AL154" s="18" t="str">
        <f t="shared" si="2"/>
        <v>How often do you identify opportunities to simplify your portfolio of vegetable oils to enhance procurement efficiency?_</v>
      </c>
    </row>
    <row r="155" spans="1:38" ht="43.5" x14ac:dyDescent="0.35">
      <c r="A155" s="32">
        <v>4</v>
      </c>
      <c r="B155" s="32" t="s">
        <v>1451</v>
      </c>
      <c r="C155" s="32" t="s">
        <v>1452</v>
      </c>
      <c r="D155" s="32" t="s">
        <v>1224</v>
      </c>
      <c r="E155" s="32" t="s">
        <v>1453</v>
      </c>
      <c r="F155" s="32"/>
      <c r="G155" s="32" t="s">
        <v>1291</v>
      </c>
      <c r="H155" s="32" t="s">
        <v>1379</v>
      </c>
      <c r="I155" s="32"/>
      <c r="J155" s="32" t="s">
        <v>1290</v>
      </c>
      <c r="K155" s="32" t="s">
        <v>1375</v>
      </c>
      <c r="L155" s="32" t="s">
        <v>1376</v>
      </c>
      <c r="M155" s="32" t="s">
        <v>1377</v>
      </c>
      <c r="N155" s="32" t="s">
        <v>1378</v>
      </c>
      <c r="O155" s="32">
        <v>2</v>
      </c>
      <c r="P155" s="32">
        <v>0.04</v>
      </c>
      <c r="Q155" s="32">
        <v>0.1</v>
      </c>
      <c r="R155" s="32">
        <v>0.8</v>
      </c>
      <c r="S155" s="32">
        <v>6.7857142857142866E-2</v>
      </c>
      <c r="T155" s="32">
        <v>8.2857142857142865E-2</v>
      </c>
      <c r="U155" s="32">
        <v>2714285.714285715</v>
      </c>
      <c r="V155" s="32">
        <v>3314285.714285715</v>
      </c>
      <c r="W155" s="32"/>
      <c r="X155" s="32"/>
      <c r="Y155" s="32"/>
      <c r="Z155" s="32"/>
      <c r="AA155" s="32">
        <v>0.02</v>
      </c>
      <c r="AB155" s="32">
        <v>0.03</v>
      </c>
      <c r="AC155" s="32">
        <v>2.5000000000000001E-2</v>
      </c>
      <c r="AD155" s="32">
        <v>0.13698630136986301</v>
      </c>
      <c r="AE155" s="32">
        <v>371819.96086105681</v>
      </c>
      <c r="AF155" s="32">
        <v>454011.74168297462</v>
      </c>
      <c r="AG155" s="32" t="s">
        <v>1513</v>
      </c>
      <c r="AH155" s="32"/>
      <c r="AI155" s="32" t="s">
        <v>1493</v>
      </c>
      <c r="AJ155" s="32"/>
      <c r="AK155" s="28"/>
      <c r="AL155" s="18" t="str">
        <f t="shared" si="2"/>
        <v>How often do you identify opportunities to simplify your portfolio of vegetable oils to enhance procurement efficiency?_</v>
      </c>
    </row>
    <row r="156" spans="1:38" ht="43.5" x14ac:dyDescent="0.35">
      <c r="A156" s="32">
        <v>4</v>
      </c>
      <c r="B156" s="32" t="s">
        <v>1451</v>
      </c>
      <c r="C156" s="32" t="s">
        <v>1452</v>
      </c>
      <c r="D156" s="32" t="s">
        <v>1224</v>
      </c>
      <c r="E156" s="32" t="s">
        <v>1453</v>
      </c>
      <c r="F156" s="32"/>
      <c r="G156" s="32" t="s">
        <v>1291</v>
      </c>
      <c r="H156" s="32" t="s">
        <v>1379</v>
      </c>
      <c r="I156" s="32"/>
      <c r="J156" s="32" t="s">
        <v>1290</v>
      </c>
      <c r="K156" s="32" t="s">
        <v>1375</v>
      </c>
      <c r="L156" s="32" t="s">
        <v>1376</v>
      </c>
      <c r="M156" s="32" t="s">
        <v>1377</v>
      </c>
      <c r="N156" s="32" t="s">
        <v>1378</v>
      </c>
      <c r="O156" s="32">
        <v>2</v>
      </c>
      <c r="P156" s="32">
        <v>0.04</v>
      </c>
      <c r="Q156" s="32">
        <v>0.1</v>
      </c>
      <c r="R156" s="32">
        <v>0.8</v>
      </c>
      <c r="S156" s="32">
        <v>6.7857142857142866E-2</v>
      </c>
      <c r="T156" s="32">
        <v>8.2857142857142865E-2</v>
      </c>
      <c r="U156" s="32">
        <v>2714285.714285715</v>
      </c>
      <c r="V156" s="32">
        <v>3314285.714285715</v>
      </c>
      <c r="W156" s="32"/>
      <c r="X156" s="32"/>
      <c r="Y156" s="32"/>
      <c r="Z156" s="32"/>
      <c r="AA156" s="32">
        <v>0.02</v>
      </c>
      <c r="AB156" s="32">
        <v>0.03</v>
      </c>
      <c r="AC156" s="32">
        <v>2.5000000000000001E-2</v>
      </c>
      <c r="AD156" s="32">
        <v>0.13698630136986301</v>
      </c>
      <c r="AE156" s="32">
        <v>371819.96086105681</v>
      </c>
      <c r="AF156" s="32">
        <v>454011.74168297462</v>
      </c>
      <c r="AG156" s="32" t="s">
        <v>1514</v>
      </c>
      <c r="AH156" s="32"/>
      <c r="AI156" s="32" t="s">
        <v>1493</v>
      </c>
      <c r="AJ156" s="32"/>
      <c r="AK156" s="28"/>
      <c r="AL156" s="18" t="str">
        <f t="shared" si="2"/>
        <v>How often do you identify opportunities to simplify your portfolio of vegetable oils to enhance procurement efficiency?_</v>
      </c>
    </row>
    <row r="157" spans="1:38" ht="43.5" x14ac:dyDescent="0.35">
      <c r="A157" s="32">
        <v>4</v>
      </c>
      <c r="B157" s="32" t="s">
        <v>1451</v>
      </c>
      <c r="C157" s="32" t="s">
        <v>1452</v>
      </c>
      <c r="D157" s="32" t="s">
        <v>1224</v>
      </c>
      <c r="E157" s="32" t="s">
        <v>1453</v>
      </c>
      <c r="F157" s="32"/>
      <c r="G157" s="32" t="s">
        <v>1291</v>
      </c>
      <c r="H157" s="32" t="s">
        <v>1379</v>
      </c>
      <c r="I157" s="32"/>
      <c r="J157" s="32" t="s">
        <v>1290</v>
      </c>
      <c r="K157" s="32" t="s">
        <v>1375</v>
      </c>
      <c r="L157" s="32" t="s">
        <v>1376</v>
      </c>
      <c r="M157" s="32" t="s">
        <v>1377</v>
      </c>
      <c r="N157" s="32" t="s">
        <v>1378</v>
      </c>
      <c r="O157" s="32">
        <v>2</v>
      </c>
      <c r="P157" s="32">
        <v>0.04</v>
      </c>
      <c r="Q157" s="32">
        <v>0.1</v>
      </c>
      <c r="R157" s="32">
        <v>0.8</v>
      </c>
      <c r="S157" s="32">
        <v>6.7857142857142866E-2</v>
      </c>
      <c r="T157" s="32">
        <v>8.2857142857142865E-2</v>
      </c>
      <c r="U157" s="32">
        <v>2714285.714285715</v>
      </c>
      <c r="V157" s="32">
        <v>3314285.714285715</v>
      </c>
      <c r="W157" s="32"/>
      <c r="X157" s="32"/>
      <c r="Y157" s="32"/>
      <c r="Z157" s="32"/>
      <c r="AA157" s="32">
        <v>0.02</v>
      </c>
      <c r="AB157" s="32">
        <v>0.03</v>
      </c>
      <c r="AC157" s="32">
        <v>2.5000000000000001E-2</v>
      </c>
      <c r="AD157" s="32">
        <v>0.13698630136986301</v>
      </c>
      <c r="AE157" s="32">
        <v>371819.96086105681</v>
      </c>
      <c r="AF157" s="32">
        <v>454011.74168297462</v>
      </c>
      <c r="AG157" s="32" t="s">
        <v>1515</v>
      </c>
      <c r="AH157" s="32"/>
      <c r="AI157" s="32" t="s">
        <v>1493</v>
      </c>
      <c r="AJ157" s="32"/>
      <c r="AK157" s="28"/>
      <c r="AL157" s="18" t="str">
        <f t="shared" si="2"/>
        <v>How often do you identify opportunities to simplify your portfolio of vegetable oils to enhance procurement efficiency?_</v>
      </c>
    </row>
    <row r="158" spans="1:38" ht="43.5" x14ac:dyDescent="0.35">
      <c r="A158" s="32">
        <v>4</v>
      </c>
      <c r="B158" s="32" t="s">
        <v>1451</v>
      </c>
      <c r="C158" s="32" t="s">
        <v>1452</v>
      </c>
      <c r="D158" s="32" t="s">
        <v>1224</v>
      </c>
      <c r="E158" s="32" t="s">
        <v>1453</v>
      </c>
      <c r="F158" s="32"/>
      <c r="G158" s="32" t="s">
        <v>1291</v>
      </c>
      <c r="H158" s="32" t="s">
        <v>1379</v>
      </c>
      <c r="I158" s="32"/>
      <c r="J158" s="32" t="s">
        <v>1290</v>
      </c>
      <c r="K158" s="32" t="s">
        <v>1375</v>
      </c>
      <c r="L158" s="32" t="s">
        <v>1376</v>
      </c>
      <c r="M158" s="32" t="s">
        <v>1377</v>
      </c>
      <c r="N158" s="32" t="s">
        <v>1378</v>
      </c>
      <c r="O158" s="32">
        <v>2</v>
      </c>
      <c r="P158" s="32">
        <v>0.04</v>
      </c>
      <c r="Q158" s="32">
        <v>0.1</v>
      </c>
      <c r="R158" s="32">
        <v>0.8</v>
      </c>
      <c r="S158" s="32">
        <v>6.7857142857142866E-2</v>
      </c>
      <c r="T158" s="32">
        <v>8.2857142857142865E-2</v>
      </c>
      <c r="U158" s="32">
        <v>2714285.714285715</v>
      </c>
      <c r="V158" s="32">
        <v>3314285.714285715</v>
      </c>
      <c r="W158" s="32"/>
      <c r="X158" s="32"/>
      <c r="Y158" s="32"/>
      <c r="Z158" s="32"/>
      <c r="AA158" s="32">
        <v>0.02</v>
      </c>
      <c r="AB158" s="32">
        <v>0.03</v>
      </c>
      <c r="AC158" s="32">
        <v>2.5000000000000001E-2</v>
      </c>
      <c r="AD158" s="32">
        <v>0.13698630136986301</v>
      </c>
      <c r="AE158" s="32">
        <v>371819.96086105681</v>
      </c>
      <c r="AF158" s="32">
        <v>454011.74168297462</v>
      </c>
      <c r="AG158" s="32" t="s">
        <v>1516</v>
      </c>
      <c r="AH158" s="32"/>
      <c r="AI158" s="32" t="s">
        <v>1493</v>
      </c>
      <c r="AJ158" s="32"/>
      <c r="AK158" s="28"/>
      <c r="AL158" s="18" t="str">
        <f t="shared" si="2"/>
        <v>How often do you identify opportunities to simplify your portfolio of vegetable oils to enhance procurement efficiency?_</v>
      </c>
    </row>
    <row r="159" spans="1:38" ht="43.5" x14ac:dyDescent="0.35">
      <c r="A159" s="32">
        <v>4</v>
      </c>
      <c r="B159" s="32" t="s">
        <v>1451</v>
      </c>
      <c r="C159" s="32" t="s">
        <v>1452</v>
      </c>
      <c r="D159" s="32" t="s">
        <v>1224</v>
      </c>
      <c r="E159" s="32" t="s">
        <v>1453</v>
      </c>
      <c r="F159" s="32"/>
      <c r="G159" s="32" t="s">
        <v>1291</v>
      </c>
      <c r="H159" s="32" t="s">
        <v>1379</v>
      </c>
      <c r="I159" s="32"/>
      <c r="J159" s="32" t="s">
        <v>1290</v>
      </c>
      <c r="K159" s="32" t="s">
        <v>1375</v>
      </c>
      <c r="L159" s="32" t="s">
        <v>1376</v>
      </c>
      <c r="M159" s="32" t="s">
        <v>1377</v>
      </c>
      <c r="N159" s="32" t="s">
        <v>1378</v>
      </c>
      <c r="O159" s="32">
        <v>2</v>
      </c>
      <c r="P159" s="32">
        <v>0.04</v>
      </c>
      <c r="Q159" s="32">
        <v>0.1</v>
      </c>
      <c r="R159" s="32">
        <v>0.8</v>
      </c>
      <c r="S159" s="32">
        <v>6.7857142857142866E-2</v>
      </c>
      <c r="T159" s="32">
        <v>8.2857142857142865E-2</v>
      </c>
      <c r="U159" s="32">
        <v>2714285.714285715</v>
      </c>
      <c r="V159" s="32">
        <v>3314285.714285715</v>
      </c>
      <c r="W159" s="32"/>
      <c r="X159" s="32"/>
      <c r="Y159" s="32"/>
      <c r="Z159" s="32"/>
      <c r="AA159" s="32">
        <v>0.02</v>
      </c>
      <c r="AB159" s="32">
        <v>0.03</v>
      </c>
      <c r="AC159" s="32">
        <v>2.5000000000000001E-2</v>
      </c>
      <c r="AD159" s="32">
        <v>0.13698630136986301</v>
      </c>
      <c r="AE159" s="32">
        <v>371819.96086105681</v>
      </c>
      <c r="AF159" s="32">
        <v>454011.74168297462</v>
      </c>
      <c r="AG159" s="32" t="s">
        <v>1517</v>
      </c>
      <c r="AH159" s="32"/>
      <c r="AI159" s="32" t="s">
        <v>1493</v>
      </c>
      <c r="AJ159" s="32"/>
      <c r="AK159" s="28"/>
      <c r="AL159" s="18" t="str">
        <f t="shared" si="2"/>
        <v>How often do you identify opportunities to simplify your portfolio of vegetable oils to enhance procurement efficiency?_</v>
      </c>
    </row>
    <row r="160" spans="1:38" ht="43.5" x14ac:dyDescent="0.35">
      <c r="A160" s="32">
        <v>4</v>
      </c>
      <c r="B160" s="32" t="s">
        <v>1451</v>
      </c>
      <c r="C160" s="32" t="s">
        <v>1452</v>
      </c>
      <c r="D160" s="32" t="s">
        <v>1224</v>
      </c>
      <c r="E160" s="32" t="s">
        <v>1453</v>
      </c>
      <c r="F160" s="32"/>
      <c r="G160" s="32" t="s">
        <v>1291</v>
      </c>
      <c r="H160" s="32" t="s">
        <v>1379</v>
      </c>
      <c r="I160" s="32"/>
      <c r="J160" s="32" t="s">
        <v>1290</v>
      </c>
      <c r="K160" s="32" t="s">
        <v>1375</v>
      </c>
      <c r="L160" s="32" t="s">
        <v>1376</v>
      </c>
      <c r="M160" s="32" t="s">
        <v>1377</v>
      </c>
      <c r="N160" s="32" t="s">
        <v>1378</v>
      </c>
      <c r="O160" s="32">
        <v>2</v>
      </c>
      <c r="P160" s="32">
        <v>0.04</v>
      </c>
      <c r="Q160" s="32">
        <v>0.1</v>
      </c>
      <c r="R160" s="32">
        <v>0.8</v>
      </c>
      <c r="S160" s="32">
        <v>6.7857142857142866E-2</v>
      </c>
      <c r="T160" s="32">
        <v>8.2857142857142865E-2</v>
      </c>
      <c r="U160" s="32">
        <v>2714285.714285715</v>
      </c>
      <c r="V160" s="32">
        <v>3314285.714285715</v>
      </c>
      <c r="W160" s="32"/>
      <c r="X160" s="32"/>
      <c r="Y160" s="32"/>
      <c r="Z160" s="32"/>
      <c r="AA160" s="32">
        <v>0.02</v>
      </c>
      <c r="AB160" s="32">
        <v>0.03</v>
      </c>
      <c r="AC160" s="32">
        <v>2.5000000000000001E-2</v>
      </c>
      <c r="AD160" s="32">
        <v>0.13698630136986301</v>
      </c>
      <c r="AE160" s="32">
        <v>371819.96086105681</v>
      </c>
      <c r="AF160" s="32">
        <v>454011.74168297462</v>
      </c>
      <c r="AG160" s="32" t="s">
        <v>1524</v>
      </c>
      <c r="AH160" s="32"/>
      <c r="AI160" s="32" t="s">
        <v>1493</v>
      </c>
      <c r="AJ160" s="32"/>
      <c r="AK160" s="28"/>
      <c r="AL160" s="18" t="str">
        <f t="shared" si="2"/>
        <v>How often do you identify opportunities to simplify your portfolio of vegetable oils to enhance procurement efficiency?_</v>
      </c>
    </row>
    <row r="161" spans="1:38" ht="43.5" x14ac:dyDescent="0.35">
      <c r="A161" s="32">
        <v>4</v>
      </c>
      <c r="B161" s="32" t="s">
        <v>1451</v>
      </c>
      <c r="C161" s="32" t="s">
        <v>1452</v>
      </c>
      <c r="D161" s="32" t="s">
        <v>1224</v>
      </c>
      <c r="E161" s="32" t="s">
        <v>1453</v>
      </c>
      <c r="F161" s="32"/>
      <c r="G161" s="32" t="s">
        <v>1291</v>
      </c>
      <c r="H161" s="32" t="s">
        <v>1379</v>
      </c>
      <c r="I161" s="32"/>
      <c r="J161" s="32" t="s">
        <v>1290</v>
      </c>
      <c r="K161" s="32" t="s">
        <v>1375</v>
      </c>
      <c r="L161" s="32" t="s">
        <v>1376</v>
      </c>
      <c r="M161" s="32" t="s">
        <v>1377</v>
      </c>
      <c r="N161" s="32" t="s">
        <v>1378</v>
      </c>
      <c r="O161" s="32">
        <v>2</v>
      </c>
      <c r="P161" s="32">
        <v>0.04</v>
      </c>
      <c r="Q161" s="32">
        <v>0.1</v>
      </c>
      <c r="R161" s="32">
        <v>0.8</v>
      </c>
      <c r="S161" s="32">
        <v>6.7857142857142866E-2</v>
      </c>
      <c r="T161" s="32">
        <v>8.2857142857142865E-2</v>
      </c>
      <c r="U161" s="32">
        <v>2714285.714285715</v>
      </c>
      <c r="V161" s="32">
        <v>3314285.714285715</v>
      </c>
      <c r="W161" s="32"/>
      <c r="X161" s="32"/>
      <c r="Y161" s="32"/>
      <c r="Z161" s="32"/>
      <c r="AA161" s="32">
        <v>0.02</v>
      </c>
      <c r="AB161" s="32">
        <v>0.03</v>
      </c>
      <c r="AC161" s="32">
        <v>2.5000000000000001E-2</v>
      </c>
      <c r="AD161" s="32">
        <v>0.13698630136986301</v>
      </c>
      <c r="AE161" s="32">
        <v>371819.96086105681</v>
      </c>
      <c r="AF161" s="32">
        <v>454011.74168297462</v>
      </c>
      <c r="AG161" s="32" t="s">
        <v>1528</v>
      </c>
      <c r="AH161" s="32"/>
      <c r="AI161" s="32" t="s">
        <v>1493</v>
      </c>
      <c r="AJ161" s="32"/>
      <c r="AK161" s="28"/>
      <c r="AL161" s="18" t="str">
        <f t="shared" si="2"/>
        <v>How often do you identify opportunities to simplify your portfolio of vegetable oils to enhance procurement efficiency?_</v>
      </c>
    </row>
    <row r="162" spans="1:38" ht="43.5" x14ac:dyDescent="0.35">
      <c r="A162" s="32">
        <v>4</v>
      </c>
      <c r="B162" s="32" t="s">
        <v>1451</v>
      </c>
      <c r="C162" s="32" t="s">
        <v>1452</v>
      </c>
      <c r="D162" s="32" t="s">
        <v>1224</v>
      </c>
      <c r="E162" s="32" t="s">
        <v>1453</v>
      </c>
      <c r="F162" s="32"/>
      <c r="G162" s="32" t="s">
        <v>1291</v>
      </c>
      <c r="H162" s="32" t="s">
        <v>1379</v>
      </c>
      <c r="I162" s="32"/>
      <c r="J162" s="32" t="s">
        <v>1290</v>
      </c>
      <c r="K162" s="32" t="s">
        <v>1375</v>
      </c>
      <c r="L162" s="32" t="s">
        <v>1376</v>
      </c>
      <c r="M162" s="32" t="s">
        <v>1377</v>
      </c>
      <c r="N162" s="32" t="s">
        <v>1378</v>
      </c>
      <c r="O162" s="32">
        <v>2</v>
      </c>
      <c r="P162" s="32">
        <v>0.04</v>
      </c>
      <c r="Q162" s="32">
        <v>0.1</v>
      </c>
      <c r="R162" s="32">
        <v>0.8</v>
      </c>
      <c r="S162" s="32">
        <v>6.7857142857142866E-2</v>
      </c>
      <c r="T162" s="32">
        <v>8.2857142857142865E-2</v>
      </c>
      <c r="U162" s="32">
        <v>2714285.714285715</v>
      </c>
      <c r="V162" s="32">
        <v>3314285.714285715</v>
      </c>
      <c r="W162" s="32"/>
      <c r="X162" s="32"/>
      <c r="Y162" s="32"/>
      <c r="Z162" s="32"/>
      <c r="AA162" s="32">
        <v>0.02</v>
      </c>
      <c r="AB162" s="32">
        <v>0.03</v>
      </c>
      <c r="AC162" s="32">
        <v>2.5000000000000001E-2</v>
      </c>
      <c r="AD162" s="32">
        <v>0.13698630136986301</v>
      </c>
      <c r="AE162" s="32">
        <v>371819.96086105681</v>
      </c>
      <c r="AF162" s="32">
        <v>454011.74168297462</v>
      </c>
      <c r="AG162" s="32" t="s">
        <v>1529</v>
      </c>
      <c r="AH162" s="32"/>
      <c r="AI162" s="32" t="s">
        <v>1493</v>
      </c>
      <c r="AJ162" s="32"/>
      <c r="AK162" s="28"/>
      <c r="AL162" s="18" t="str">
        <f t="shared" si="2"/>
        <v>How often do you identify opportunities to simplify your portfolio of vegetable oils to enhance procurement efficiency?_</v>
      </c>
    </row>
    <row r="163" spans="1:38" ht="43.5" x14ac:dyDescent="0.35">
      <c r="A163" s="32">
        <v>4</v>
      </c>
      <c r="B163" s="32" t="s">
        <v>1451</v>
      </c>
      <c r="C163" s="32" t="s">
        <v>1452</v>
      </c>
      <c r="D163" s="32" t="s">
        <v>1224</v>
      </c>
      <c r="E163" s="32" t="s">
        <v>1453</v>
      </c>
      <c r="F163" s="32"/>
      <c r="G163" s="32" t="s">
        <v>1291</v>
      </c>
      <c r="H163" s="32" t="s">
        <v>1379</v>
      </c>
      <c r="I163" s="32"/>
      <c r="J163" s="32" t="s">
        <v>1290</v>
      </c>
      <c r="K163" s="32" t="s">
        <v>1375</v>
      </c>
      <c r="L163" s="32" t="s">
        <v>1376</v>
      </c>
      <c r="M163" s="32" t="s">
        <v>1377</v>
      </c>
      <c r="N163" s="32" t="s">
        <v>1378</v>
      </c>
      <c r="O163" s="32">
        <v>2</v>
      </c>
      <c r="P163" s="32">
        <v>0.04</v>
      </c>
      <c r="Q163" s="32">
        <v>0.1</v>
      </c>
      <c r="R163" s="32">
        <v>0.8</v>
      </c>
      <c r="S163" s="32">
        <v>6.7857142857142866E-2</v>
      </c>
      <c r="T163" s="32">
        <v>8.2857142857142865E-2</v>
      </c>
      <c r="U163" s="32">
        <v>2714285.714285715</v>
      </c>
      <c r="V163" s="32">
        <v>3314285.714285715</v>
      </c>
      <c r="W163" s="32"/>
      <c r="X163" s="32"/>
      <c r="Y163" s="32"/>
      <c r="Z163" s="32"/>
      <c r="AA163" s="32">
        <v>0.02</v>
      </c>
      <c r="AB163" s="32">
        <v>0.03</v>
      </c>
      <c r="AC163" s="32">
        <v>2.5000000000000001E-2</v>
      </c>
      <c r="AD163" s="32">
        <v>0.13698630136986301</v>
      </c>
      <c r="AE163" s="32">
        <v>371819.96086105681</v>
      </c>
      <c r="AF163" s="32">
        <v>454011.74168297462</v>
      </c>
      <c r="AG163" s="32" t="s">
        <v>1530</v>
      </c>
      <c r="AH163" s="32"/>
      <c r="AI163" s="32" t="s">
        <v>1493</v>
      </c>
      <c r="AJ163" s="32"/>
      <c r="AK163" s="28"/>
      <c r="AL163" s="18" t="str">
        <f t="shared" si="2"/>
        <v>How often do you identify opportunities to simplify your portfolio of vegetable oils to enhance procurement efficiency?_</v>
      </c>
    </row>
    <row r="164" spans="1:38" ht="43.5" x14ac:dyDescent="0.35">
      <c r="A164" s="32">
        <v>4</v>
      </c>
      <c r="B164" s="32" t="s">
        <v>1451</v>
      </c>
      <c r="C164" s="32" t="s">
        <v>1452</v>
      </c>
      <c r="D164" s="32" t="s">
        <v>1224</v>
      </c>
      <c r="E164" s="32" t="s">
        <v>1453</v>
      </c>
      <c r="F164" s="32"/>
      <c r="G164" s="32" t="s">
        <v>1291</v>
      </c>
      <c r="H164" s="32" t="s">
        <v>1379</v>
      </c>
      <c r="I164" s="32"/>
      <c r="J164" s="32" t="s">
        <v>1290</v>
      </c>
      <c r="K164" s="32" t="s">
        <v>1375</v>
      </c>
      <c r="L164" s="32" t="s">
        <v>1376</v>
      </c>
      <c r="M164" s="32" t="s">
        <v>1377</v>
      </c>
      <c r="N164" s="32" t="s">
        <v>1378</v>
      </c>
      <c r="O164" s="32">
        <v>2</v>
      </c>
      <c r="P164" s="32">
        <v>0.04</v>
      </c>
      <c r="Q164" s="32">
        <v>0.1</v>
      </c>
      <c r="R164" s="32">
        <v>0.8</v>
      </c>
      <c r="S164" s="32">
        <v>6.7857142857142866E-2</v>
      </c>
      <c r="T164" s="32">
        <v>8.2857142857142865E-2</v>
      </c>
      <c r="U164" s="32">
        <v>2714285.714285715</v>
      </c>
      <c r="V164" s="32">
        <v>3314285.714285715</v>
      </c>
      <c r="W164" s="32"/>
      <c r="X164" s="32"/>
      <c r="Y164" s="32"/>
      <c r="Z164" s="32"/>
      <c r="AA164" s="32">
        <v>0.02</v>
      </c>
      <c r="AB164" s="32">
        <v>0.03</v>
      </c>
      <c r="AC164" s="32">
        <v>2.5000000000000001E-2</v>
      </c>
      <c r="AD164" s="32">
        <v>0.13698630136986301</v>
      </c>
      <c r="AE164" s="32">
        <v>371819.96086105681</v>
      </c>
      <c r="AF164" s="32">
        <v>454011.74168297462</v>
      </c>
      <c r="AG164" s="32" t="s">
        <v>1531</v>
      </c>
      <c r="AH164" s="32"/>
      <c r="AI164" s="32" t="s">
        <v>1493</v>
      </c>
      <c r="AJ164" s="32"/>
      <c r="AK164" s="28"/>
      <c r="AL164" s="18" t="str">
        <f t="shared" si="2"/>
        <v>How often do you identify opportunities to simplify your portfolio of vegetable oils to enhance procurement efficiency?_</v>
      </c>
    </row>
    <row r="165" spans="1:38" ht="43.5" x14ac:dyDescent="0.35">
      <c r="A165" s="32">
        <v>4</v>
      </c>
      <c r="B165" s="32" t="s">
        <v>1451</v>
      </c>
      <c r="C165" s="32" t="s">
        <v>1452</v>
      </c>
      <c r="D165" s="32" t="s">
        <v>1224</v>
      </c>
      <c r="E165" s="32" t="s">
        <v>1453</v>
      </c>
      <c r="F165" s="32"/>
      <c r="G165" s="32" t="s">
        <v>1291</v>
      </c>
      <c r="H165" s="32" t="s">
        <v>1379</v>
      </c>
      <c r="I165" s="32"/>
      <c r="J165" s="32" t="s">
        <v>1290</v>
      </c>
      <c r="K165" s="32" t="s">
        <v>1375</v>
      </c>
      <c r="L165" s="32" t="s">
        <v>1376</v>
      </c>
      <c r="M165" s="32" t="s">
        <v>1377</v>
      </c>
      <c r="N165" s="32" t="s">
        <v>1378</v>
      </c>
      <c r="O165" s="32">
        <v>2</v>
      </c>
      <c r="P165" s="32">
        <v>0.04</v>
      </c>
      <c r="Q165" s="32">
        <v>0.1</v>
      </c>
      <c r="R165" s="32">
        <v>0.8</v>
      </c>
      <c r="S165" s="32">
        <v>6.7857142857142866E-2</v>
      </c>
      <c r="T165" s="32">
        <v>8.2857142857142865E-2</v>
      </c>
      <c r="U165" s="32">
        <v>2714285.714285715</v>
      </c>
      <c r="V165" s="32">
        <v>3314285.714285715</v>
      </c>
      <c r="W165" s="32"/>
      <c r="X165" s="32"/>
      <c r="Y165" s="32"/>
      <c r="Z165" s="32"/>
      <c r="AA165" s="32">
        <v>0.02</v>
      </c>
      <c r="AB165" s="32">
        <v>0.03</v>
      </c>
      <c r="AC165" s="32">
        <v>2.5000000000000001E-2</v>
      </c>
      <c r="AD165" s="32">
        <v>0.13698630136986301</v>
      </c>
      <c r="AE165" s="32">
        <v>371819.96086105681</v>
      </c>
      <c r="AF165" s="32">
        <v>454011.74168297462</v>
      </c>
      <c r="AG165" s="32" t="s">
        <v>1532</v>
      </c>
      <c r="AH165" s="32"/>
      <c r="AI165" s="32" t="s">
        <v>1493</v>
      </c>
      <c r="AJ165" s="32"/>
      <c r="AK165" s="28"/>
      <c r="AL165" s="18" t="str">
        <f t="shared" si="2"/>
        <v>How often do you identify opportunities to simplify your portfolio of vegetable oils to enhance procurement efficiency?_</v>
      </c>
    </row>
    <row r="166" spans="1:38" ht="87" x14ac:dyDescent="0.35">
      <c r="A166" s="32">
        <v>5</v>
      </c>
      <c r="B166" s="32" t="s">
        <v>1451</v>
      </c>
      <c r="C166" s="32" t="s">
        <v>1452</v>
      </c>
      <c r="D166" s="32" t="s">
        <v>1224</v>
      </c>
      <c r="E166" s="32" t="s">
        <v>1453</v>
      </c>
      <c r="F166" s="32"/>
      <c r="G166" s="32" t="s">
        <v>1281</v>
      </c>
      <c r="H166" s="32" t="s">
        <v>1326</v>
      </c>
      <c r="I166" s="32"/>
      <c r="J166" s="32" t="s">
        <v>1239</v>
      </c>
      <c r="K166" s="32" t="s">
        <v>1322</v>
      </c>
      <c r="L166" s="32" t="s">
        <v>1323</v>
      </c>
      <c r="M166" s="32" t="s">
        <v>1324</v>
      </c>
      <c r="N166" s="32" t="s">
        <v>1325</v>
      </c>
      <c r="O166" s="32">
        <v>4</v>
      </c>
      <c r="P166" s="32">
        <v>0.04</v>
      </c>
      <c r="Q166" s="32">
        <v>0.1</v>
      </c>
      <c r="R166" s="32">
        <v>0.8</v>
      </c>
      <c r="S166" s="32">
        <v>6.7500000000000004E-2</v>
      </c>
      <c r="T166" s="32">
        <v>8.2500000000000004E-2</v>
      </c>
      <c r="U166" s="32">
        <v>2700000</v>
      </c>
      <c r="V166" s="32">
        <v>3300000</v>
      </c>
      <c r="W166" s="32"/>
      <c r="X166" s="32"/>
      <c r="Y166" s="32"/>
      <c r="Z166" s="32"/>
      <c r="AA166" s="32">
        <v>0.02</v>
      </c>
      <c r="AB166" s="32">
        <v>0.03</v>
      </c>
      <c r="AC166" s="32">
        <v>0.02</v>
      </c>
      <c r="AD166" s="32">
        <v>0.1095890410958904</v>
      </c>
      <c r="AE166" s="32">
        <v>295890.41095890407</v>
      </c>
      <c r="AF166" s="32">
        <v>361643.83561643842</v>
      </c>
      <c r="AG166" s="32" t="s">
        <v>1454</v>
      </c>
      <c r="AH166" s="32" t="s">
        <v>1455</v>
      </c>
      <c r="AI166" s="32" t="s">
        <v>2046</v>
      </c>
      <c r="AJ166" s="32" t="s">
        <v>1571</v>
      </c>
      <c r="AK166" s="28" t="s">
        <v>2068</v>
      </c>
      <c r="AL166" s="18" t="str">
        <f t="shared" si="2"/>
        <v>Have you undertaken specification rationalization to enable volume bundling and reduce sourcing complexity?_For the top regions by spend, identify the SKUs contributing to top 80% spend. Call out examples of similar SKUs based on SKU descriptions</v>
      </c>
    </row>
    <row r="167" spans="1:38" ht="43.5" x14ac:dyDescent="0.35">
      <c r="A167" s="32">
        <v>5</v>
      </c>
      <c r="B167" s="32" t="s">
        <v>1451</v>
      </c>
      <c r="C167" s="32" t="s">
        <v>1452</v>
      </c>
      <c r="D167" s="32" t="s">
        <v>1224</v>
      </c>
      <c r="E167" s="32" t="s">
        <v>1453</v>
      </c>
      <c r="F167" s="32"/>
      <c r="G167" s="32" t="s">
        <v>1281</v>
      </c>
      <c r="H167" s="32" t="s">
        <v>1326</v>
      </c>
      <c r="I167" s="32"/>
      <c r="J167" s="32" t="s">
        <v>1239</v>
      </c>
      <c r="K167" s="32" t="s">
        <v>1322</v>
      </c>
      <c r="L167" s="32" t="s">
        <v>1323</v>
      </c>
      <c r="M167" s="32" t="s">
        <v>1324</v>
      </c>
      <c r="N167" s="32" t="s">
        <v>1325</v>
      </c>
      <c r="O167" s="32">
        <v>4</v>
      </c>
      <c r="P167" s="32">
        <v>0.04</v>
      </c>
      <c r="Q167" s="32">
        <v>0.1</v>
      </c>
      <c r="R167" s="32">
        <v>0.8</v>
      </c>
      <c r="S167" s="32">
        <v>6.7857142857142866E-2</v>
      </c>
      <c r="T167" s="32">
        <v>8.2857142857142865E-2</v>
      </c>
      <c r="U167" s="32">
        <v>2714285.714285715</v>
      </c>
      <c r="V167" s="32">
        <v>3314285.714285715</v>
      </c>
      <c r="W167" s="32"/>
      <c r="X167" s="32"/>
      <c r="Y167" s="32"/>
      <c r="Z167" s="32"/>
      <c r="AA167" s="32">
        <v>0.02</v>
      </c>
      <c r="AB167" s="32">
        <v>0.03</v>
      </c>
      <c r="AC167" s="32">
        <v>0.02</v>
      </c>
      <c r="AD167" s="32">
        <v>0.1095890410958904</v>
      </c>
      <c r="AE167" s="32">
        <v>297455.96868884552</v>
      </c>
      <c r="AF167" s="32">
        <v>363209.39334637969</v>
      </c>
      <c r="AG167" s="32" t="s">
        <v>1463</v>
      </c>
      <c r="AH167" s="32" t="s">
        <v>1464</v>
      </c>
      <c r="AI167" s="32" t="s">
        <v>2046</v>
      </c>
      <c r="AJ167" s="32"/>
      <c r="AK167" s="28"/>
      <c r="AL167" s="18" t="str">
        <f t="shared" si="2"/>
        <v>Have you undertaken specification rationalization to enable volume bundling and reduce sourcing complexity?_</v>
      </c>
    </row>
    <row r="168" spans="1:38" ht="43.5" x14ac:dyDescent="0.35">
      <c r="A168" s="32">
        <v>5</v>
      </c>
      <c r="B168" s="32" t="s">
        <v>1451</v>
      </c>
      <c r="C168" s="32" t="s">
        <v>1452</v>
      </c>
      <c r="D168" s="32" t="s">
        <v>1224</v>
      </c>
      <c r="E168" s="32" t="s">
        <v>1453</v>
      </c>
      <c r="F168" s="32"/>
      <c r="G168" s="32" t="s">
        <v>1281</v>
      </c>
      <c r="H168" s="32" t="s">
        <v>1326</v>
      </c>
      <c r="I168" s="32"/>
      <c r="J168" s="32" t="s">
        <v>1239</v>
      </c>
      <c r="K168" s="32" t="s">
        <v>1322</v>
      </c>
      <c r="L168" s="32" t="s">
        <v>1323</v>
      </c>
      <c r="M168" s="32" t="s">
        <v>1324</v>
      </c>
      <c r="N168" s="32" t="s">
        <v>1325</v>
      </c>
      <c r="O168" s="32">
        <v>4</v>
      </c>
      <c r="P168" s="32">
        <v>0.04</v>
      </c>
      <c r="Q168" s="32">
        <v>0.1</v>
      </c>
      <c r="R168" s="32">
        <v>0.8</v>
      </c>
      <c r="S168" s="32">
        <v>6.7857142857142866E-2</v>
      </c>
      <c r="T168" s="32">
        <v>8.2857142857142865E-2</v>
      </c>
      <c r="U168" s="32">
        <v>2714285.714285715</v>
      </c>
      <c r="V168" s="32">
        <v>3314285.714285715</v>
      </c>
      <c r="W168" s="32"/>
      <c r="X168" s="32"/>
      <c r="Y168" s="32"/>
      <c r="Z168" s="32"/>
      <c r="AA168" s="32">
        <v>0.02</v>
      </c>
      <c r="AB168" s="32">
        <v>0.03</v>
      </c>
      <c r="AC168" s="32">
        <v>0.02</v>
      </c>
      <c r="AD168" s="32">
        <v>0.1095890410958904</v>
      </c>
      <c r="AE168" s="32">
        <v>297455.96868884552</v>
      </c>
      <c r="AF168" s="32">
        <v>363209.39334637969</v>
      </c>
      <c r="AG168" s="32" t="s">
        <v>1465</v>
      </c>
      <c r="AH168" s="32" t="s">
        <v>1466</v>
      </c>
      <c r="AI168" s="32" t="s">
        <v>2046</v>
      </c>
      <c r="AJ168" s="32"/>
      <c r="AK168" s="28"/>
      <c r="AL168" s="18" t="str">
        <f t="shared" si="2"/>
        <v>Have you undertaken specification rationalization to enable volume bundling and reduce sourcing complexity?_</v>
      </c>
    </row>
    <row r="169" spans="1:38" ht="43.5" x14ac:dyDescent="0.35">
      <c r="A169" s="32">
        <v>5</v>
      </c>
      <c r="B169" s="32" t="s">
        <v>1451</v>
      </c>
      <c r="C169" s="32" t="s">
        <v>1452</v>
      </c>
      <c r="D169" s="32" t="s">
        <v>1224</v>
      </c>
      <c r="E169" s="32" t="s">
        <v>1453</v>
      </c>
      <c r="F169" s="32"/>
      <c r="G169" s="32" t="s">
        <v>1281</v>
      </c>
      <c r="H169" s="32" t="s">
        <v>1326</v>
      </c>
      <c r="I169" s="32"/>
      <c r="J169" s="32" t="s">
        <v>1239</v>
      </c>
      <c r="K169" s="32" t="s">
        <v>1322</v>
      </c>
      <c r="L169" s="32" t="s">
        <v>1323</v>
      </c>
      <c r="M169" s="32" t="s">
        <v>1324</v>
      </c>
      <c r="N169" s="32" t="s">
        <v>1325</v>
      </c>
      <c r="O169" s="32">
        <v>4</v>
      </c>
      <c r="P169" s="32">
        <v>0.04</v>
      </c>
      <c r="Q169" s="32">
        <v>0.1</v>
      </c>
      <c r="R169" s="32">
        <v>0.8</v>
      </c>
      <c r="S169" s="32">
        <v>6.7857142857142866E-2</v>
      </c>
      <c r="T169" s="32">
        <v>8.2857142857142865E-2</v>
      </c>
      <c r="U169" s="32">
        <v>2714285.714285715</v>
      </c>
      <c r="V169" s="32">
        <v>3314285.714285715</v>
      </c>
      <c r="W169" s="32"/>
      <c r="X169" s="32"/>
      <c r="Y169" s="32"/>
      <c r="Z169" s="32"/>
      <c r="AA169" s="32">
        <v>0.02</v>
      </c>
      <c r="AB169" s="32">
        <v>0.03</v>
      </c>
      <c r="AC169" s="32">
        <v>0.02</v>
      </c>
      <c r="AD169" s="32">
        <v>0.1095890410958904</v>
      </c>
      <c r="AE169" s="32">
        <v>297455.96868884552</v>
      </c>
      <c r="AF169" s="32">
        <v>363209.39334637969</v>
      </c>
      <c r="AG169" s="32" t="s">
        <v>1467</v>
      </c>
      <c r="AH169" s="32" t="s">
        <v>1468</v>
      </c>
      <c r="AI169" s="32" t="s">
        <v>2046</v>
      </c>
      <c r="AJ169" s="32"/>
      <c r="AK169" s="28"/>
      <c r="AL169" s="18" t="str">
        <f t="shared" si="2"/>
        <v>Have you undertaken specification rationalization to enable volume bundling and reduce sourcing complexity?_</v>
      </c>
    </row>
    <row r="170" spans="1:38" ht="72.5" x14ac:dyDescent="0.35">
      <c r="A170" s="32">
        <v>5</v>
      </c>
      <c r="B170" s="32" t="s">
        <v>1451</v>
      </c>
      <c r="C170" s="32" t="s">
        <v>1452</v>
      </c>
      <c r="D170" s="32" t="s">
        <v>1224</v>
      </c>
      <c r="E170" s="32" t="s">
        <v>1453</v>
      </c>
      <c r="F170" s="32"/>
      <c r="G170" s="32" t="s">
        <v>1281</v>
      </c>
      <c r="H170" s="32" t="s">
        <v>1326</v>
      </c>
      <c r="I170" s="32"/>
      <c r="J170" s="32" t="s">
        <v>1239</v>
      </c>
      <c r="K170" s="32" t="s">
        <v>1322</v>
      </c>
      <c r="L170" s="32" t="s">
        <v>1323</v>
      </c>
      <c r="M170" s="32" t="s">
        <v>1324</v>
      </c>
      <c r="N170" s="32" t="s">
        <v>1325</v>
      </c>
      <c r="O170" s="32">
        <v>4</v>
      </c>
      <c r="P170" s="32">
        <v>0.04</v>
      </c>
      <c r="Q170" s="32">
        <v>0.1</v>
      </c>
      <c r="R170" s="32">
        <v>0.8</v>
      </c>
      <c r="S170" s="32">
        <v>6.7857142857142866E-2</v>
      </c>
      <c r="T170" s="32">
        <v>8.2857142857142865E-2</v>
      </c>
      <c r="U170" s="32">
        <v>2714285.714285715</v>
      </c>
      <c r="V170" s="32">
        <v>3314285.714285715</v>
      </c>
      <c r="W170" s="32"/>
      <c r="X170" s="32"/>
      <c r="Y170" s="32"/>
      <c r="Z170" s="32"/>
      <c r="AA170" s="32">
        <v>0.02</v>
      </c>
      <c r="AB170" s="32">
        <v>0.03</v>
      </c>
      <c r="AC170" s="32">
        <v>0.02</v>
      </c>
      <c r="AD170" s="32">
        <v>0.1095890410958904</v>
      </c>
      <c r="AE170" s="32">
        <v>297455.96868884552</v>
      </c>
      <c r="AF170" s="32">
        <v>363209.39334637969</v>
      </c>
      <c r="AG170" s="32" t="s">
        <v>1471</v>
      </c>
      <c r="AH170" s="32" t="s">
        <v>1472</v>
      </c>
      <c r="AI170" s="32" t="s">
        <v>2046</v>
      </c>
      <c r="AJ170" s="32" t="s">
        <v>1575</v>
      </c>
      <c r="AK170" s="28" t="s">
        <v>2069</v>
      </c>
      <c r="AL170" s="18" t="str">
        <f t="shared" si="2"/>
        <v>Have you undertaken specification rationalization to enable volume bundling and reduce sourcing complexity?_If speific vegetable oils' (e.g., sunflower, canola, Palm etc) spend shows fragmentation across multiple SKUs with similar descriptions, highlight examples of such high spend yet high similarilty SKUs</v>
      </c>
    </row>
    <row r="171" spans="1:38" ht="43.5" x14ac:dyDescent="0.35">
      <c r="A171" s="32">
        <v>5</v>
      </c>
      <c r="B171" s="32" t="s">
        <v>1451</v>
      </c>
      <c r="C171" s="32" t="s">
        <v>1452</v>
      </c>
      <c r="D171" s="32" t="s">
        <v>1224</v>
      </c>
      <c r="E171" s="32" t="s">
        <v>1453</v>
      </c>
      <c r="F171" s="32"/>
      <c r="G171" s="32" t="s">
        <v>1281</v>
      </c>
      <c r="H171" s="32" t="s">
        <v>1326</v>
      </c>
      <c r="I171" s="32"/>
      <c r="J171" s="32" t="s">
        <v>1239</v>
      </c>
      <c r="K171" s="32" t="s">
        <v>1322</v>
      </c>
      <c r="L171" s="32" t="s">
        <v>1323</v>
      </c>
      <c r="M171" s="32" t="s">
        <v>1324</v>
      </c>
      <c r="N171" s="32" t="s">
        <v>1325</v>
      </c>
      <c r="O171" s="32">
        <v>4</v>
      </c>
      <c r="P171" s="32">
        <v>0.04</v>
      </c>
      <c r="Q171" s="32">
        <v>0.1</v>
      </c>
      <c r="R171" s="32">
        <v>0.8</v>
      </c>
      <c r="S171" s="32">
        <v>6.7857142857142866E-2</v>
      </c>
      <c r="T171" s="32">
        <v>8.2857142857142865E-2</v>
      </c>
      <c r="U171" s="32">
        <v>2714285.714285715</v>
      </c>
      <c r="V171" s="32">
        <v>3314285.714285715</v>
      </c>
      <c r="W171" s="32"/>
      <c r="X171" s="32"/>
      <c r="Y171" s="32"/>
      <c r="Z171" s="32"/>
      <c r="AA171" s="32">
        <v>0.02</v>
      </c>
      <c r="AB171" s="32">
        <v>0.03</v>
      </c>
      <c r="AC171" s="32">
        <v>0.02</v>
      </c>
      <c r="AD171" s="32">
        <v>0.1095890410958904</v>
      </c>
      <c r="AE171" s="32">
        <v>297455.96868884552</v>
      </c>
      <c r="AF171" s="32">
        <v>363209.39334637969</v>
      </c>
      <c r="AG171" s="32" t="s">
        <v>1475</v>
      </c>
      <c r="AH171" s="32" t="s">
        <v>1476</v>
      </c>
      <c r="AI171" s="32" t="s">
        <v>2046</v>
      </c>
      <c r="AJ171" s="32"/>
      <c r="AK171" s="28"/>
      <c r="AL171" s="18" t="str">
        <f t="shared" si="2"/>
        <v>Have you undertaken specification rationalization to enable volume bundling and reduce sourcing complexity?_</v>
      </c>
    </row>
    <row r="172" spans="1:38" ht="101.5" x14ac:dyDescent="0.35">
      <c r="A172" s="32">
        <v>5</v>
      </c>
      <c r="B172" s="32" t="s">
        <v>1451</v>
      </c>
      <c r="C172" s="32" t="s">
        <v>1452</v>
      </c>
      <c r="D172" s="32" t="s">
        <v>1224</v>
      </c>
      <c r="E172" s="32" t="s">
        <v>1453</v>
      </c>
      <c r="F172" s="32"/>
      <c r="G172" s="32" t="s">
        <v>1281</v>
      </c>
      <c r="H172" s="32" t="s">
        <v>1326</v>
      </c>
      <c r="I172" s="32"/>
      <c r="J172" s="32" t="s">
        <v>1239</v>
      </c>
      <c r="K172" s="32" t="s">
        <v>1322</v>
      </c>
      <c r="L172" s="32" t="s">
        <v>1323</v>
      </c>
      <c r="M172" s="32" t="s">
        <v>1324</v>
      </c>
      <c r="N172" s="32" t="s">
        <v>1325</v>
      </c>
      <c r="O172" s="32">
        <v>4</v>
      </c>
      <c r="P172" s="32">
        <v>0.04</v>
      </c>
      <c r="Q172" s="32">
        <v>0.1</v>
      </c>
      <c r="R172" s="32">
        <v>0.8</v>
      </c>
      <c r="S172" s="32">
        <v>6.7857142857142866E-2</v>
      </c>
      <c r="T172" s="32">
        <v>8.2857142857142865E-2</v>
      </c>
      <c r="U172" s="32">
        <v>2714285.714285715</v>
      </c>
      <c r="V172" s="32">
        <v>3314285.714285715</v>
      </c>
      <c r="W172" s="32"/>
      <c r="X172" s="32"/>
      <c r="Y172" s="32"/>
      <c r="Z172" s="32"/>
      <c r="AA172" s="32">
        <v>0.02</v>
      </c>
      <c r="AB172" s="32">
        <v>0.03</v>
      </c>
      <c r="AC172" s="32">
        <v>0.02</v>
      </c>
      <c r="AD172" s="32">
        <v>0.1095890410958904</v>
      </c>
      <c r="AE172" s="32">
        <v>297455.96868884552</v>
      </c>
      <c r="AF172" s="32">
        <v>363209.39334637969</v>
      </c>
      <c r="AG172" s="32" t="s">
        <v>1477</v>
      </c>
      <c r="AH172" s="32" t="s">
        <v>1478</v>
      </c>
      <c r="AI172" s="32" t="s">
        <v>2046</v>
      </c>
      <c r="AJ172" s="32" t="s">
        <v>2070</v>
      </c>
      <c r="AK172" s="28" t="s">
        <v>2071</v>
      </c>
      <c r="AL172" s="18" t="str">
        <f t="shared" si="2"/>
        <v>Have you undertaken specification rationalization to enable volume bundling and reduce sourcing complexity?_If speific vegetable oils' (e.g., sunflower, canola, Palm etc) spend data shows &gt;5-10% price variance across multiple SKUs with similar descriptions, highlight examples of such high price variance yet high similarilty SKUs</v>
      </c>
    </row>
    <row r="173" spans="1:38" ht="43.5" x14ac:dyDescent="0.35">
      <c r="A173" s="32">
        <v>5</v>
      </c>
      <c r="B173" s="32" t="s">
        <v>1451</v>
      </c>
      <c r="C173" s="32" t="s">
        <v>1452</v>
      </c>
      <c r="D173" s="32" t="s">
        <v>1224</v>
      </c>
      <c r="E173" s="32" t="s">
        <v>1453</v>
      </c>
      <c r="F173" s="32"/>
      <c r="G173" s="32" t="s">
        <v>1281</v>
      </c>
      <c r="H173" s="32" t="s">
        <v>1326</v>
      </c>
      <c r="I173" s="32"/>
      <c r="J173" s="32" t="s">
        <v>1239</v>
      </c>
      <c r="K173" s="32" t="s">
        <v>1322</v>
      </c>
      <c r="L173" s="32" t="s">
        <v>1323</v>
      </c>
      <c r="M173" s="32" t="s">
        <v>1324</v>
      </c>
      <c r="N173" s="32" t="s">
        <v>1325</v>
      </c>
      <c r="O173" s="32">
        <v>4</v>
      </c>
      <c r="P173" s="32">
        <v>0.04</v>
      </c>
      <c r="Q173" s="32">
        <v>0.1</v>
      </c>
      <c r="R173" s="32">
        <v>0.8</v>
      </c>
      <c r="S173" s="32">
        <v>6.7857142857142866E-2</v>
      </c>
      <c r="T173" s="32">
        <v>8.2857142857142865E-2</v>
      </c>
      <c r="U173" s="32">
        <v>2714285.714285715</v>
      </c>
      <c r="V173" s="32">
        <v>3314285.714285715</v>
      </c>
      <c r="W173" s="32"/>
      <c r="X173" s="32"/>
      <c r="Y173" s="32"/>
      <c r="Z173" s="32"/>
      <c r="AA173" s="32">
        <v>0.02</v>
      </c>
      <c r="AB173" s="32">
        <v>0.03</v>
      </c>
      <c r="AC173" s="32">
        <v>0.02</v>
      </c>
      <c r="AD173" s="32">
        <v>0.1095890410958904</v>
      </c>
      <c r="AE173" s="32">
        <v>297455.96868884552</v>
      </c>
      <c r="AF173" s="32">
        <v>363209.39334637969</v>
      </c>
      <c r="AG173" s="32" t="s">
        <v>1481</v>
      </c>
      <c r="AH173" s="32" t="s">
        <v>1482</v>
      </c>
      <c r="AI173" s="32" t="s">
        <v>2046</v>
      </c>
      <c r="AJ173" s="32"/>
      <c r="AK173" s="28"/>
      <c r="AL173" s="18" t="str">
        <f t="shared" si="2"/>
        <v>Have you undertaken specification rationalization to enable volume bundling and reduce sourcing complexity?_</v>
      </c>
    </row>
    <row r="174" spans="1:38" ht="58" x14ac:dyDescent="0.35">
      <c r="A174" s="32">
        <v>5</v>
      </c>
      <c r="B174" s="32" t="s">
        <v>1451</v>
      </c>
      <c r="C174" s="32" t="s">
        <v>1452</v>
      </c>
      <c r="D174" s="32" t="s">
        <v>1224</v>
      </c>
      <c r="E174" s="32" t="s">
        <v>1453</v>
      </c>
      <c r="F174" s="32"/>
      <c r="G174" s="32" t="s">
        <v>1281</v>
      </c>
      <c r="H174" s="32" t="s">
        <v>1326</v>
      </c>
      <c r="I174" s="32"/>
      <c r="J174" s="32" t="s">
        <v>1239</v>
      </c>
      <c r="K174" s="32" t="s">
        <v>1322</v>
      </c>
      <c r="L174" s="32" t="s">
        <v>1323</v>
      </c>
      <c r="M174" s="32" t="s">
        <v>1324</v>
      </c>
      <c r="N174" s="32" t="s">
        <v>1325</v>
      </c>
      <c r="O174" s="32">
        <v>4</v>
      </c>
      <c r="P174" s="32">
        <v>0.04</v>
      </c>
      <c r="Q174" s="32">
        <v>0.1</v>
      </c>
      <c r="R174" s="32">
        <v>0.8</v>
      </c>
      <c r="S174" s="32">
        <v>6.7857142857142866E-2</v>
      </c>
      <c r="T174" s="32">
        <v>8.2857142857142865E-2</v>
      </c>
      <c r="U174" s="32">
        <v>2714285.714285715</v>
      </c>
      <c r="V174" s="32">
        <v>3314285.714285715</v>
      </c>
      <c r="W174" s="32"/>
      <c r="X174" s="32"/>
      <c r="Y174" s="32"/>
      <c r="Z174" s="32"/>
      <c r="AA174" s="32">
        <v>0.02</v>
      </c>
      <c r="AB174" s="32">
        <v>0.03</v>
      </c>
      <c r="AC174" s="32">
        <v>0.02</v>
      </c>
      <c r="AD174" s="32">
        <v>0.1095890410958904</v>
      </c>
      <c r="AE174" s="32">
        <v>297455.96868884552</v>
      </c>
      <c r="AF174" s="32">
        <v>363209.39334637969</v>
      </c>
      <c r="AG174" s="32" t="s">
        <v>1483</v>
      </c>
      <c r="AH174" s="32" t="s">
        <v>1484</v>
      </c>
      <c r="AI174" s="32" t="s">
        <v>2046</v>
      </c>
      <c r="AJ174" s="32"/>
      <c r="AK174" s="28"/>
      <c r="AL174" s="18" t="str">
        <f t="shared" si="2"/>
        <v>Have you undertaken specification rationalization to enable volume bundling and reduce sourcing complexity?_</v>
      </c>
    </row>
    <row r="175" spans="1:38" ht="43.5" x14ac:dyDescent="0.35">
      <c r="A175" s="32">
        <v>5</v>
      </c>
      <c r="B175" s="32" t="s">
        <v>1451</v>
      </c>
      <c r="C175" s="32" t="s">
        <v>1452</v>
      </c>
      <c r="D175" s="32" t="s">
        <v>1224</v>
      </c>
      <c r="E175" s="32" t="s">
        <v>1453</v>
      </c>
      <c r="F175" s="32"/>
      <c r="G175" s="32" t="s">
        <v>1281</v>
      </c>
      <c r="H175" s="32" t="s">
        <v>1326</v>
      </c>
      <c r="I175" s="32"/>
      <c r="J175" s="32" t="s">
        <v>1239</v>
      </c>
      <c r="K175" s="32" t="s">
        <v>1322</v>
      </c>
      <c r="L175" s="32" t="s">
        <v>1323</v>
      </c>
      <c r="M175" s="32" t="s">
        <v>1324</v>
      </c>
      <c r="N175" s="32" t="s">
        <v>1325</v>
      </c>
      <c r="O175" s="32">
        <v>4</v>
      </c>
      <c r="P175" s="32">
        <v>0.04</v>
      </c>
      <c r="Q175" s="32">
        <v>0.1</v>
      </c>
      <c r="R175" s="32">
        <v>0.8</v>
      </c>
      <c r="S175" s="32">
        <v>6.7857142857142866E-2</v>
      </c>
      <c r="T175" s="32">
        <v>8.2857142857142865E-2</v>
      </c>
      <c r="U175" s="32">
        <v>2714285.714285715</v>
      </c>
      <c r="V175" s="32">
        <v>3314285.714285715</v>
      </c>
      <c r="W175" s="32"/>
      <c r="X175" s="32"/>
      <c r="Y175" s="32"/>
      <c r="Z175" s="32"/>
      <c r="AA175" s="32">
        <v>0.02</v>
      </c>
      <c r="AB175" s="32">
        <v>0.03</v>
      </c>
      <c r="AC175" s="32">
        <v>0.02</v>
      </c>
      <c r="AD175" s="32">
        <v>0.1095890410958904</v>
      </c>
      <c r="AE175" s="32">
        <v>297455.96868884552</v>
      </c>
      <c r="AF175" s="32">
        <v>363209.39334637969</v>
      </c>
      <c r="AG175" s="32" t="s">
        <v>1486</v>
      </c>
      <c r="AH175" s="32" t="s">
        <v>1487</v>
      </c>
      <c r="AI175" s="32" t="s">
        <v>2046</v>
      </c>
      <c r="AJ175" s="32"/>
      <c r="AK175" s="28"/>
      <c r="AL175" s="18" t="str">
        <f t="shared" si="2"/>
        <v>Have you undertaken specification rationalization to enable volume bundling and reduce sourcing complexity?_</v>
      </c>
    </row>
    <row r="176" spans="1:38" ht="101.5" x14ac:dyDescent="0.35">
      <c r="A176" s="32">
        <v>5</v>
      </c>
      <c r="B176" s="32" t="s">
        <v>1451</v>
      </c>
      <c r="C176" s="32" t="s">
        <v>1452</v>
      </c>
      <c r="D176" s="32" t="s">
        <v>1224</v>
      </c>
      <c r="E176" s="32" t="s">
        <v>1453</v>
      </c>
      <c r="F176" s="32"/>
      <c r="G176" s="32" t="s">
        <v>1281</v>
      </c>
      <c r="H176" s="32" t="s">
        <v>1326</v>
      </c>
      <c r="I176" s="32"/>
      <c r="J176" s="32" t="s">
        <v>1239</v>
      </c>
      <c r="K176" s="32" t="s">
        <v>1322</v>
      </c>
      <c r="L176" s="32" t="s">
        <v>1323</v>
      </c>
      <c r="M176" s="32" t="s">
        <v>1324</v>
      </c>
      <c r="N176" s="32" t="s">
        <v>1325</v>
      </c>
      <c r="O176" s="32">
        <v>4</v>
      </c>
      <c r="P176" s="32">
        <v>0.04</v>
      </c>
      <c r="Q176" s="32">
        <v>0.1</v>
      </c>
      <c r="R176" s="32">
        <v>0.8</v>
      </c>
      <c r="S176" s="32">
        <v>6.7857142857142866E-2</v>
      </c>
      <c r="T176" s="32">
        <v>8.2857142857142865E-2</v>
      </c>
      <c r="U176" s="32">
        <v>2714285.714285715</v>
      </c>
      <c r="V176" s="32">
        <v>3314285.714285715</v>
      </c>
      <c r="W176" s="32"/>
      <c r="X176" s="32"/>
      <c r="Y176" s="32"/>
      <c r="Z176" s="32"/>
      <c r="AA176" s="32">
        <v>0.02</v>
      </c>
      <c r="AB176" s="32">
        <v>0.03</v>
      </c>
      <c r="AC176" s="32">
        <v>0.02</v>
      </c>
      <c r="AD176" s="32">
        <v>0.1095890410958904</v>
      </c>
      <c r="AE176" s="32">
        <v>297455.96868884552</v>
      </c>
      <c r="AF176" s="32">
        <v>363209.39334637969</v>
      </c>
      <c r="AG176" s="32" t="s">
        <v>1488</v>
      </c>
      <c r="AH176" s="32" t="s">
        <v>1489</v>
      </c>
      <c r="AI176" s="32" t="s">
        <v>2046</v>
      </c>
      <c r="AJ176" s="32" t="s">
        <v>2072</v>
      </c>
      <c r="AK176" s="28" t="s">
        <v>2071</v>
      </c>
      <c r="AL176" s="18" t="str">
        <f t="shared" si="2"/>
        <v>Have you undertaken specification rationalization to enable volume bundling and reduce sourcing complexity?_If vegetable oil spend/revenue ratio exceeds external benchmarks, add this as an additional callout to highlight an outside-in view on the category</v>
      </c>
    </row>
    <row r="177" spans="1:38" ht="43.5" x14ac:dyDescent="0.35">
      <c r="A177" s="32">
        <v>5</v>
      </c>
      <c r="B177" s="32" t="s">
        <v>1451</v>
      </c>
      <c r="C177" s="32" t="s">
        <v>1452</v>
      </c>
      <c r="D177" s="32" t="s">
        <v>1224</v>
      </c>
      <c r="E177" s="32" t="s">
        <v>1453</v>
      </c>
      <c r="F177" s="32"/>
      <c r="G177" s="32" t="s">
        <v>1281</v>
      </c>
      <c r="H177" s="32" t="s">
        <v>1326</v>
      </c>
      <c r="I177" s="32"/>
      <c r="J177" s="32" t="s">
        <v>1239</v>
      </c>
      <c r="K177" s="32" t="s">
        <v>1322</v>
      </c>
      <c r="L177" s="32" t="s">
        <v>1323</v>
      </c>
      <c r="M177" s="32" t="s">
        <v>1324</v>
      </c>
      <c r="N177" s="32" t="s">
        <v>1325</v>
      </c>
      <c r="O177" s="32">
        <v>4</v>
      </c>
      <c r="P177" s="32">
        <v>0.04</v>
      </c>
      <c r="Q177" s="32">
        <v>0.1</v>
      </c>
      <c r="R177" s="32">
        <v>0.8</v>
      </c>
      <c r="S177" s="32">
        <v>6.7857142857142866E-2</v>
      </c>
      <c r="T177" s="32">
        <v>8.2857142857142865E-2</v>
      </c>
      <c r="U177" s="32">
        <v>2714285.714285715</v>
      </c>
      <c r="V177" s="32">
        <v>3314285.714285715</v>
      </c>
      <c r="W177" s="32"/>
      <c r="X177" s="32"/>
      <c r="Y177" s="32"/>
      <c r="Z177" s="32"/>
      <c r="AA177" s="32">
        <v>0.02</v>
      </c>
      <c r="AB177" s="32">
        <v>0.03</v>
      </c>
      <c r="AC177" s="32">
        <v>0.02</v>
      </c>
      <c r="AD177" s="32">
        <v>0.1095890410958904</v>
      </c>
      <c r="AE177" s="32">
        <v>297455.96868884552</v>
      </c>
      <c r="AF177" s="32">
        <v>363209.39334637969</v>
      </c>
      <c r="AG177" s="32" t="s">
        <v>1490</v>
      </c>
      <c r="AH177" s="32" t="s">
        <v>1491</v>
      </c>
      <c r="AI177" s="32" t="s">
        <v>2046</v>
      </c>
      <c r="AJ177" s="32"/>
      <c r="AK177" s="28"/>
      <c r="AL177" s="18" t="str">
        <f t="shared" si="2"/>
        <v>Have you undertaken specification rationalization to enable volume bundling and reduce sourcing complexity?_</v>
      </c>
    </row>
    <row r="178" spans="1:38" ht="43.5" x14ac:dyDescent="0.35">
      <c r="A178" s="32">
        <v>5</v>
      </c>
      <c r="B178" s="32" t="s">
        <v>1451</v>
      </c>
      <c r="C178" s="32" t="s">
        <v>1452</v>
      </c>
      <c r="D178" s="32" t="s">
        <v>1224</v>
      </c>
      <c r="E178" s="32" t="s">
        <v>1453</v>
      </c>
      <c r="F178" s="32"/>
      <c r="G178" s="32" t="s">
        <v>1281</v>
      </c>
      <c r="H178" s="32" t="s">
        <v>1326</v>
      </c>
      <c r="I178" s="32"/>
      <c r="J178" s="32" t="s">
        <v>1239</v>
      </c>
      <c r="K178" s="32" t="s">
        <v>1322</v>
      </c>
      <c r="L178" s="32" t="s">
        <v>1323</v>
      </c>
      <c r="M178" s="32" t="s">
        <v>1324</v>
      </c>
      <c r="N178" s="32" t="s">
        <v>1325</v>
      </c>
      <c r="O178" s="32">
        <v>4</v>
      </c>
      <c r="P178" s="32">
        <v>0.04</v>
      </c>
      <c r="Q178" s="32">
        <v>0.1</v>
      </c>
      <c r="R178" s="32">
        <v>0.8</v>
      </c>
      <c r="S178" s="32">
        <v>6.7857142857142866E-2</v>
      </c>
      <c r="T178" s="32">
        <v>8.2857142857142865E-2</v>
      </c>
      <c r="U178" s="32">
        <v>2714285.714285715</v>
      </c>
      <c r="V178" s="32">
        <v>3314285.714285715</v>
      </c>
      <c r="W178" s="32"/>
      <c r="X178" s="32"/>
      <c r="Y178" s="32"/>
      <c r="Z178" s="32"/>
      <c r="AA178" s="32">
        <v>0.02</v>
      </c>
      <c r="AB178" s="32">
        <v>0.03</v>
      </c>
      <c r="AC178" s="32">
        <v>0.02</v>
      </c>
      <c r="AD178" s="32">
        <v>0.1095890410958904</v>
      </c>
      <c r="AE178" s="32">
        <v>297455.96868884552</v>
      </c>
      <c r="AF178" s="32">
        <v>363209.39334637969</v>
      </c>
      <c r="AG178" s="32" t="s">
        <v>1492</v>
      </c>
      <c r="AH178" s="32" t="s">
        <v>1538</v>
      </c>
      <c r="AI178" s="32" t="s">
        <v>1493</v>
      </c>
      <c r="AJ178" s="32"/>
      <c r="AK178" s="28"/>
      <c r="AL178" s="18" t="str">
        <f t="shared" si="2"/>
        <v>Have you undertaken specification rationalization to enable volume bundling and reduce sourcing complexity?_</v>
      </c>
    </row>
    <row r="179" spans="1:38" ht="43.5" x14ac:dyDescent="0.35">
      <c r="A179" s="32">
        <v>5</v>
      </c>
      <c r="B179" s="32" t="s">
        <v>1451</v>
      </c>
      <c r="C179" s="32" t="s">
        <v>1452</v>
      </c>
      <c r="D179" s="32" t="s">
        <v>1224</v>
      </c>
      <c r="E179" s="32" t="s">
        <v>1453</v>
      </c>
      <c r="F179" s="32"/>
      <c r="G179" s="32" t="s">
        <v>1281</v>
      </c>
      <c r="H179" s="32" t="s">
        <v>1326</v>
      </c>
      <c r="I179" s="32"/>
      <c r="J179" s="32" t="s">
        <v>1239</v>
      </c>
      <c r="K179" s="32" t="s">
        <v>1322</v>
      </c>
      <c r="L179" s="32" t="s">
        <v>1323</v>
      </c>
      <c r="M179" s="32" t="s">
        <v>1324</v>
      </c>
      <c r="N179" s="32" t="s">
        <v>1325</v>
      </c>
      <c r="O179" s="32">
        <v>4</v>
      </c>
      <c r="P179" s="32">
        <v>0.04</v>
      </c>
      <c r="Q179" s="32">
        <v>0.1</v>
      </c>
      <c r="R179" s="32">
        <v>0.8</v>
      </c>
      <c r="S179" s="32">
        <v>6.7857142857142866E-2</v>
      </c>
      <c r="T179" s="32">
        <v>8.2857142857142865E-2</v>
      </c>
      <c r="U179" s="32">
        <v>2714285.714285715</v>
      </c>
      <c r="V179" s="32">
        <v>3314285.714285715</v>
      </c>
      <c r="W179" s="32"/>
      <c r="X179" s="32"/>
      <c r="Y179" s="32"/>
      <c r="Z179" s="32"/>
      <c r="AA179" s="32">
        <v>0.02</v>
      </c>
      <c r="AB179" s="32">
        <v>0.03</v>
      </c>
      <c r="AC179" s="32">
        <v>0.02</v>
      </c>
      <c r="AD179" s="32">
        <v>0.1095890410958904</v>
      </c>
      <c r="AE179" s="32">
        <v>297455.96868884552</v>
      </c>
      <c r="AF179" s="32">
        <v>363209.39334637969</v>
      </c>
      <c r="AG179" s="32" t="s">
        <v>1494</v>
      </c>
      <c r="AH179" s="32" t="s">
        <v>1539</v>
      </c>
      <c r="AI179" s="32" t="s">
        <v>1493</v>
      </c>
      <c r="AJ179" s="32"/>
      <c r="AK179" s="28"/>
      <c r="AL179" s="18" t="str">
        <f t="shared" si="2"/>
        <v>Have you undertaken specification rationalization to enable volume bundling and reduce sourcing complexity?_</v>
      </c>
    </row>
    <row r="180" spans="1:38" ht="43.5" x14ac:dyDescent="0.35">
      <c r="A180" s="32">
        <v>5</v>
      </c>
      <c r="B180" s="32" t="s">
        <v>1451</v>
      </c>
      <c r="C180" s="32" t="s">
        <v>1452</v>
      </c>
      <c r="D180" s="32" t="s">
        <v>1224</v>
      </c>
      <c r="E180" s="32" t="s">
        <v>1453</v>
      </c>
      <c r="F180" s="32"/>
      <c r="G180" s="32" t="s">
        <v>1281</v>
      </c>
      <c r="H180" s="32" t="s">
        <v>1326</v>
      </c>
      <c r="I180" s="32"/>
      <c r="J180" s="32" t="s">
        <v>1239</v>
      </c>
      <c r="K180" s="32" t="s">
        <v>1322</v>
      </c>
      <c r="L180" s="32" t="s">
        <v>1323</v>
      </c>
      <c r="M180" s="32" t="s">
        <v>1324</v>
      </c>
      <c r="N180" s="32" t="s">
        <v>1325</v>
      </c>
      <c r="O180" s="32">
        <v>4</v>
      </c>
      <c r="P180" s="32">
        <v>0.04</v>
      </c>
      <c r="Q180" s="32">
        <v>0.1</v>
      </c>
      <c r="R180" s="32">
        <v>0.8</v>
      </c>
      <c r="S180" s="32">
        <v>6.7857142857142866E-2</v>
      </c>
      <c r="T180" s="32">
        <v>8.2857142857142865E-2</v>
      </c>
      <c r="U180" s="32">
        <v>2714285.714285715</v>
      </c>
      <c r="V180" s="32">
        <v>3314285.714285715</v>
      </c>
      <c r="W180" s="32"/>
      <c r="X180" s="32"/>
      <c r="Y180" s="32"/>
      <c r="Z180" s="32"/>
      <c r="AA180" s="32">
        <v>0.02</v>
      </c>
      <c r="AB180" s="32">
        <v>0.03</v>
      </c>
      <c r="AC180" s="32">
        <v>0.02</v>
      </c>
      <c r="AD180" s="32">
        <v>0.1095890410958904</v>
      </c>
      <c r="AE180" s="32">
        <v>297455.96868884552</v>
      </c>
      <c r="AF180" s="32">
        <v>363209.39334637969</v>
      </c>
      <c r="AG180" s="32" t="s">
        <v>1495</v>
      </c>
      <c r="AH180" s="32"/>
      <c r="AI180" s="32" t="s">
        <v>1493</v>
      </c>
      <c r="AJ180" s="32"/>
      <c r="AK180" s="28"/>
      <c r="AL180" s="18" t="str">
        <f t="shared" si="2"/>
        <v>Have you undertaken specification rationalization to enable volume bundling and reduce sourcing complexity?_</v>
      </c>
    </row>
    <row r="181" spans="1:38" ht="43.5" x14ac:dyDescent="0.35">
      <c r="A181" s="32">
        <v>5</v>
      </c>
      <c r="B181" s="32" t="s">
        <v>1451</v>
      </c>
      <c r="C181" s="32" t="s">
        <v>1452</v>
      </c>
      <c r="D181" s="32" t="s">
        <v>1224</v>
      </c>
      <c r="E181" s="32" t="s">
        <v>1453</v>
      </c>
      <c r="F181" s="32"/>
      <c r="G181" s="32" t="s">
        <v>1281</v>
      </c>
      <c r="H181" s="32" t="s">
        <v>1326</v>
      </c>
      <c r="I181" s="32"/>
      <c r="J181" s="32" t="s">
        <v>1239</v>
      </c>
      <c r="K181" s="32" t="s">
        <v>1322</v>
      </c>
      <c r="L181" s="32" t="s">
        <v>1323</v>
      </c>
      <c r="M181" s="32" t="s">
        <v>1324</v>
      </c>
      <c r="N181" s="32" t="s">
        <v>1325</v>
      </c>
      <c r="O181" s="32">
        <v>4</v>
      </c>
      <c r="P181" s="32">
        <v>0.04</v>
      </c>
      <c r="Q181" s="32">
        <v>0.1</v>
      </c>
      <c r="R181" s="32">
        <v>0.8</v>
      </c>
      <c r="S181" s="32">
        <v>6.7857142857142866E-2</v>
      </c>
      <c r="T181" s="32">
        <v>8.2857142857142865E-2</v>
      </c>
      <c r="U181" s="32">
        <v>2714285.714285715</v>
      </c>
      <c r="V181" s="32">
        <v>3314285.714285715</v>
      </c>
      <c r="W181" s="32"/>
      <c r="X181" s="32"/>
      <c r="Y181" s="32"/>
      <c r="Z181" s="32"/>
      <c r="AA181" s="32">
        <v>0.02</v>
      </c>
      <c r="AB181" s="32">
        <v>0.03</v>
      </c>
      <c r="AC181" s="32">
        <v>0.02</v>
      </c>
      <c r="AD181" s="32">
        <v>0.1095890410958904</v>
      </c>
      <c r="AE181" s="32">
        <v>297455.96868884552</v>
      </c>
      <c r="AF181" s="32">
        <v>363209.39334637969</v>
      </c>
      <c r="AG181" s="32" t="s">
        <v>1496</v>
      </c>
      <c r="AH181" s="32"/>
      <c r="AI181" s="32" t="s">
        <v>1493</v>
      </c>
      <c r="AJ181" s="32"/>
      <c r="AK181" s="28"/>
      <c r="AL181" s="18" t="str">
        <f t="shared" si="2"/>
        <v>Have you undertaken specification rationalization to enable volume bundling and reduce sourcing complexity?_</v>
      </c>
    </row>
    <row r="182" spans="1:38" ht="43.5" x14ac:dyDescent="0.35">
      <c r="A182" s="32">
        <v>5</v>
      </c>
      <c r="B182" s="32" t="s">
        <v>1451</v>
      </c>
      <c r="C182" s="32" t="s">
        <v>1452</v>
      </c>
      <c r="D182" s="32" t="s">
        <v>1224</v>
      </c>
      <c r="E182" s="32" t="s">
        <v>1453</v>
      </c>
      <c r="F182" s="32"/>
      <c r="G182" s="32" t="s">
        <v>1281</v>
      </c>
      <c r="H182" s="32" t="s">
        <v>1326</v>
      </c>
      <c r="I182" s="32"/>
      <c r="J182" s="32" t="s">
        <v>1239</v>
      </c>
      <c r="K182" s="32" t="s">
        <v>1322</v>
      </c>
      <c r="L182" s="32" t="s">
        <v>1323</v>
      </c>
      <c r="M182" s="32" t="s">
        <v>1324</v>
      </c>
      <c r="N182" s="32" t="s">
        <v>1325</v>
      </c>
      <c r="O182" s="32">
        <v>4</v>
      </c>
      <c r="P182" s="32">
        <v>0.04</v>
      </c>
      <c r="Q182" s="32">
        <v>0.1</v>
      </c>
      <c r="R182" s="32">
        <v>0.8</v>
      </c>
      <c r="S182" s="32">
        <v>6.7857142857142866E-2</v>
      </c>
      <c r="T182" s="32">
        <v>8.2857142857142865E-2</v>
      </c>
      <c r="U182" s="32">
        <v>2714285.714285715</v>
      </c>
      <c r="V182" s="32">
        <v>3314285.714285715</v>
      </c>
      <c r="W182" s="32"/>
      <c r="X182" s="32"/>
      <c r="Y182" s="32"/>
      <c r="Z182" s="32"/>
      <c r="AA182" s="32">
        <v>0.02</v>
      </c>
      <c r="AB182" s="32">
        <v>0.03</v>
      </c>
      <c r="AC182" s="32">
        <v>0.02</v>
      </c>
      <c r="AD182" s="32">
        <v>0.1095890410958904</v>
      </c>
      <c r="AE182" s="32">
        <v>297455.96868884552</v>
      </c>
      <c r="AF182" s="32">
        <v>363209.39334637969</v>
      </c>
      <c r="AG182" s="32" t="s">
        <v>1499</v>
      </c>
      <c r="AH182" s="32"/>
      <c r="AI182" s="32" t="s">
        <v>1493</v>
      </c>
      <c r="AJ182" s="32"/>
      <c r="AK182" s="28"/>
      <c r="AL182" s="18" t="str">
        <f t="shared" si="2"/>
        <v>Have you undertaken specification rationalization to enable volume bundling and reduce sourcing complexity?_</v>
      </c>
    </row>
    <row r="183" spans="1:38" ht="43.5" x14ac:dyDescent="0.35">
      <c r="A183" s="32">
        <v>5</v>
      </c>
      <c r="B183" s="32" t="s">
        <v>1451</v>
      </c>
      <c r="C183" s="32" t="s">
        <v>1452</v>
      </c>
      <c r="D183" s="32" t="s">
        <v>1224</v>
      </c>
      <c r="E183" s="32" t="s">
        <v>1453</v>
      </c>
      <c r="F183" s="32"/>
      <c r="G183" s="32" t="s">
        <v>1281</v>
      </c>
      <c r="H183" s="32" t="s">
        <v>1326</v>
      </c>
      <c r="I183" s="32"/>
      <c r="J183" s="32" t="s">
        <v>1239</v>
      </c>
      <c r="K183" s="32" t="s">
        <v>1322</v>
      </c>
      <c r="L183" s="32" t="s">
        <v>1323</v>
      </c>
      <c r="M183" s="32" t="s">
        <v>1324</v>
      </c>
      <c r="N183" s="32" t="s">
        <v>1325</v>
      </c>
      <c r="O183" s="32">
        <v>4</v>
      </c>
      <c r="P183" s="32">
        <v>0.04</v>
      </c>
      <c r="Q183" s="32">
        <v>0.1</v>
      </c>
      <c r="R183" s="32">
        <v>0.8</v>
      </c>
      <c r="S183" s="32">
        <v>6.7857142857142866E-2</v>
      </c>
      <c r="T183" s="32">
        <v>8.2857142857142865E-2</v>
      </c>
      <c r="U183" s="32">
        <v>2714285.714285715</v>
      </c>
      <c r="V183" s="32">
        <v>3314285.714285715</v>
      </c>
      <c r="W183" s="32"/>
      <c r="X183" s="32"/>
      <c r="Y183" s="32"/>
      <c r="Z183" s="32"/>
      <c r="AA183" s="32">
        <v>0.02</v>
      </c>
      <c r="AB183" s="32">
        <v>0.03</v>
      </c>
      <c r="AC183" s="32">
        <v>0.02</v>
      </c>
      <c r="AD183" s="32">
        <v>0.1095890410958904</v>
      </c>
      <c r="AE183" s="32">
        <v>297455.96868884552</v>
      </c>
      <c r="AF183" s="32">
        <v>363209.39334637969</v>
      </c>
      <c r="AG183" s="32" t="s">
        <v>1500</v>
      </c>
      <c r="AH183" s="32"/>
      <c r="AI183" s="32" t="s">
        <v>1493</v>
      </c>
      <c r="AJ183" s="32"/>
      <c r="AK183" s="28"/>
      <c r="AL183" s="18" t="str">
        <f t="shared" si="2"/>
        <v>Have you undertaken specification rationalization to enable volume bundling and reduce sourcing complexity?_</v>
      </c>
    </row>
    <row r="184" spans="1:38" ht="43.5" x14ac:dyDescent="0.35">
      <c r="A184" s="32">
        <v>5</v>
      </c>
      <c r="B184" s="32" t="s">
        <v>1451</v>
      </c>
      <c r="C184" s="32" t="s">
        <v>1452</v>
      </c>
      <c r="D184" s="32" t="s">
        <v>1224</v>
      </c>
      <c r="E184" s="32" t="s">
        <v>1453</v>
      </c>
      <c r="F184" s="32"/>
      <c r="G184" s="32" t="s">
        <v>1281</v>
      </c>
      <c r="H184" s="32" t="s">
        <v>1326</v>
      </c>
      <c r="I184" s="32"/>
      <c r="J184" s="32" t="s">
        <v>1239</v>
      </c>
      <c r="K184" s="32" t="s">
        <v>1322</v>
      </c>
      <c r="L184" s="32" t="s">
        <v>1323</v>
      </c>
      <c r="M184" s="32" t="s">
        <v>1324</v>
      </c>
      <c r="N184" s="32" t="s">
        <v>1325</v>
      </c>
      <c r="O184" s="32">
        <v>4</v>
      </c>
      <c r="P184" s="32">
        <v>0.04</v>
      </c>
      <c r="Q184" s="32">
        <v>0.1</v>
      </c>
      <c r="R184" s="32">
        <v>0.8</v>
      </c>
      <c r="S184" s="32">
        <v>6.7857142857142866E-2</v>
      </c>
      <c r="T184" s="32">
        <v>8.2857142857142865E-2</v>
      </c>
      <c r="U184" s="32">
        <v>2714285.714285715</v>
      </c>
      <c r="V184" s="32">
        <v>3314285.714285715</v>
      </c>
      <c r="W184" s="32"/>
      <c r="X184" s="32"/>
      <c r="Y184" s="32"/>
      <c r="Z184" s="32"/>
      <c r="AA184" s="32">
        <v>0.02</v>
      </c>
      <c r="AB184" s="32">
        <v>0.03</v>
      </c>
      <c r="AC184" s="32">
        <v>0.02</v>
      </c>
      <c r="AD184" s="32">
        <v>0.1095890410958904</v>
      </c>
      <c r="AE184" s="32">
        <v>297455.96868884552</v>
      </c>
      <c r="AF184" s="32">
        <v>363209.39334637969</v>
      </c>
      <c r="AG184" s="32" t="s">
        <v>1501</v>
      </c>
      <c r="AH184" s="32"/>
      <c r="AI184" s="32" t="s">
        <v>1493</v>
      </c>
      <c r="AJ184" s="32"/>
      <c r="AK184" s="28"/>
      <c r="AL184" s="18" t="str">
        <f t="shared" si="2"/>
        <v>Have you undertaken specification rationalization to enable volume bundling and reduce sourcing complexity?_</v>
      </c>
    </row>
    <row r="185" spans="1:38" ht="43.5" x14ac:dyDescent="0.35">
      <c r="A185" s="32">
        <v>5</v>
      </c>
      <c r="B185" s="32" t="s">
        <v>1451</v>
      </c>
      <c r="C185" s="32" t="s">
        <v>1452</v>
      </c>
      <c r="D185" s="32" t="s">
        <v>1224</v>
      </c>
      <c r="E185" s="32" t="s">
        <v>1453</v>
      </c>
      <c r="F185" s="32"/>
      <c r="G185" s="32" t="s">
        <v>1281</v>
      </c>
      <c r="H185" s="32" t="s">
        <v>1326</v>
      </c>
      <c r="I185" s="32"/>
      <c r="J185" s="32" t="s">
        <v>1239</v>
      </c>
      <c r="K185" s="32" t="s">
        <v>1322</v>
      </c>
      <c r="L185" s="32" t="s">
        <v>1323</v>
      </c>
      <c r="M185" s="32" t="s">
        <v>1324</v>
      </c>
      <c r="N185" s="32" t="s">
        <v>1325</v>
      </c>
      <c r="O185" s="32">
        <v>4</v>
      </c>
      <c r="P185" s="32">
        <v>0.04</v>
      </c>
      <c r="Q185" s="32">
        <v>0.1</v>
      </c>
      <c r="R185" s="32">
        <v>0.8</v>
      </c>
      <c r="S185" s="32">
        <v>6.7857142857142866E-2</v>
      </c>
      <c r="T185" s="32">
        <v>8.2857142857142865E-2</v>
      </c>
      <c r="U185" s="32">
        <v>2714285.714285715</v>
      </c>
      <c r="V185" s="32">
        <v>3314285.714285715</v>
      </c>
      <c r="W185" s="32"/>
      <c r="X185" s="32"/>
      <c r="Y185" s="32"/>
      <c r="Z185" s="32"/>
      <c r="AA185" s="32">
        <v>0.02</v>
      </c>
      <c r="AB185" s="32">
        <v>0.03</v>
      </c>
      <c r="AC185" s="32">
        <v>0.02</v>
      </c>
      <c r="AD185" s="32">
        <v>0.1095890410958904</v>
      </c>
      <c r="AE185" s="32">
        <v>297455.96868884552</v>
      </c>
      <c r="AF185" s="32">
        <v>363209.39334637969</v>
      </c>
      <c r="AG185" s="32" t="s">
        <v>1502</v>
      </c>
      <c r="AH185" s="32"/>
      <c r="AI185" s="32" t="s">
        <v>1493</v>
      </c>
      <c r="AJ185" s="32"/>
      <c r="AK185" s="28"/>
      <c r="AL185" s="18" t="str">
        <f t="shared" si="2"/>
        <v>Have you undertaken specification rationalization to enable volume bundling and reduce sourcing complexity?_</v>
      </c>
    </row>
    <row r="186" spans="1:38" ht="43.5" x14ac:dyDescent="0.35">
      <c r="A186" s="32">
        <v>5</v>
      </c>
      <c r="B186" s="32" t="s">
        <v>1451</v>
      </c>
      <c r="C186" s="32" t="s">
        <v>1452</v>
      </c>
      <c r="D186" s="32" t="s">
        <v>1224</v>
      </c>
      <c r="E186" s="32" t="s">
        <v>1453</v>
      </c>
      <c r="F186" s="32"/>
      <c r="G186" s="32" t="s">
        <v>1281</v>
      </c>
      <c r="H186" s="32" t="s">
        <v>1326</v>
      </c>
      <c r="I186" s="32"/>
      <c r="J186" s="32" t="s">
        <v>1239</v>
      </c>
      <c r="K186" s="32" t="s">
        <v>1322</v>
      </c>
      <c r="L186" s="32" t="s">
        <v>1323</v>
      </c>
      <c r="M186" s="32" t="s">
        <v>1324</v>
      </c>
      <c r="N186" s="32" t="s">
        <v>1325</v>
      </c>
      <c r="O186" s="32">
        <v>4</v>
      </c>
      <c r="P186" s="32">
        <v>0.04</v>
      </c>
      <c r="Q186" s="32">
        <v>0.1</v>
      </c>
      <c r="R186" s="32">
        <v>0.8</v>
      </c>
      <c r="S186" s="32">
        <v>6.7857142857142866E-2</v>
      </c>
      <c r="T186" s="32">
        <v>8.2857142857142865E-2</v>
      </c>
      <c r="U186" s="32">
        <v>2714285.714285715</v>
      </c>
      <c r="V186" s="32">
        <v>3314285.714285715</v>
      </c>
      <c r="W186" s="32"/>
      <c r="X186" s="32"/>
      <c r="Y186" s="32"/>
      <c r="Z186" s="32"/>
      <c r="AA186" s="32">
        <v>0.02</v>
      </c>
      <c r="AB186" s="32">
        <v>0.03</v>
      </c>
      <c r="AC186" s="32">
        <v>0.02</v>
      </c>
      <c r="AD186" s="32">
        <v>0.1095890410958904</v>
      </c>
      <c r="AE186" s="32">
        <v>297455.96868884552</v>
      </c>
      <c r="AF186" s="32">
        <v>363209.39334637969</v>
      </c>
      <c r="AG186" s="32" t="s">
        <v>1503</v>
      </c>
      <c r="AH186" s="32"/>
      <c r="AI186" s="32" t="s">
        <v>1493</v>
      </c>
      <c r="AJ186" s="32"/>
      <c r="AK186" s="28"/>
      <c r="AL186" s="18" t="str">
        <f t="shared" si="2"/>
        <v>Have you undertaken specification rationalization to enable volume bundling and reduce sourcing complexity?_</v>
      </c>
    </row>
    <row r="187" spans="1:38" ht="43.5" x14ac:dyDescent="0.35">
      <c r="A187" s="32">
        <v>5</v>
      </c>
      <c r="B187" s="32" t="s">
        <v>1451</v>
      </c>
      <c r="C187" s="32" t="s">
        <v>1452</v>
      </c>
      <c r="D187" s="32" t="s">
        <v>1224</v>
      </c>
      <c r="E187" s="32" t="s">
        <v>1453</v>
      </c>
      <c r="F187" s="32"/>
      <c r="G187" s="32" t="s">
        <v>1281</v>
      </c>
      <c r="H187" s="32" t="s">
        <v>1326</v>
      </c>
      <c r="I187" s="32"/>
      <c r="J187" s="32" t="s">
        <v>1239</v>
      </c>
      <c r="K187" s="32" t="s">
        <v>1322</v>
      </c>
      <c r="L187" s="32" t="s">
        <v>1323</v>
      </c>
      <c r="M187" s="32" t="s">
        <v>1324</v>
      </c>
      <c r="N187" s="32" t="s">
        <v>1325</v>
      </c>
      <c r="O187" s="32">
        <v>4</v>
      </c>
      <c r="P187" s="32">
        <v>0.04</v>
      </c>
      <c r="Q187" s="32">
        <v>0.1</v>
      </c>
      <c r="R187" s="32">
        <v>0.8</v>
      </c>
      <c r="S187" s="32">
        <v>6.7857142857142866E-2</v>
      </c>
      <c r="T187" s="32">
        <v>8.2857142857142865E-2</v>
      </c>
      <c r="U187" s="32">
        <v>2714285.714285715</v>
      </c>
      <c r="V187" s="32">
        <v>3314285.714285715</v>
      </c>
      <c r="W187" s="32"/>
      <c r="X187" s="32"/>
      <c r="Y187" s="32"/>
      <c r="Z187" s="32"/>
      <c r="AA187" s="32">
        <v>0.02</v>
      </c>
      <c r="AB187" s="32">
        <v>0.03</v>
      </c>
      <c r="AC187" s="32">
        <v>0.02</v>
      </c>
      <c r="AD187" s="32">
        <v>0.1095890410958904</v>
      </c>
      <c r="AE187" s="32">
        <v>297455.96868884552</v>
      </c>
      <c r="AF187" s="32">
        <v>363209.39334637969</v>
      </c>
      <c r="AG187" s="32" t="s">
        <v>1504</v>
      </c>
      <c r="AH187" s="32"/>
      <c r="AI187" s="32" t="s">
        <v>1493</v>
      </c>
      <c r="AJ187" s="32"/>
      <c r="AK187" s="28"/>
      <c r="AL187" s="18" t="str">
        <f t="shared" si="2"/>
        <v>Have you undertaken specification rationalization to enable volume bundling and reduce sourcing complexity?_</v>
      </c>
    </row>
    <row r="188" spans="1:38" ht="43.5" x14ac:dyDescent="0.35">
      <c r="A188" s="32">
        <v>5</v>
      </c>
      <c r="B188" s="32" t="s">
        <v>1451</v>
      </c>
      <c r="C188" s="32" t="s">
        <v>1452</v>
      </c>
      <c r="D188" s="32" t="s">
        <v>1224</v>
      </c>
      <c r="E188" s="32" t="s">
        <v>1453</v>
      </c>
      <c r="F188" s="32"/>
      <c r="G188" s="32" t="s">
        <v>1281</v>
      </c>
      <c r="H188" s="32" t="s">
        <v>1326</v>
      </c>
      <c r="I188" s="32"/>
      <c r="J188" s="32" t="s">
        <v>1239</v>
      </c>
      <c r="K188" s="32" t="s">
        <v>1322</v>
      </c>
      <c r="L188" s="32" t="s">
        <v>1323</v>
      </c>
      <c r="M188" s="32" t="s">
        <v>1324</v>
      </c>
      <c r="N188" s="32" t="s">
        <v>1325</v>
      </c>
      <c r="O188" s="32">
        <v>4</v>
      </c>
      <c r="P188" s="32">
        <v>0.04</v>
      </c>
      <c r="Q188" s="32">
        <v>0.1</v>
      </c>
      <c r="R188" s="32">
        <v>0.8</v>
      </c>
      <c r="S188" s="32">
        <v>6.7857142857142866E-2</v>
      </c>
      <c r="T188" s="32">
        <v>8.2857142857142865E-2</v>
      </c>
      <c r="U188" s="32">
        <v>2714285.714285715</v>
      </c>
      <c r="V188" s="32">
        <v>3314285.714285715</v>
      </c>
      <c r="W188" s="32"/>
      <c r="X188" s="32"/>
      <c r="Y188" s="32"/>
      <c r="Z188" s="32"/>
      <c r="AA188" s="32">
        <v>0.02</v>
      </c>
      <c r="AB188" s="32">
        <v>0.03</v>
      </c>
      <c r="AC188" s="32">
        <v>0.02</v>
      </c>
      <c r="AD188" s="32">
        <v>0.1095890410958904</v>
      </c>
      <c r="AE188" s="32">
        <v>297455.96868884552</v>
      </c>
      <c r="AF188" s="32">
        <v>363209.39334637969</v>
      </c>
      <c r="AG188" s="32" t="s">
        <v>1505</v>
      </c>
      <c r="AH188" s="32"/>
      <c r="AI188" s="32" t="s">
        <v>1493</v>
      </c>
      <c r="AJ188" s="32"/>
      <c r="AK188" s="28"/>
      <c r="AL188" s="18" t="str">
        <f t="shared" si="2"/>
        <v>Have you undertaken specification rationalization to enable volume bundling and reduce sourcing complexity?_</v>
      </c>
    </row>
    <row r="189" spans="1:38" ht="43.5" x14ac:dyDescent="0.35">
      <c r="A189" s="32">
        <v>5</v>
      </c>
      <c r="B189" s="32" t="s">
        <v>1451</v>
      </c>
      <c r="C189" s="32" t="s">
        <v>1452</v>
      </c>
      <c r="D189" s="32" t="s">
        <v>1224</v>
      </c>
      <c r="E189" s="32" t="s">
        <v>1453</v>
      </c>
      <c r="F189" s="32"/>
      <c r="G189" s="32" t="s">
        <v>1281</v>
      </c>
      <c r="H189" s="32" t="s">
        <v>1326</v>
      </c>
      <c r="I189" s="32"/>
      <c r="J189" s="32" t="s">
        <v>1239</v>
      </c>
      <c r="K189" s="32" t="s">
        <v>1322</v>
      </c>
      <c r="L189" s="32" t="s">
        <v>1323</v>
      </c>
      <c r="M189" s="32" t="s">
        <v>1324</v>
      </c>
      <c r="N189" s="32" t="s">
        <v>1325</v>
      </c>
      <c r="O189" s="32">
        <v>4</v>
      </c>
      <c r="P189" s="32">
        <v>0.04</v>
      </c>
      <c r="Q189" s="32">
        <v>0.1</v>
      </c>
      <c r="R189" s="32">
        <v>0.8</v>
      </c>
      <c r="S189" s="32">
        <v>6.7857142857142866E-2</v>
      </c>
      <c r="T189" s="32">
        <v>8.2857142857142865E-2</v>
      </c>
      <c r="U189" s="32">
        <v>2714285.714285715</v>
      </c>
      <c r="V189" s="32">
        <v>3314285.714285715</v>
      </c>
      <c r="W189" s="32"/>
      <c r="X189" s="32"/>
      <c r="Y189" s="32"/>
      <c r="Z189" s="32"/>
      <c r="AA189" s="32">
        <v>0.02</v>
      </c>
      <c r="AB189" s="32">
        <v>0.03</v>
      </c>
      <c r="AC189" s="32">
        <v>0.02</v>
      </c>
      <c r="AD189" s="32">
        <v>0.1095890410958904</v>
      </c>
      <c r="AE189" s="32">
        <v>297455.96868884552</v>
      </c>
      <c r="AF189" s="32">
        <v>363209.39334637969</v>
      </c>
      <c r="AG189" s="32" t="s">
        <v>1506</v>
      </c>
      <c r="AH189" s="32"/>
      <c r="AI189" s="32" t="s">
        <v>1493</v>
      </c>
      <c r="AJ189" s="32"/>
      <c r="AK189" s="28"/>
      <c r="AL189" s="18" t="str">
        <f t="shared" si="2"/>
        <v>Have you undertaken specification rationalization to enable volume bundling and reduce sourcing complexity?_</v>
      </c>
    </row>
    <row r="190" spans="1:38" ht="43.5" x14ac:dyDescent="0.35">
      <c r="A190" s="32">
        <v>5</v>
      </c>
      <c r="B190" s="32" t="s">
        <v>1451</v>
      </c>
      <c r="C190" s="32" t="s">
        <v>1452</v>
      </c>
      <c r="D190" s="32" t="s">
        <v>1224</v>
      </c>
      <c r="E190" s="32" t="s">
        <v>1453</v>
      </c>
      <c r="F190" s="32"/>
      <c r="G190" s="32" t="s">
        <v>1281</v>
      </c>
      <c r="H190" s="32" t="s">
        <v>1326</v>
      </c>
      <c r="I190" s="32"/>
      <c r="J190" s="32" t="s">
        <v>1239</v>
      </c>
      <c r="K190" s="32" t="s">
        <v>1322</v>
      </c>
      <c r="L190" s="32" t="s">
        <v>1323</v>
      </c>
      <c r="M190" s="32" t="s">
        <v>1324</v>
      </c>
      <c r="N190" s="32" t="s">
        <v>1325</v>
      </c>
      <c r="O190" s="32">
        <v>4</v>
      </c>
      <c r="P190" s="32">
        <v>0.04</v>
      </c>
      <c r="Q190" s="32">
        <v>0.1</v>
      </c>
      <c r="R190" s="32">
        <v>0.8</v>
      </c>
      <c r="S190" s="32">
        <v>6.7857142857142866E-2</v>
      </c>
      <c r="T190" s="32">
        <v>8.2857142857142865E-2</v>
      </c>
      <c r="U190" s="32">
        <v>2714285.714285715</v>
      </c>
      <c r="V190" s="32">
        <v>3314285.714285715</v>
      </c>
      <c r="W190" s="32"/>
      <c r="X190" s="32"/>
      <c r="Y190" s="32"/>
      <c r="Z190" s="32"/>
      <c r="AA190" s="32">
        <v>0.02</v>
      </c>
      <c r="AB190" s="32">
        <v>0.03</v>
      </c>
      <c r="AC190" s="32">
        <v>0.02</v>
      </c>
      <c r="AD190" s="32">
        <v>0.1095890410958904</v>
      </c>
      <c r="AE190" s="32">
        <v>297455.96868884552</v>
      </c>
      <c r="AF190" s="32">
        <v>363209.39334637969</v>
      </c>
      <c r="AG190" s="32" t="s">
        <v>1507</v>
      </c>
      <c r="AH190" s="32"/>
      <c r="AI190" s="32" t="s">
        <v>1493</v>
      </c>
      <c r="AJ190" s="32"/>
      <c r="AK190" s="28"/>
      <c r="AL190" s="18" t="str">
        <f t="shared" si="2"/>
        <v>Have you undertaken specification rationalization to enable volume bundling and reduce sourcing complexity?_</v>
      </c>
    </row>
    <row r="191" spans="1:38" ht="43.5" x14ac:dyDescent="0.35">
      <c r="A191" s="32">
        <v>5</v>
      </c>
      <c r="B191" s="32" t="s">
        <v>1451</v>
      </c>
      <c r="C191" s="32" t="s">
        <v>1452</v>
      </c>
      <c r="D191" s="32" t="s">
        <v>1224</v>
      </c>
      <c r="E191" s="32" t="s">
        <v>1453</v>
      </c>
      <c r="F191" s="32"/>
      <c r="G191" s="32" t="s">
        <v>1281</v>
      </c>
      <c r="H191" s="32" t="s">
        <v>1326</v>
      </c>
      <c r="I191" s="32"/>
      <c r="J191" s="32" t="s">
        <v>1239</v>
      </c>
      <c r="K191" s="32" t="s">
        <v>1322</v>
      </c>
      <c r="L191" s="32" t="s">
        <v>1323</v>
      </c>
      <c r="M191" s="32" t="s">
        <v>1324</v>
      </c>
      <c r="N191" s="32" t="s">
        <v>1325</v>
      </c>
      <c r="O191" s="32">
        <v>4</v>
      </c>
      <c r="P191" s="32">
        <v>0.04</v>
      </c>
      <c r="Q191" s="32">
        <v>0.1</v>
      </c>
      <c r="R191" s="32">
        <v>0.8</v>
      </c>
      <c r="S191" s="32">
        <v>6.7857142857142866E-2</v>
      </c>
      <c r="T191" s="32">
        <v>8.2857142857142865E-2</v>
      </c>
      <c r="U191" s="32">
        <v>2714285.714285715</v>
      </c>
      <c r="V191" s="32">
        <v>3314285.714285715</v>
      </c>
      <c r="W191" s="32"/>
      <c r="X191" s="32"/>
      <c r="Y191" s="32"/>
      <c r="Z191" s="32"/>
      <c r="AA191" s="32">
        <v>0.02</v>
      </c>
      <c r="AB191" s="32">
        <v>0.03</v>
      </c>
      <c r="AC191" s="32">
        <v>0.02</v>
      </c>
      <c r="AD191" s="32">
        <v>0.1095890410958904</v>
      </c>
      <c r="AE191" s="32">
        <v>297455.96868884552</v>
      </c>
      <c r="AF191" s="32">
        <v>363209.39334637969</v>
      </c>
      <c r="AG191" s="32" t="s">
        <v>1508</v>
      </c>
      <c r="AH191" s="32"/>
      <c r="AI191" s="32" t="s">
        <v>1493</v>
      </c>
      <c r="AJ191" s="32"/>
      <c r="AK191" s="28"/>
      <c r="AL191" s="18" t="str">
        <f t="shared" si="2"/>
        <v>Have you undertaken specification rationalization to enable volume bundling and reduce sourcing complexity?_</v>
      </c>
    </row>
    <row r="192" spans="1:38" ht="43.5" x14ac:dyDescent="0.35">
      <c r="A192" s="32">
        <v>5</v>
      </c>
      <c r="B192" s="32" t="s">
        <v>1451</v>
      </c>
      <c r="C192" s="32" t="s">
        <v>1452</v>
      </c>
      <c r="D192" s="32" t="s">
        <v>1224</v>
      </c>
      <c r="E192" s="32" t="s">
        <v>1453</v>
      </c>
      <c r="F192" s="32"/>
      <c r="G192" s="32" t="s">
        <v>1281</v>
      </c>
      <c r="H192" s="32" t="s">
        <v>1326</v>
      </c>
      <c r="I192" s="32"/>
      <c r="J192" s="32" t="s">
        <v>1239</v>
      </c>
      <c r="K192" s="32" t="s">
        <v>1322</v>
      </c>
      <c r="L192" s="32" t="s">
        <v>1323</v>
      </c>
      <c r="M192" s="32" t="s">
        <v>1324</v>
      </c>
      <c r="N192" s="32" t="s">
        <v>1325</v>
      </c>
      <c r="O192" s="32">
        <v>4</v>
      </c>
      <c r="P192" s="32">
        <v>0.04</v>
      </c>
      <c r="Q192" s="32">
        <v>0.1</v>
      </c>
      <c r="R192" s="32">
        <v>0.8</v>
      </c>
      <c r="S192" s="32">
        <v>6.7857142857142866E-2</v>
      </c>
      <c r="T192" s="32">
        <v>8.2857142857142865E-2</v>
      </c>
      <c r="U192" s="32">
        <v>2714285.714285715</v>
      </c>
      <c r="V192" s="32">
        <v>3314285.714285715</v>
      </c>
      <c r="W192" s="32"/>
      <c r="X192" s="32"/>
      <c r="Y192" s="32"/>
      <c r="Z192" s="32"/>
      <c r="AA192" s="32">
        <v>0.02</v>
      </c>
      <c r="AB192" s="32">
        <v>0.03</v>
      </c>
      <c r="AC192" s="32">
        <v>0.02</v>
      </c>
      <c r="AD192" s="32">
        <v>0.1095890410958904</v>
      </c>
      <c r="AE192" s="32">
        <v>297455.96868884552</v>
      </c>
      <c r="AF192" s="32">
        <v>363209.39334637969</v>
      </c>
      <c r="AG192" s="32" t="s">
        <v>1509</v>
      </c>
      <c r="AH192" s="32"/>
      <c r="AI192" s="32" t="s">
        <v>1493</v>
      </c>
      <c r="AJ192" s="32"/>
      <c r="AK192" s="28"/>
      <c r="AL192" s="18" t="str">
        <f t="shared" si="2"/>
        <v>Have you undertaken specification rationalization to enable volume bundling and reduce sourcing complexity?_</v>
      </c>
    </row>
    <row r="193" spans="1:38" ht="43.5" x14ac:dyDescent="0.35">
      <c r="A193" s="32">
        <v>5</v>
      </c>
      <c r="B193" s="32" t="s">
        <v>1451</v>
      </c>
      <c r="C193" s="32" t="s">
        <v>1452</v>
      </c>
      <c r="D193" s="32" t="s">
        <v>1224</v>
      </c>
      <c r="E193" s="32" t="s">
        <v>1453</v>
      </c>
      <c r="F193" s="32"/>
      <c r="G193" s="32" t="s">
        <v>1281</v>
      </c>
      <c r="H193" s="32" t="s">
        <v>1326</v>
      </c>
      <c r="I193" s="32"/>
      <c r="J193" s="32" t="s">
        <v>1239</v>
      </c>
      <c r="K193" s="32" t="s">
        <v>1322</v>
      </c>
      <c r="L193" s="32" t="s">
        <v>1323</v>
      </c>
      <c r="M193" s="32" t="s">
        <v>1324</v>
      </c>
      <c r="N193" s="32" t="s">
        <v>1325</v>
      </c>
      <c r="O193" s="32">
        <v>4</v>
      </c>
      <c r="P193" s="32">
        <v>0.04</v>
      </c>
      <c r="Q193" s="32">
        <v>0.1</v>
      </c>
      <c r="R193" s="32">
        <v>0.8</v>
      </c>
      <c r="S193" s="32">
        <v>6.7857142857142866E-2</v>
      </c>
      <c r="T193" s="32">
        <v>8.2857142857142865E-2</v>
      </c>
      <c r="U193" s="32">
        <v>2714285.714285715</v>
      </c>
      <c r="V193" s="32">
        <v>3314285.714285715</v>
      </c>
      <c r="W193" s="32"/>
      <c r="X193" s="32"/>
      <c r="Y193" s="32"/>
      <c r="Z193" s="32"/>
      <c r="AA193" s="32">
        <v>0.02</v>
      </c>
      <c r="AB193" s="32">
        <v>0.03</v>
      </c>
      <c r="AC193" s="32">
        <v>0.02</v>
      </c>
      <c r="AD193" s="32">
        <v>0.1095890410958904</v>
      </c>
      <c r="AE193" s="32">
        <v>297455.96868884552</v>
      </c>
      <c r="AF193" s="32">
        <v>363209.39334637969</v>
      </c>
      <c r="AG193" s="32" t="s">
        <v>1510</v>
      </c>
      <c r="AH193" s="32"/>
      <c r="AI193" s="32" t="s">
        <v>1493</v>
      </c>
      <c r="AJ193" s="32"/>
      <c r="AK193" s="28"/>
      <c r="AL193" s="18" t="str">
        <f t="shared" si="2"/>
        <v>Have you undertaken specification rationalization to enable volume bundling and reduce sourcing complexity?_</v>
      </c>
    </row>
    <row r="194" spans="1:38" ht="43.5" x14ac:dyDescent="0.35">
      <c r="A194" s="32">
        <v>5</v>
      </c>
      <c r="B194" s="32" t="s">
        <v>1451</v>
      </c>
      <c r="C194" s="32" t="s">
        <v>1452</v>
      </c>
      <c r="D194" s="32" t="s">
        <v>1224</v>
      </c>
      <c r="E194" s="32" t="s">
        <v>1453</v>
      </c>
      <c r="F194" s="32"/>
      <c r="G194" s="32" t="s">
        <v>1281</v>
      </c>
      <c r="H194" s="32" t="s">
        <v>1326</v>
      </c>
      <c r="I194" s="32"/>
      <c r="J194" s="32" t="s">
        <v>1239</v>
      </c>
      <c r="K194" s="32" t="s">
        <v>1322</v>
      </c>
      <c r="L194" s="32" t="s">
        <v>1323</v>
      </c>
      <c r="M194" s="32" t="s">
        <v>1324</v>
      </c>
      <c r="N194" s="32" t="s">
        <v>1325</v>
      </c>
      <c r="O194" s="32">
        <v>4</v>
      </c>
      <c r="P194" s="32">
        <v>0.04</v>
      </c>
      <c r="Q194" s="32">
        <v>0.1</v>
      </c>
      <c r="R194" s="32">
        <v>0.8</v>
      </c>
      <c r="S194" s="32">
        <v>6.7857142857142866E-2</v>
      </c>
      <c r="T194" s="32">
        <v>8.2857142857142865E-2</v>
      </c>
      <c r="U194" s="32">
        <v>2714285.714285715</v>
      </c>
      <c r="V194" s="32">
        <v>3314285.714285715</v>
      </c>
      <c r="W194" s="32"/>
      <c r="X194" s="32"/>
      <c r="Y194" s="32"/>
      <c r="Z194" s="32"/>
      <c r="AA194" s="32">
        <v>0.02</v>
      </c>
      <c r="AB194" s="32">
        <v>0.03</v>
      </c>
      <c r="AC194" s="32">
        <v>0.02</v>
      </c>
      <c r="AD194" s="32">
        <v>0.1095890410958904</v>
      </c>
      <c r="AE194" s="32">
        <v>297455.96868884552</v>
      </c>
      <c r="AF194" s="32">
        <v>363209.39334637969</v>
      </c>
      <c r="AG194" s="32" t="s">
        <v>1511</v>
      </c>
      <c r="AH194" s="32"/>
      <c r="AI194" s="32" t="s">
        <v>1493</v>
      </c>
      <c r="AJ194" s="32"/>
      <c r="AK194" s="28"/>
      <c r="AL194" s="18" t="str">
        <f t="shared" si="2"/>
        <v>Have you undertaken specification rationalization to enable volume bundling and reduce sourcing complexity?_</v>
      </c>
    </row>
    <row r="195" spans="1:38" ht="43.5" x14ac:dyDescent="0.35">
      <c r="A195" s="32">
        <v>5</v>
      </c>
      <c r="B195" s="32" t="s">
        <v>1451</v>
      </c>
      <c r="C195" s="32" t="s">
        <v>1452</v>
      </c>
      <c r="D195" s="32" t="s">
        <v>1224</v>
      </c>
      <c r="E195" s="32" t="s">
        <v>1453</v>
      </c>
      <c r="F195" s="32"/>
      <c r="G195" s="32" t="s">
        <v>1281</v>
      </c>
      <c r="H195" s="32" t="s">
        <v>1326</v>
      </c>
      <c r="I195" s="32"/>
      <c r="J195" s="32" t="s">
        <v>1239</v>
      </c>
      <c r="K195" s="32" t="s">
        <v>1322</v>
      </c>
      <c r="L195" s="32" t="s">
        <v>1323</v>
      </c>
      <c r="M195" s="32" t="s">
        <v>1324</v>
      </c>
      <c r="N195" s="32" t="s">
        <v>1325</v>
      </c>
      <c r="O195" s="32">
        <v>4</v>
      </c>
      <c r="P195" s="32">
        <v>0.04</v>
      </c>
      <c r="Q195" s="32">
        <v>0.1</v>
      </c>
      <c r="R195" s="32">
        <v>0.8</v>
      </c>
      <c r="S195" s="32">
        <v>6.7857142857142866E-2</v>
      </c>
      <c r="T195" s="32">
        <v>8.2857142857142865E-2</v>
      </c>
      <c r="U195" s="32">
        <v>2714285.714285715</v>
      </c>
      <c r="V195" s="32">
        <v>3314285.714285715</v>
      </c>
      <c r="W195" s="32"/>
      <c r="X195" s="32"/>
      <c r="Y195" s="32"/>
      <c r="Z195" s="32"/>
      <c r="AA195" s="32">
        <v>0.02</v>
      </c>
      <c r="AB195" s="32">
        <v>0.03</v>
      </c>
      <c r="AC195" s="32">
        <v>0.02</v>
      </c>
      <c r="AD195" s="32">
        <v>0.1095890410958904</v>
      </c>
      <c r="AE195" s="32">
        <v>297455.96868884552</v>
      </c>
      <c r="AF195" s="32">
        <v>363209.39334637969</v>
      </c>
      <c r="AG195" s="32" t="s">
        <v>1512</v>
      </c>
      <c r="AH195" s="32"/>
      <c r="AI195" s="32" t="s">
        <v>1493</v>
      </c>
      <c r="AJ195" s="32"/>
      <c r="AK195" s="28"/>
      <c r="AL195" s="18" t="str">
        <f t="shared" ref="AL195:AL258" si="3">CONCATENATE(G195,"_",AJ195)</f>
        <v>Have you undertaken specification rationalization to enable volume bundling and reduce sourcing complexity?_</v>
      </c>
    </row>
    <row r="196" spans="1:38" ht="43.5" x14ac:dyDescent="0.35">
      <c r="A196" s="32">
        <v>5</v>
      </c>
      <c r="B196" s="32" t="s">
        <v>1451</v>
      </c>
      <c r="C196" s="32" t="s">
        <v>1452</v>
      </c>
      <c r="D196" s="32" t="s">
        <v>1224</v>
      </c>
      <c r="E196" s="32" t="s">
        <v>1453</v>
      </c>
      <c r="F196" s="32"/>
      <c r="G196" s="32" t="s">
        <v>1281</v>
      </c>
      <c r="H196" s="32" t="s">
        <v>1326</v>
      </c>
      <c r="I196" s="32"/>
      <c r="J196" s="32" t="s">
        <v>1239</v>
      </c>
      <c r="K196" s="32" t="s">
        <v>1322</v>
      </c>
      <c r="L196" s="32" t="s">
        <v>1323</v>
      </c>
      <c r="M196" s="32" t="s">
        <v>1324</v>
      </c>
      <c r="N196" s="32" t="s">
        <v>1325</v>
      </c>
      <c r="O196" s="32">
        <v>4</v>
      </c>
      <c r="P196" s="32">
        <v>0.04</v>
      </c>
      <c r="Q196" s="32">
        <v>0.1</v>
      </c>
      <c r="R196" s="32">
        <v>0.8</v>
      </c>
      <c r="S196" s="32">
        <v>6.7857142857142866E-2</v>
      </c>
      <c r="T196" s="32">
        <v>8.2857142857142865E-2</v>
      </c>
      <c r="U196" s="32">
        <v>2714285.714285715</v>
      </c>
      <c r="V196" s="32">
        <v>3314285.714285715</v>
      </c>
      <c r="W196" s="32"/>
      <c r="X196" s="32"/>
      <c r="Y196" s="32"/>
      <c r="Z196" s="32"/>
      <c r="AA196" s="32">
        <v>0.02</v>
      </c>
      <c r="AB196" s="32">
        <v>0.03</v>
      </c>
      <c r="AC196" s="32">
        <v>0.02</v>
      </c>
      <c r="AD196" s="32">
        <v>0.1095890410958904</v>
      </c>
      <c r="AE196" s="32">
        <v>297455.96868884552</v>
      </c>
      <c r="AF196" s="32">
        <v>363209.39334637969</v>
      </c>
      <c r="AG196" s="32" t="s">
        <v>1513</v>
      </c>
      <c r="AH196" s="32"/>
      <c r="AI196" s="32" t="s">
        <v>1493</v>
      </c>
      <c r="AJ196" s="32"/>
      <c r="AK196" s="28"/>
      <c r="AL196" s="18" t="str">
        <f t="shared" si="3"/>
        <v>Have you undertaken specification rationalization to enable volume bundling and reduce sourcing complexity?_</v>
      </c>
    </row>
    <row r="197" spans="1:38" ht="43.5" x14ac:dyDescent="0.35">
      <c r="A197" s="32">
        <v>5</v>
      </c>
      <c r="B197" s="32" t="s">
        <v>1451</v>
      </c>
      <c r="C197" s="32" t="s">
        <v>1452</v>
      </c>
      <c r="D197" s="32" t="s">
        <v>1224</v>
      </c>
      <c r="E197" s="32" t="s">
        <v>1453</v>
      </c>
      <c r="F197" s="32"/>
      <c r="G197" s="32" t="s">
        <v>1281</v>
      </c>
      <c r="H197" s="32" t="s">
        <v>1326</v>
      </c>
      <c r="I197" s="32"/>
      <c r="J197" s="32" t="s">
        <v>1239</v>
      </c>
      <c r="K197" s="32" t="s">
        <v>1322</v>
      </c>
      <c r="L197" s="32" t="s">
        <v>1323</v>
      </c>
      <c r="M197" s="32" t="s">
        <v>1324</v>
      </c>
      <c r="N197" s="32" t="s">
        <v>1325</v>
      </c>
      <c r="O197" s="32">
        <v>4</v>
      </c>
      <c r="P197" s="32">
        <v>0.04</v>
      </c>
      <c r="Q197" s="32">
        <v>0.1</v>
      </c>
      <c r="R197" s="32">
        <v>0.8</v>
      </c>
      <c r="S197" s="32">
        <v>6.7857142857142866E-2</v>
      </c>
      <c r="T197" s="32">
        <v>8.2857142857142865E-2</v>
      </c>
      <c r="U197" s="32">
        <v>2714285.714285715</v>
      </c>
      <c r="V197" s="32">
        <v>3314285.714285715</v>
      </c>
      <c r="W197" s="32"/>
      <c r="X197" s="32"/>
      <c r="Y197" s="32"/>
      <c r="Z197" s="32"/>
      <c r="AA197" s="32">
        <v>0.02</v>
      </c>
      <c r="AB197" s="32">
        <v>0.03</v>
      </c>
      <c r="AC197" s="32">
        <v>0.02</v>
      </c>
      <c r="AD197" s="32">
        <v>0.1095890410958904</v>
      </c>
      <c r="AE197" s="32">
        <v>297455.96868884552</v>
      </c>
      <c r="AF197" s="32">
        <v>363209.39334637969</v>
      </c>
      <c r="AG197" s="32" t="s">
        <v>1514</v>
      </c>
      <c r="AH197" s="32"/>
      <c r="AI197" s="32" t="s">
        <v>1493</v>
      </c>
      <c r="AJ197" s="32"/>
      <c r="AK197" s="28"/>
      <c r="AL197" s="18" t="str">
        <f t="shared" si="3"/>
        <v>Have you undertaken specification rationalization to enable volume bundling and reduce sourcing complexity?_</v>
      </c>
    </row>
    <row r="198" spans="1:38" ht="43.5" x14ac:dyDescent="0.35">
      <c r="A198" s="32">
        <v>5</v>
      </c>
      <c r="B198" s="32" t="s">
        <v>1451</v>
      </c>
      <c r="C198" s="32" t="s">
        <v>1452</v>
      </c>
      <c r="D198" s="32" t="s">
        <v>1224</v>
      </c>
      <c r="E198" s="32" t="s">
        <v>1453</v>
      </c>
      <c r="F198" s="32"/>
      <c r="G198" s="32" t="s">
        <v>1281</v>
      </c>
      <c r="H198" s="32" t="s">
        <v>1326</v>
      </c>
      <c r="I198" s="32"/>
      <c r="J198" s="32" t="s">
        <v>1239</v>
      </c>
      <c r="K198" s="32" t="s">
        <v>1322</v>
      </c>
      <c r="L198" s="32" t="s">
        <v>1323</v>
      </c>
      <c r="M198" s="32" t="s">
        <v>1324</v>
      </c>
      <c r="N198" s="32" t="s">
        <v>1325</v>
      </c>
      <c r="O198" s="32">
        <v>4</v>
      </c>
      <c r="P198" s="32">
        <v>0.04</v>
      </c>
      <c r="Q198" s="32">
        <v>0.1</v>
      </c>
      <c r="R198" s="32">
        <v>0.8</v>
      </c>
      <c r="S198" s="32">
        <v>6.7857142857142866E-2</v>
      </c>
      <c r="T198" s="32">
        <v>8.2857142857142865E-2</v>
      </c>
      <c r="U198" s="32">
        <v>2714285.714285715</v>
      </c>
      <c r="V198" s="32">
        <v>3314285.714285715</v>
      </c>
      <c r="W198" s="32"/>
      <c r="X198" s="32"/>
      <c r="Y198" s="32"/>
      <c r="Z198" s="32"/>
      <c r="AA198" s="32">
        <v>0.02</v>
      </c>
      <c r="AB198" s="32">
        <v>0.03</v>
      </c>
      <c r="AC198" s="32">
        <v>0.02</v>
      </c>
      <c r="AD198" s="32">
        <v>0.1095890410958904</v>
      </c>
      <c r="AE198" s="32">
        <v>297455.96868884552</v>
      </c>
      <c r="AF198" s="32">
        <v>363209.39334637969</v>
      </c>
      <c r="AG198" s="32" t="s">
        <v>1515</v>
      </c>
      <c r="AH198" s="32"/>
      <c r="AI198" s="32" t="s">
        <v>1493</v>
      </c>
      <c r="AJ198" s="32"/>
      <c r="AK198" s="28"/>
      <c r="AL198" s="18" t="str">
        <f t="shared" si="3"/>
        <v>Have you undertaken specification rationalization to enable volume bundling and reduce sourcing complexity?_</v>
      </c>
    </row>
    <row r="199" spans="1:38" ht="43.5" x14ac:dyDescent="0.35">
      <c r="A199" s="32">
        <v>5</v>
      </c>
      <c r="B199" s="32" t="s">
        <v>1451</v>
      </c>
      <c r="C199" s="32" t="s">
        <v>1452</v>
      </c>
      <c r="D199" s="32" t="s">
        <v>1224</v>
      </c>
      <c r="E199" s="32" t="s">
        <v>1453</v>
      </c>
      <c r="F199" s="32"/>
      <c r="G199" s="32" t="s">
        <v>1281</v>
      </c>
      <c r="H199" s="32" t="s">
        <v>1326</v>
      </c>
      <c r="I199" s="32"/>
      <c r="J199" s="32" t="s">
        <v>1239</v>
      </c>
      <c r="K199" s="32" t="s">
        <v>1322</v>
      </c>
      <c r="L199" s="32" t="s">
        <v>1323</v>
      </c>
      <c r="M199" s="32" t="s">
        <v>1324</v>
      </c>
      <c r="N199" s="32" t="s">
        <v>1325</v>
      </c>
      <c r="O199" s="32">
        <v>4</v>
      </c>
      <c r="P199" s="32">
        <v>0.04</v>
      </c>
      <c r="Q199" s="32">
        <v>0.1</v>
      </c>
      <c r="R199" s="32">
        <v>0.8</v>
      </c>
      <c r="S199" s="32">
        <v>6.7857142857142866E-2</v>
      </c>
      <c r="T199" s="32">
        <v>8.2857142857142865E-2</v>
      </c>
      <c r="U199" s="32">
        <v>2714285.714285715</v>
      </c>
      <c r="V199" s="32">
        <v>3314285.714285715</v>
      </c>
      <c r="W199" s="32"/>
      <c r="X199" s="32"/>
      <c r="Y199" s="32"/>
      <c r="Z199" s="32"/>
      <c r="AA199" s="32">
        <v>0.02</v>
      </c>
      <c r="AB199" s="32">
        <v>0.03</v>
      </c>
      <c r="AC199" s="32">
        <v>0.02</v>
      </c>
      <c r="AD199" s="32">
        <v>0.1095890410958904</v>
      </c>
      <c r="AE199" s="32">
        <v>297455.96868884552</v>
      </c>
      <c r="AF199" s="32">
        <v>363209.39334637969</v>
      </c>
      <c r="AG199" s="32" t="s">
        <v>1516</v>
      </c>
      <c r="AH199" s="32"/>
      <c r="AI199" s="32" t="s">
        <v>1493</v>
      </c>
      <c r="AJ199" s="32"/>
      <c r="AK199" s="28"/>
      <c r="AL199" s="18" t="str">
        <f t="shared" si="3"/>
        <v>Have you undertaken specification rationalization to enable volume bundling and reduce sourcing complexity?_</v>
      </c>
    </row>
    <row r="200" spans="1:38" ht="43.5" x14ac:dyDescent="0.35">
      <c r="A200" s="32">
        <v>5</v>
      </c>
      <c r="B200" s="32" t="s">
        <v>1451</v>
      </c>
      <c r="C200" s="32" t="s">
        <v>1452</v>
      </c>
      <c r="D200" s="32" t="s">
        <v>1224</v>
      </c>
      <c r="E200" s="32" t="s">
        <v>1453</v>
      </c>
      <c r="F200" s="32"/>
      <c r="G200" s="32" t="s">
        <v>1281</v>
      </c>
      <c r="H200" s="32" t="s">
        <v>1326</v>
      </c>
      <c r="I200" s="32"/>
      <c r="J200" s="32" t="s">
        <v>1239</v>
      </c>
      <c r="K200" s="32" t="s">
        <v>1322</v>
      </c>
      <c r="L200" s="32" t="s">
        <v>1323</v>
      </c>
      <c r="M200" s="32" t="s">
        <v>1324</v>
      </c>
      <c r="N200" s="32" t="s">
        <v>1325</v>
      </c>
      <c r="O200" s="32">
        <v>4</v>
      </c>
      <c r="P200" s="32">
        <v>0.04</v>
      </c>
      <c r="Q200" s="32">
        <v>0.1</v>
      </c>
      <c r="R200" s="32">
        <v>0.8</v>
      </c>
      <c r="S200" s="32">
        <v>6.7857142857142866E-2</v>
      </c>
      <c r="T200" s="32">
        <v>8.2857142857142865E-2</v>
      </c>
      <c r="U200" s="32">
        <v>2714285.714285715</v>
      </c>
      <c r="V200" s="32">
        <v>3314285.714285715</v>
      </c>
      <c r="W200" s="32"/>
      <c r="X200" s="32"/>
      <c r="Y200" s="32"/>
      <c r="Z200" s="32"/>
      <c r="AA200" s="32">
        <v>0.02</v>
      </c>
      <c r="AB200" s="32">
        <v>0.03</v>
      </c>
      <c r="AC200" s="32">
        <v>0.02</v>
      </c>
      <c r="AD200" s="32">
        <v>0.1095890410958904</v>
      </c>
      <c r="AE200" s="32">
        <v>297455.96868884552</v>
      </c>
      <c r="AF200" s="32">
        <v>363209.39334637969</v>
      </c>
      <c r="AG200" s="32" t="s">
        <v>1517</v>
      </c>
      <c r="AH200" s="32"/>
      <c r="AI200" s="32" t="s">
        <v>1493</v>
      </c>
      <c r="AJ200" s="32"/>
      <c r="AK200" s="28"/>
      <c r="AL200" s="18" t="str">
        <f t="shared" si="3"/>
        <v>Have you undertaken specification rationalization to enable volume bundling and reduce sourcing complexity?_</v>
      </c>
    </row>
    <row r="201" spans="1:38" ht="43.5" x14ac:dyDescent="0.35">
      <c r="A201" s="32">
        <v>5</v>
      </c>
      <c r="B201" s="32" t="s">
        <v>1451</v>
      </c>
      <c r="C201" s="32" t="s">
        <v>1452</v>
      </c>
      <c r="D201" s="32" t="s">
        <v>1224</v>
      </c>
      <c r="E201" s="32" t="s">
        <v>1453</v>
      </c>
      <c r="F201" s="32"/>
      <c r="G201" s="32" t="s">
        <v>1281</v>
      </c>
      <c r="H201" s="32" t="s">
        <v>1326</v>
      </c>
      <c r="I201" s="32"/>
      <c r="J201" s="32" t="s">
        <v>1239</v>
      </c>
      <c r="K201" s="32" t="s">
        <v>1322</v>
      </c>
      <c r="L201" s="32" t="s">
        <v>1323</v>
      </c>
      <c r="M201" s="32" t="s">
        <v>1324</v>
      </c>
      <c r="N201" s="32" t="s">
        <v>1325</v>
      </c>
      <c r="O201" s="32">
        <v>4</v>
      </c>
      <c r="P201" s="32">
        <v>0.04</v>
      </c>
      <c r="Q201" s="32">
        <v>0.1</v>
      </c>
      <c r="R201" s="32">
        <v>0.8</v>
      </c>
      <c r="S201" s="32">
        <v>6.7857142857142866E-2</v>
      </c>
      <c r="T201" s="32">
        <v>8.2857142857142865E-2</v>
      </c>
      <c r="U201" s="32">
        <v>2714285.714285715</v>
      </c>
      <c r="V201" s="32">
        <v>3314285.714285715</v>
      </c>
      <c r="W201" s="32"/>
      <c r="X201" s="32"/>
      <c r="Y201" s="32"/>
      <c r="Z201" s="32"/>
      <c r="AA201" s="32">
        <v>0.02</v>
      </c>
      <c r="AB201" s="32">
        <v>0.03</v>
      </c>
      <c r="AC201" s="32">
        <v>0.02</v>
      </c>
      <c r="AD201" s="32">
        <v>0.1095890410958904</v>
      </c>
      <c r="AE201" s="32">
        <v>297455.96868884552</v>
      </c>
      <c r="AF201" s="32">
        <v>363209.39334637969</v>
      </c>
      <c r="AG201" s="32" t="s">
        <v>1524</v>
      </c>
      <c r="AH201" s="32"/>
      <c r="AI201" s="32" t="s">
        <v>1493</v>
      </c>
      <c r="AJ201" s="32"/>
      <c r="AK201" s="28"/>
      <c r="AL201" s="18" t="str">
        <f t="shared" si="3"/>
        <v>Have you undertaken specification rationalization to enable volume bundling and reduce sourcing complexity?_</v>
      </c>
    </row>
    <row r="202" spans="1:38" ht="43.5" x14ac:dyDescent="0.35">
      <c r="A202" s="32">
        <v>5</v>
      </c>
      <c r="B202" s="32" t="s">
        <v>1451</v>
      </c>
      <c r="C202" s="32" t="s">
        <v>1452</v>
      </c>
      <c r="D202" s="32" t="s">
        <v>1224</v>
      </c>
      <c r="E202" s="32" t="s">
        <v>1453</v>
      </c>
      <c r="F202" s="32"/>
      <c r="G202" s="32" t="s">
        <v>1281</v>
      </c>
      <c r="H202" s="32" t="s">
        <v>1326</v>
      </c>
      <c r="I202" s="32"/>
      <c r="J202" s="32" t="s">
        <v>1239</v>
      </c>
      <c r="K202" s="32" t="s">
        <v>1322</v>
      </c>
      <c r="L202" s="32" t="s">
        <v>1323</v>
      </c>
      <c r="M202" s="32" t="s">
        <v>1324</v>
      </c>
      <c r="N202" s="32" t="s">
        <v>1325</v>
      </c>
      <c r="O202" s="32">
        <v>4</v>
      </c>
      <c r="P202" s="32">
        <v>0.04</v>
      </c>
      <c r="Q202" s="32">
        <v>0.1</v>
      </c>
      <c r="R202" s="32">
        <v>0.8</v>
      </c>
      <c r="S202" s="32">
        <v>6.7857142857142866E-2</v>
      </c>
      <c r="T202" s="32">
        <v>8.2857142857142865E-2</v>
      </c>
      <c r="U202" s="32">
        <v>2714285.714285715</v>
      </c>
      <c r="V202" s="32">
        <v>3314285.714285715</v>
      </c>
      <c r="W202" s="32"/>
      <c r="X202" s="32"/>
      <c r="Y202" s="32"/>
      <c r="Z202" s="32"/>
      <c r="AA202" s="32">
        <v>0.02</v>
      </c>
      <c r="AB202" s="32">
        <v>0.03</v>
      </c>
      <c r="AC202" s="32">
        <v>0.02</v>
      </c>
      <c r="AD202" s="32">
        <v>0.1095890410958904</v>
      </c>
      <c r="AE202" s="32">
        <v>297455.96868884552</v>
      </c>
      <c r="AF202" s="32">
        <v>363209.39334637969</v>
      </c>
      <c r="AG202" s="32" t="s">
        <v>1528</v>
      </c>
      <c r="AH202" s="32"/>
      <c r="AI202" s="32" t="s">
        <v>1493</v>
      </c>
      <c r="AJ202" s="32"/>
      <c r="AK202" s="28"/>
      <c r="AL202" s="18" t="str">
        <f t="shared" si="3"/>
        <v>Have you undertaken specification rationalization to enable volume bundling and reduce sourcing complexity?_</v>
      </c>
    </row>
    <row r="203" spans="1:38" ht="43.5" x14ac:dyDescent="0.35">
      <c r="A203" s="32">
        <v>5</v>
      </c>
      <c r="B203" s="32" t="s">
        <v>1451</v>
      </c>
      <c r="C203" s="32" t="s">
        <v>1452</v>
      </c>
      <c r="D203" s="32" t="s">
        <v>1224</v>
      </c>
      <c r="E203" s="32" t="s">
        <v>1453</v>
      </c>
      <c r="F203" s="32"/>
      <c r="G203" s="32" t="s">
        <v>1281</v>
      </c>
      <c r="H203" s="32" t="s">
        <v>1326</v>
      </c>
      <c r="I203" s="32"/>
      <c r="J203" s="32" t="s">
        <v>1239</v>
      </c>
      <c r="K203" s="32" t="s">
        <v>1322</v>
      </c>
      <c r="L203" s="32" t="s">
        <v>1323</v>
      </c>
      <c r="M203" s="32" t="s">
        <v>1324</v>
      </c>
      <c r="N203" s="32" t="s">
        <v>1325</v>
      </c>
      <c r="O203" s="32">
        <v>4</v>
      </c>
      <c r="P203" s="32">
        <v>0.04</v>
      </c>
      <c r="Q203" s="32">
        <v>0.1</v>
      </c>
      <c r="R203" s="32">
        <v>0.8</v>
      </c>
      <c r="S203" s="32">
        <v>6.7857142857142866E-2</v>
      </c>
      <c r="T203" s="32">
        <v>8.2857142857142865E-2</v>
      </c>
      <c r="U203" s="32">
        <v>2714285.714285715</v>
      </c>
      <c r="V203" s="32">
        <v>3314285.714285715</v>
      </c>
      <c r="W203" s="32"/>
      <c r="X203" s="32"/>
      <c r="Y203" s="32"/>
      <c r="Z203" s="32"/>
      <c r="AA203" s="32">
        <v>0.02</v>
      </c>
      <c r="AB203" s="32">
        <v>0.03</v>
      </c>
      <c r="AC203" s="32">
        <v>0.02</v>
      </c>
      <c r="AD203" s="32">
        <v>0.1095890410958904</v>
      </c>
      <c r="AE203" s="32">
        <v>297455.96868884552</v>
      </c>
      <c r="AF203" s="32">
        <v>363209.39334637969</v>
      </c>
      <c r="AG203" s="32" t="s">
        <v>1529</v>
      </c>
      <c r="AH203" s="32"/>
      <c r="AI203" s="32" t="s">
        <v>1493</v>
      </c>
      <c r="AJ203" s="32"/>
      <c r="AK203" s="28"/>
      <c r="AL203" s="18" t="str">
        <f t="shared" si="3"/>
        <v>Have you undertaken specification rationalization to enable volume bundling and reduce sourcing complexity?_</v>
      </c>
    </row>
    <row r="204" spans="1:38" ht="43.5" x14ac:dyDescent="0.35">
      <c r="A204" s="32">
        <v>5</v>
      </c>
      <c r="B204" s="32" t="s">
        <v>1451</v>
      </c>
      <c r="C204" s="32" t="s">
        <v>1452</v>
      </c>
      <c r="D204" s="32" t="s">
        <v>1224</v>
      </c>
      <c r="E204" s="32" t="s">
        <v>1453</v>
      </c>
      <c r="F204" s="32"/>
      <c r="G204" s="32" t="s">
        <v>1281</v>
      </c>
      <c r="H204" s="32" t="s">
        <v>1326</v>
      </c>
      <c r="I204" s="32"/>
      <c r="J204" s="32" t="s">
        <v>1239</v>
      </c>
      <c r="K204" s="32" t="s">
        <v>1322</v>
      </c>
      <c r="L204" s="32" t="s">
        <v>1323</v>
      </c>
      <c r="M204" s="32" t="s">
        <v>1324</v>
      </c>
      <c r="N204" s="32" t="s">
        <v>1325</v>
      </c>
      <c r="O204" s="32">
        <v>4</v>
      </c>
      <c r="P204" s="32">
        <v>0.04</v>
      </c>
      <c r="Q204" s="32">
        <v>0.1</v>
      </c>
      <c r="R204" s="32">
        <v>0.8</v>
      </c>
      <c r="S204" s="32">
        <v>6.7857142857142866E-2</v>
      </c>
      <c r="T204" s="32">
        <v>8.2857142857142865E-2</v>
      </c>
      <c r="U204" s="32">
        <v>2714285.714285715</v>
      </c>
      <c r="V204" s="32">
        <v>3314285.714285715</v>
      </c>
      <c r="W204" s="32"/>
      <c r="X204" s="32"/>
      <c r="Y204" s="32"/>
      <c r="Z204" s="32"/>
      <c r="AA204" s="32">
        <v>0.02</v>
      </c>
      <c r="AB204" s="32">
        <v>0.03</v>
      </c>
      <c r="AC204" s="32">
        <v>0.02</v>
      </c>
      <c r="AD204" s="32">
        <v>0.1095890410958904</v>
      </c>
      <c r="AE204" s="32">
        <v>297455.96868884552</v>
      </c>
      <c r="AF204" s="32">
        <v>363209.39334637969</v>
      </c>
      <c r="AG204" s="32" t="s">
        <v>1530</v>
      </c>
      <c r="AH204" s="32"/>
      <c r="AI204" s="32" t="s">
        <v>1493</v>
      </c>
      <c r="AJ204" s="32"/>
      <c r="AK204" s="28"/>
      <c r="AL204" s="18" t="str">
        <f t="shared" si="3"/>
        <v>Have you undertaken specification rationalization to enable volume bundling and reduce sourcing complexity?_</v>
      </c>
    </row>
    <row r="205" spans="1:38" ht="43.5" x14ac:dyDescent="0.35">
      <c r="A205" s="32">
        <v>5</v>
      </c>
      <c r="B205" s="32" t="s">
        <v>1451</v>
      </c>
      <c r="C205" s="32" t="s">
        <v>1452</v>
      </c>
      <c r="D205" s="32" t="s">
        <v>1224</v>
      </c>
      <c r="E205" s="32" t="s">
        <v>1453</v>
      </c>
      <c r="F205" s="32"/>
      <c r="G205" s="32" t="s">
        <v>1281</v>
      </c>
      <c r="H205" s="32" t="s">
        <v>1326</v>
      </c>
      <c r="I205" s="32"/>
      <c r="J205" s="32" t="s">
        <v>1239</v>
      </c>
      <c r="K205" s="32" t="s">
        <v>1322</v>
      </c>
      <c r="L205" s="32" t="s">
        <v>1323</v>
      </c>
      <c r="M205" s="32" t="s">
        <v>1324</v>
      </c>
      <c r="N205" s="32" t="s">
        <v>1325</v>
      </c>
      <c r="O205" s="32">
        <v>4</v>
      </c>
      <c r="P205" s="32">
        <v>0.04</v>
      </c>
      <c r="Q205" s="32">
        <v>0.1</v>
      </c>
      <c r="R205" s="32">
        <v>0.8</v>
      </c>
      <c r="S205" s="32">
        <v>6.7857142857142866E-2</v>
      </c>
      <c r="T205" s="32">
        <v>8.2857142857142865E-2</v>
      </c>
      <c r="U205" s="32">
        <v>2714285.714285715</v>
      </c>
      <c r="V205" s="32">
        <v>3314285.714285715</v>
      </c>
      <c r="W205" s="32"/>
      <c r="X205" s="32"/>
      <c r="Y205" s="32"/>
      <c r="Z205" s="32"/>
      <c r="AA205" s="32">
        <v>0.02</v>
      </c>
      <c r="AB205" s="32">
        <v>0.03</v>
      </c>
      <c r="AC205" s="32">
        <v>0.02</v>
      </c>
      <c r="AD205" s="32">
        <v>0.1095890410958904</v>
      </c>
      <c r="AE205" s="32">
        <v>297455.96868884552</v>
      </c>
      <c r="AF205" s="32">
        <v>363209.39334637969</v>
      </c>
      <c r="AG205" s="32" t="s">
        <v>1531</v>
      </c>
      <c r="AH205" s="32"/>
      <c r="AI205" s="32" t="s">
        <v>1493</v>
      </c>
      <c r="AJ205" s="32"/>
      <c r="AK205" s="28"/>
      <c r="AL205" s="18" t="str">
        <f t="shared" si="3"/>
        <v>Have you undertaken specification rationalization to enable volume bundling and reduce sourcing complexity?_</v>
      </c>
    </row>
    <row r="206" spans="1:38" ht="43.5" x14ac:dyDescent="0.35">
      <c r="A206" s="32">
        <v>5</v>
      </c>
      <c r="B206" s="32" t="s">
        <v>1451</v>
      </c>
      <c r="C206" s="32" t="s">
        <v>1452</v>
      </c>
      <c r="D206" s="32" t="s">
        <v>1224</v>
      </c>
      <c r="E206" s="32" t="s">
        <v>1453</v>
      </c>
      <c r="F206" s="32"/>
      <c r="G206" s="32" t="s">
        <v>1281</v>
      </c>
      <c r="H206" s="32" t="s">
        <v>1326</v>
      </c>
      <c r="I206" s="32"/>
      <c r="J206" s="32" t="s">
        <v>1239</v>
      </c>
      <c r="K206" s="32" t="s">
        <v>1322</v>
      </c>
      <c r="L206" s="32" t="s">
        <v>1323</v>
      </c>
      <c r="M206" s="32" t="s">
        <v>1324</v>
      </c>
      <c r="N206" s="32" t="s">
        <v>1325</v>
      </c>
      <c r="O206" s="32">
        <v>4</v>
      </c>
      <c r="P206" s="32">
        <v>0.04</v>
      </c>
      <c r="Q206" s="32">
        <v>0.1</v>
      </c>
      <c r="R206" s="32">
        <v>0.8</v>
      </c>
      <c r="S206" s="32">
        <v>6.7857142857142866E-2</v>
      </c>
      <c r="T206" s="32">
        <v>8.2857142857142865E-2</v>
      </c>
      <c r="U206" s="32">
        <v>2714285.714285715</v>
      </c>
      <c r="V206" s="32">
        <v>3314285.714285715</v>
      </c>
      <c r="W206" s="32"/>
      <c r="X206" s="32"/>
      <c r="Y206" s="32"/>
      <c r="Z206" s="32"/>
      <c r="AA206" s="32">
        <v>0.02</v>
      </c>
      <c r="AB206" s="32">
        <v>0.03</v>
      </c>
      <c r="AC206" s="32">
        <v>0.02</v>
      </c>
      <c r="AD206" s="32">
        <v>0.1095890410958904</v>
      </c>
      <c r="AE206" s="32">
        <v>297455.96868884552</v>
      </c>
      <c r="AF206" s="32">
        <v>363209.39334637969</v>
      </c>
      <c r="AG206" s="32" t="s">
        <v>1532</v>
      </c>
      <c r="AH206" s="32"/>
      <c r="AI206" s="32" t="s">
        <v>1493</v>
      </c>
      <c r="AJ206" s="32"/>
      <c r="AK206" s="28"/>
      <c r="AL206" s="18" t="str">
        <f t="shared" si="3"/>
        <v>Have you undertaken specification rationalization to enable volume bundling and reduce sourcing complexity?_</v>
      </c>
    </row>
    <row r="207" spans="1:38" ht="58" x14ac:dyDescent="0.35">
      <c r="A207" s="32">
        <v>6</v>
      </c>
      <c r="B207" s="32" t="s">
        <v>1451</v>
      </c>
      <c r="C207" s="32" t="s">
        <v>1452</v>
      </c>
      <c r="D207" s="32" t="s">
        <v>1224</v>
      </c>
      <c r="E207" s="32" t="s">
        <v>1453</v>
      </c>
      <c r="F207" s="32"/>
      <c r="G207" s="32" t="s">
        <v>1284</v>
      </c>
      <c r="H207" s="32" t="s">
        <v>1579</v>
      </c>
      <c r="I207" s="32"/>
      <c r="J207" s="32" t="s">
        <v>1260</v>
      </c>
      <c r="K207" s="32" t="s">
        <v>1302</v>
      </c>
      <c r="L207" s="32" t="s">
        <v>1303</v>
      </c>
      <c r="M207" s="32" t="s">
        <v>1304</v>
      </c>
      <c r="N207" s="32" t="s">
        <v>1305</v>
      </c>
      <c r="O207" s="32">
        <v>1</v>
      </c>
      <c r="P207" s="32">
        <v>0.04</v>
      </c>
      <c r="Q207" s="32">
        <v>0.1</v>
      </c>
      <c r="R207" s="32">
        <v>0.8</v>
      </c>
      <c r="S207" s="32">
        <v>6.7500000000000004E-2</v>
      </c>
      <c r="T207" s="32">
        <v>8.2500000000000004E-2</v>
      </c>
      <c r="U207" s="32">
        <v>2700000</v>
      </c>
      <c r="V207" s="32">
        <v>3300000</v>
      </c>
      <c r="W207" s="32"/>
      <c r="X207" s="32"/>
      <c r="Y207" s="32"/>
      <c r="Z207" s="32"/>
      <c r="AA207" s="32">
        <v>0.02</v>
      </c>
      <c r="AB207" s="32">
        <v>0.05</v>
      </c>
      <c r="AC207" s="32">
        <v>4.2500000000000003E-2</v>
      </c>
      <c r="AD207" s="32">
        <v>0.23287671232876711</v>
      </c>
      <c r="AE207" s="32">
        <v>628767.12328767136</v>
      </c>
      <c r="AF207" s="32">
        <v>768493.15068493143</v>
      </c>
      <c r="AG207" s="32" t="s">
        <v>1454</v>
      </c>
      <c r="AH207" s="32" t="s">
        <v>1455</v>
      </c>
      <c r="AI207" s="32" t="s">
        <v>2046</v>
      </c>
      <c r="AJ207" s="32"/>
      <c r="AK207" s="28"/>
      <c r="AL207" s="18" t="str">
        <f t="shared" si="3"/>
        <v>Are financial instruments, such as hedging or long-term contracts, used to manage risks in vegetable oil procurement?_</v>
      </c>
    </row>
    <row r="208" spans="1:38" ht="116" x14ac:dyDescent="0.35">
      <c r="A208" s="32">
        <v>6</v>
      </c>
      <c r="B208" s="32" t="s">
        <v>1451</v>
      </c>
      <c r="C208" s="32" t="s">
        <v>1452</v>
      </c>
      <c r="D208" s="32" t="s">
        <v>1224</v>
      </c>
      <c r="E208" s="32" t="s">
        <v>1453</v>
      </c>
      <c r="F208" s="32"/>
      <c r="G208" s="32" t="s">
        <v>1284</v>
      </c>
      <c r="H208" s="32" t="s">
        <v>1579</v>
      </c>
      <c r="I208" s="32"/>
      <c r="J208" s="32" t="s">
        <v>1260</v>
      </c>
      <c r="K208" s="32" t="s">
        <v>1302</v>
      </c>
      <c r="L208" s="32" t="s">
        <v>1303</v>
      </c>
      <c r="M208" s="32" t="s">
        <v>1304</v>
      </c>
      <c r="N208" s="32" t="s">
        <v>1305</v>
      </c>
      <c r="O208" s="32">
        <v>1</v>
      </c>
      <c r="P208" s="32">
        <v>0.04</v>
      </c>
      <c r="Q208" s="32">
        <v>0.1</v>
      </c>
      <c r="R208" s="32">
        <v>0.8</v>
      </c>
      <c r="S208" s="32">
        <v>6.7857142857142866E-2</v>
      </c>
      <c r="T208" s="32">
        <v>8.2857142857142865E-2</v>
      </c>
      <c r="U208" s="32">
        <v>2714285.714285715</v>
      </c>
      <c r="V208" s="32">
        <v>3314285.714285715</v>
      </c>
      <c r="W208" s="32"/>
      <c r="X208" s="32"/>
      <c r="Y208" s="32"/>
      <c r="Z208" s="32"/>
      <c r="AA208" s="32">
        <v>0.02</v>
      </c>
      <c r="AB208" s="32">
        <v>0.05</v>
      </c>
      <c r="AC208" s="32">
        <v>4.2500000000000003E-2</v>
      </c>
      <c r="AD208" s="32">
        <v>0.23287671232876711</v>
      </c>
      <c r="AE208" s="32">
        <v>632093.93346379662</v>
      </c>
      <c r="AF208" s="32">
        <v>771819.96086105681</v>
      </c>
      <c r="AG208" s="32" t="s">
        <v>1463</v>
      </c>
      <c r="AH208" s="32" t="s">
        <v>1464</v>
      </c>
      <c r="AI208" s="32" t="s">
        <v>2046</v>
      </c>
      <c r="AJ208" s="32" t="s">
        <v>1581</v>
      </c>
      <c r="AK208" s="28" t="s">
        <v>2073</v>
      </c>
      <c r="AL208" s="18" t="str">
        <f t="shared" si="3"/>
        <v>Are financial instruments, such as hedging or long-term contracts, used to manage risks in vegetable oil procurement?_If vegetable oil spend reveals single supplier &gt;40-50% of category spend, suggest approving multiple suppliers for specialty products to hedge against plausible supply disruption risks from weather, political instability, or supplier financial issues</v>
      </c>
    </row>
    <row r="209" spans="1:38" ht="159.5" x14ac:dyDescent="0.35">
      <c r="A209" s="32">
        <v>6</v>
      </c>
      <c r="B209" s="32" t="s">
        <v>1451</v>
      </c>
      <c r="C209" s="32" t="s">
        <v>1452</v>
      </c>
      <c r="D209" s="32" t="s">
        <v>1224</v>
      </c>
      <c r="E209" s="32" t="s">
        <v>1453</v>
      </c>
      <c r="F209" s="32"/>
      <c r="G209" s="32" t="s">
        <v>1284</v>
      </c>
      <c r="H209" s="32" t="s">
        <v>1579</v>
      </c>
      <c r="I209" s="32"/>
      <c r="J209" s="32" t="s">
        <v>1260</v>
      </c>
      <c r="K209" s="32" t="s">
        <v>1302</v>
      </c>
      <c r="L209" s="32" t="s">
        <v>1303</v>
      </c>
      <c r="M209" s="32" t="s">
        <v>1304</v>
      </c>
      <c r="N209" s="32" t="s">
        <v>1305</v>
      </c>
      <c r="O209" s="32">
        <v>1</v>
      </c>
      <c r="P209" s="32">
        <v>0.04</v>
      </c>
      <c r="Q209" s="32">
        <v>0.1</v>
      </c>
      <c r="R209" s="32">
        <v>0.8</v>
      </c>
      <c r="S209" s="32">
        <v>6.7857142857142866E-2</v>
      </c>
      <c r="T209" s="32">
        <v>8.2857142857142865E-2</v>
      </c>
      <c r="U209" s="32">
        <v>2714285.714285715</v>
      </c>
      <c r="V209" s="32">
        <v>3314285.714285715</v>
      </c>
      <c r="W209" s="32"/>
      <c r="X209" s="32"/>
      <c r="Y209" s="32"/>
      <c r="Z209" s="32"/>
      <c r="AA209" s="32">
        <v>0.02</v>
      </c>
      <c r="AB209" s="32">
        <v>0.05</v>
      </c>
      <c r="AC209" s="32">
        <v>4.2500000000000003E-2</v>
      </c>
      <c r="AD209" s="32">
        <v>0.23287671232876711</v>
      </c>
      <c r="AE209" s="32">
        <v>632093.93346379662</v>
      </c>
      <c r="AF209" s="32">
        <v>771819.96086105681</v>
      </c>
      <c r="AG209" s="32" t="s">
        <v>1465</v>
      </c>
      <c r="AH209" s="32" t="s">
        <v>1466</v>
      </c>
      <c r="AI209" s="32" t="s">
        <v>2046</v>
      </c>
      <c r="AJ209" s="32" t="s">
        <v>1588</v>
      </c>
      <c r="AK209" s="28" t="s">
        <v>2074</v>
      </c>
      <c r="AL209" s="18" t="str">
        <f t="shared" si="3"/>
        <v>Are financial instruments, such as hedging or long-term contracts, used to manage risks in vegetable oil procurement?_If vegetable oil data shows top 2 suppliers &gt;80% of category spend, suggest implementing broader supplier strategy across different oil types and geographic origins to reduce concentration risk and enable R&amp;D focus on alternative oils</v>
      </c>
    </row>
    <row r="210" spans="1:38" ht="58" x14ac:dyDescent="0.35">
      <c r="A210" s="32">
        <v>6</v>
      </c>
      <c r="B210" s="32" t="s">
        <v>1451</v>
      </c>
      <c r="C210" s="32" t="s">
        <v>1452</v>
      </c>
      <c r="D210" s="32" t="s">
        <v>1224</v>
      </c>
      <c r="E210" s="32" t="s">
        <v>1453</v>
      </c>
      <c r="F210" s="32"/>
      <c r="G210" s="32" t="s">
        <v>1284</v>
      </c>
      <c r="H210" s="32" t="s">
        <v>1579</v>
      </c>
      <c r="I210" s="32"/>
      <c r="J210" s="32" t="s">
        <v>1260</v>
      </c>
      <c r="K210" s="32" t="s">
        <v>1302</v>
      </c>
      <c r="L210" s="32" t="s">
        <v>1303</v>
      </c>
      <c r="M210" s="32" t="s">
        <v>1304</v>
      </c>
      <c r="N210" s="32" t="s">
        <v>1305</v>
      </c>
      <c r="O210" s="32">
        <v>1</v>
      </c>
      <c r="P210" s="32">
        <v>0.04</v>
      </c>
      <c r="Q210" s="32">
        <v>0.1</v>
      </c>
      <c r="R210" s="32">
        <v>0.8</v>
      </c>
      <c r="S210" s="32">
        <v>6.7857142857142866E-2</v>
      </c>
      <c r="T210" s="32">
        <v>8.2857142857142865E-2</v>
      </c>
      <c r="U210" s="32">
        <v>2714285.714285715</v>
      </c>
      <c r="V210" s="32">
        <v>3314285.714285715</v>
      </c>
      <c r="W210" s="32"/>
      <c r="X210" s="32"/>
      <c r="Y210" s="32"/>
      <c r="Z210" s="32"/>
      <c r="AA210" s="32">
        <v>0.02</v>
      </c>
      <c r="AB210" s="32">
        <v>0.05</v>
      </c>
      <c r="AC210" s="32">
        <v>4.2500000000000003E-2</v>
      </c>
      <c r="AD210" s="32">
        <v>0.23287671232876711</v>
      </c>
      <c r="AE210" s="32">
        <v>632093.93346379662</v>
      </c>
      <c r="AF210" s="32">
        <v>771819.96086105681</v>
      </c>
      <c r="AG210" s="32" t="s">
        <v>1467</v>
      </c>
      <c r="AH210" s="32" t="s">
        <v>1468</v>
      </c>
      <c r="AI210" s="32" t="s">
        <v>2046</v>
      </c>
      <c r="AJ210" s="32"/>
      <c r="AK210" s="28"/>
      <c r="AL210" s="18" t="str">
        <f t="shared" si="3"/>
        <v>Are financial instruments, such as hedging or long-term contracts, used to manage risks in vegetable oil procurement?_</v>
      </c>
    </row>
    <row r="211" spans="1:38" ht="58" x14ac:dyDescent="0.35">
      <c r="A211" s="32">
        <v>6</v>
      </c>
      <c r="B211" s="32" t="s">
        <v>1451</v>
      </c>
      <c r="C211" s="32" t="s">
        <v>1452</v>
      </c>
      <c r="D211" s="32" t="s">
        <v>1224</v>
      </c>
      <c r="E211" s="32" t="s">
        <v>1453</v>
      </c>
      <c r="F211" s="32"/>
      <c r="G211" s="32" t="s">
        <v>1284</v>
      </c>
      <c r="H211" s="32" t="s">
        <v>1579</v>
      </c>
      <c r="I211" s="32"/>
      <c r="J211" s="32" t="s">
        <v>1260</v>
      </c>
      <c r="K211" s="32" t="s">
        <v>1302</v>
      </c>
      <c r="L211" s="32" t="s">
        <v>1303</v>
      </c>
      <c r="M211" s="32" t="s">
        <v>1304</v>
      </c>
      <c r="N211" s="32" t="s">
        <v>1305</v>
      </c>
      <c r="O211" s="32">
        <v>1</v>
      </c>
      <c r="P211" s="32">
        <v>0.04</v>
      </c>
      <c r="Q211" s="32">
        <v>0.1</v>
      </c>
      <c r="R211" s="32">
        <v>0.8</v>
      </c>
      <c r="S211" s="32">
        <v>6.7857142857142866E-2</v>
      </c>
      <c r="T211" s="32">
        <v>8.2857142857142865E-2</v>
      </c>
      <c r="U211" s="32">
        <v>2714285.714285715</v>
      </c>
      <c r="V211" s="32">
        <v>3314285.714285715</v>
      </c>
      <c r="W211" s="32"/>
      <c r="X211" s="32"/>
      <c r="Y211" s="32"/>
      <c r="Z211" s="32"/>
      <c r="AA211" s="32">
        <v>0.02</v>
      </c>
      <c r="AB211" s="32">
        <v>0.05</v>
      </c>
      <c r="AC211" s="32">
        <v>4.2500000000000003E-2</v>
      </c>
      <c r="AD211" s="32">
        <v>0.23287671232876711</v>
      </c>
      <c r="AE211" s="32">
        <v>632093.93346379662</v>
      </c>
      <c r="AF211" s="32">
        <v>771819.96086105681</v>
      </c>
      <c r="AG211" s="32" t="s">
        <v>1471</v>
      </c>
      <c r="AH211" s="32" t="s">
        <v>1472</v>
      </c>
      <c r="AI211" s="32" t="s">
        <v>2046</v>
      </c>
      <c r="AJ211" s="32"/>
      <c r="AK211" s="28"/>
      <c r="AL211" s="18" t="str">
        <f t="shared" si="3"/>
        <v>Are financial instruments, such as hedging or long-term contracts, used to manage risks in vegetable oil procurement?_</v>
      </c>
    </row>
    <row r="212" spans="1:38" ht="58" x14ac:dyDescent="0.35">
      <c r="A212" s="32">
        <v>6</v>
      </c>
      <c r="B212" s="32" t="s">
        <v>1451</v>
      </c>
      <c r="C212" s="32" t="s">
        <v>1452</v>
      </c>
      <c r="D212" s="32" t="s">
        <v>1224</v>
      </c>
      <c r="E212" s="32" t="s">
        <v>1453</v>
      </c>
      <c r="F212" s="32"/>
      <c r="G212" s="32" t="s">
        <v>1284</v>
      </c>
      <c r="H212" s="32" t="s">
        <v>1579</v>
      </c>
      <c r="I212" s="32"/>
      <c r="J212" s="32" t="s">
        <v>1260</v>
      </c>
      <c r="K212" s="32" t="s">
        <v>1302</v>
      </c>
      <c r="L212" s="32" t="s">
        <v>1303</v>
      </c>
      <c r="M212" s="32" t="s">
        <v>1304</v>
      </c>
      <c r="N212" s="32" t="s">
        <v>1305</v>
      </c>
      <c r="O212" s="32">
        <v>1</v>
      </c>
      <c r="P212" s="32">
        <v>0.04</v>
      </c>
      <c r="Q212" s="32">
        <v>0.1</v>
      </c>
      <c r="R212" s="32">
        <v>0.8</v>
      </c>
      <c r="S212" s="32">
        <v>6.7857142857142866E-2</v>
      </c>
      <c r="T212" s="32">
        <v>8.2857142857142865E-2</v>
      </c>
      <c r="U212" s="32">
        <v>2714285.714285715</v>
      </c>
      <c r="V212" s="32">
        <v>3314285.714285715</v>
      </c>
      <c r="W212" s="32"/>
      <c r="X212" s="32"/>
      <c r="Y212" s="32"/>
      <c r="Z212" s="32"/>
      <c r="AA212" s="32">
        <v>0.02</v>
      </c>
      <c r="AB212" s="32">
        <v>0.05</v>
      </c>
      <c r="AC212" s="32">
        <v>4.2500000000000003E-2</v>
      </c>
      <c r="AD212" s="32">
        <v>0.23287671232876711</v>
      </c>
      <c r="AE212" s="32">
        <v>632093.93346379662</v>
      </c>
      <c r="AF212" s="32">
        <v>771819.96086105681</v>
      </c>
      <c r="AG212" s="32" t="s">
        <v>1475</v>
      </c>
      <c r="AH212" s="32" t="s">
        <v>1476</v>
      </c>
      <c r="AI212" s="32" t="s">
        <v>2046</v>
      </c>
      <c r="AJ212" s="32"/>
      <c r="AK212" s="28"/>
      <c r="AL212" s="18" t="str">
        <f t="shared" si="3"/>
        <v>Are financial instruments, such as hedging or long-term contracts, used to manage risks in vegetable oil procurement?_</v>
      </c>
    </row>
    <row r="213" spans="1:38" ht="58" x14ac:dyDescent="0.35">
      <c r="A213" s="32">
        <v>6</v>
      </c>
      <c r="B213" s="32" t="s">
        <v>1451</v>
      </c>
      <c r="C213" s="32" t="s">
        <v>1452</v>
      </c>
      <c r="D213" s="32" t="s">
        <v>1224</v>
      </c>
      <c r="E213" s="32" t="s">
        <v>1453</v>
      </c>
      <c r="F213" s="32"/>
      <c r="G213" s="32" t="s">
        <v>1284</v>
      </c>
      <c r="H213" s="32" t="s">
        <v>1579</v>
      </c>
      <c r="I213" s="32"/>
      <c r="J213" s="32" t="s">
        <v>1260</v>
      </c>
      <c r="K213" s="32" t="s">
        <v>1302</v>
      </c>
      <c r="L213" s="32" t="s">
        <v>1303</v>
      </c>
      <c r="M213" s="32" t="s">
        <v>1304</v>
      </c>
      <c r="N213" s="32" t="s">
        <v>1305</v>
      </c>
      <c r="O213" s="32">
        <v>1</v>
      </c>
      <c r="P213" s="32">
        <v>0.04</v>
      </c>
      <c r="Q213" s="32">
        <v>0.1</v>
      </c>
      <c r="R213" s="32">
        <v>0.8</v>
      </c>
      <c r="S213" s="32">
        <v>6.7857142857142866E-2</v>
      </c>
      <c r="T213" s="32">
        <v>8.2857142857142865E-2</v>
      </c>
      <c r="U213" s="32">
        <v>2714285.714285715</v>
      </c>
      <c r="V213" s="32">
        <v>3314285.714285715</v>
      </c>
      <c r="W213" s="32"/>
      <c r="X213" s="32"/>
      <c r="Y213" s="32"/>
      <c r="Z213" s="32"/>
      <c r="AA213" s="32">
        <v>0.02</v>
      </c>
      <c r="AB213" s="32">
        <v>0.05</v>
      </c>
      <c r="AC213" s="32">
        <v>4.2500000000000003E-2</v>
      </c>
      <c r="AD213" s="32">
        <v>0.23287671232876711</v>
      </c>
      <c r="AE213" s="32">
        <v>632093.93346379662</v>
      </c>
      <c r="AF213" s="32">
        <v>771819.96086105681</v>
      </c>
      <c r="AG213" s="32" t="s">
        <v>1477</v>
      </c>
      <c r="AH213" s="32" t="s">
        <v>1478</v>
      </c>
      <c r="AI213" s="32" t="s">
        <v>2046</v>
      </c>
      <c r="AJ213" s="32"/>
      <c r="AK213" s="28"/>
      <c r="AL213" s="18" t="str">
        <f t="shared" si="3"/>
        <v>Are financial instruments, such as hedging or long-term contracts, used to manage risks in vegetable oil procurement?_</v>
      </c>
    </row>
    <row r="214" spans="1:38" ht="58" x14ac:dyDescent="0.35">
      <c r="A214" s="32">
        <v>6</v>
      </c>
      <c r="B214" s="32" t="s">
        <v>1451</v>
      </c>
      <c r="C214" s="32" t="s">
        <v>1452</v>
      </c>
      <c r="D214" s="32" t="s">
        <v>1224</v>
      </c>
      <c r="E214" s="32" t="s">
        <v>1453</v>
      </c>
      <c r="F214" s="32"/>
      <c r="G214" s="32" t="s">
        <v>1284</v>
      </c>
      <c r="H214" s="32" t="s">
        <v>1579</v>
      </c>
      <c r="I214" s="32"/>
      <c r="J214" s="32" t="s">
        <v>1260</v>
      </c>
      <c r="K214" s="32" t="s">
        <v>1302</v>
      </c>
      <c r="L214" s="32" t="s">
        <v>1303</v>
      </c>
      <c r="M214" s="32" t="s">
        <v>1304</v>
      </c>
      <c r="N214" s="32" t="s">
        <v>1305</v>
      </c>
      <c r="O214" s="32">
        <v>1</v>
      </c>
      <c r="P214" s="32">
        <v>0.04</v>
      </c>
      <c r="Q214" s="32">
        <v>0.1</v>
      </c>
      <c r="R214" s="32">
        <v>0.8</v>
      </c>
      <c r="S214" s="32">
        <v>6.7857142857142866E-2</v>
      </c>
      <c r="T214" s="32">
        <v>8.2857142857142865E-2</v>
      </c>
      <c r="U214" s="32">
        <v>2714285.714285715</v>
      </c>
      <c r="V214" s="32">
        <v>3314285.714285715</v>
      </c>
      <c r="W214" s="32"/>
      <c r="X214" s="32"/>
      <c r="Y214" s="32"/>
      <c r="Z214" s="32"/>
      <c r="AA214" s="32">
        <v>0.02</v>
      </c>
      <c r="AB214" s="32">
        <v>0.05</v>
      </c>
      <c r="AC214" s="32">
        <v>4.2500000000000003E-2</v>
      </c>
      <c r="AD214" s="32">
        <v>0.23287671232876711</v>
      </c>
      <c r="AE214" s="32">
        <v>632093.93346379662</v>
      </c>
      <c r="AF214" s="32">
        <v>771819.96086105681</v>
      </c>
      <c r="AG214" s="32" t="s">
        <v>1481</v>
      </c>
      <c r="AH214" s="32" t="s">
        <v>1482</v>
      </c>
      <c r="AI214" s="32" t="s">
        <v>2046</v>
      </c>
      <c r="AJ214" s="32"/>
      <c r="AK214" s="28"/>
      <c r="AL214" s="18" t="str">
        <f t="shared" si="3"/>
        <v>Are financial instruments, such as hedging or long-term contracts, used to manage risks in vegetable oil procurement?_</v>
      </c>
    </row>
    <row r="215" spans="1:38" ht="58" x14ac:dyDescent="0.35">
      <c r="A215" s="32">
        <v>6</v>
      </c>
      <c r="B215" s="32" t="s">
        <v>1451</v>
      </c>
      <c r="C215" s="32" t="s">
        <v>1452</v>
      </c>
      <c r="D215" s="32" t="s">
        <v>1224</v>
      </c>
      <c r="E215" s="32" t="s">
        <v>1453</v>
      </c>
      <c r="F215" s="32"/>
      <c r="G215" s="32" t="s">
        <v>1284</v>
      </c>
      <c r="H215" s="32" t="s">
        <v>1579</v>
      </c>
      <c r="I215" s="32"/>
      <c r="J215" s="32" t="s">
        <v>1260</v>
      </c>
      <c r="K215" s="32" t="s">
        <v>1302</v>
      </c>
      <c r="L215" s="32" t="s">
        <v>1303</v>
      </c>
      <c r="M215" s="32" t="s">
        <v>1304</v>
      </c>
      <c r="N215" s="32" t="s">
        <v>1305</v>
      </c>
      <c r="O215" s="32">
        <v>1</v>
      </c>
      <c r="P215" s="32">
        <v>0.04</v>
      </c>
      <c r="Q215" s="32">
        <v>0.1</v>
      </c>
      <c r="R215" s="32">
        <v>0.8</v>
      </c>
      <c r="S215" s="32">
        <v>6.7857142857142866E-2</v>
      </c>
      <c r="T215" s="32">
        <v>8.2857142857142865E-2</v>
      </c>
      <c r="U215" s="32">
        <v>2714285.714285715</v>
      </c>
      <c r="V215" s="32">
        <v>3314285.714285715</v>
      </c>
      <c r="W215" s="32"/>
      <c r="X215" s="32"/>
      <c r="Y215" s="32"/>
      <c r="Z215" s="32"/>
      <c r="AA215" s="32">
        <v>0.02</v>
      </c>
      <c r="AB215" s="32">
        <v>0.05</v>
      </c>
      <c r="AC215" s="32">
        <v>4.2500000000000003E-2</v>
      </c>
      <c r="AD215" s="32">
        <v>0.23287671232876711</v>
      </c>
      <c r="AE215" s="32">
        <v>632093.93346379662</v>
      </c>
      <c r="AF215" s="32">
        <v>771819.96086105681</v>
      </c>
      <c r="AG215" s="32" t="s">
        <v>1483</v>
      </c>
      <c r="AH215" s="32" t="s">
        <v>1484</v>
      </c>
      <c r="AI215" s="32" t="s">
        <v>2046</v>
      </c>
      <c r="AJ215" s="32"/>
      <c r="AK215" s="28"/>
      <c r="AL215" s="18" t="str">
        <f t="shared" si="3"/>
        <v>Are financial instruments, such as hedging or long-term contracts, used to manage risks in vegetable oil procurement?_</v>
      </c>
    </row>
    <row r="216" spans="1:38" ht="58" x14ac:dyDescent="0.35">
      <c r="A216" s="32">
        <v>6</v>
      </c>
      <c r="B216" s="32" t="s">
        <v>1451</v>
      </c>
      <c r="C216" s="32" t="s">
        <v>1452</v>
      </c>
      <c r="D216" s="32" t="s">
        <v>1224</v>
      </c>
      <c r="E216" s="32" t="s">
        <v>1453</v>
      </c>
      <c r="F216" s="32"/>
      <c r="G216" s="32" t="s">
        <v>1284</v>
      </c>
      <c r="H216" s="32" t="s">
        <v>1579</v>
      </c>
      <c r="I216" s="32"/>
      <c r="J216" s="32" t="s">
        <v>1260</v>
      </c>
      <c r="K216" s="32" t="s">
        <v>1302</v>
      </c>
      <c r="L216" s="32" t="s">
        <v>1303</v>
      </c>
      <c r="M216" s="32" t="s">
        <v>1304</v>
      </c>
      <c r="N216" s="32" t="s">
        <v>1305</v>
      </c>
      <c r="O216" s="32">
        <v>1</v>
      </c>
      <c r="P216" s="32">
        <v>0.04</v>
      </c>
      <c r="Q216" s="32">
        <v>0.1</v>
      </c>
      <c r="R216" s="32">
        <v>0.8</v>
      </c>
      <c r="S216" s="32">
        <v>6.7857142857142866E-2</v>
      </c>
      <c r="T216" s="32">
        <v>8.2857142857142865E-2</v>
      </c>
      <c r="U216" s="32">
        <v>2714285.714285715</v>
      </c>
      <c r="V216" s="32">
        <v>3314285.714285715</v>
      </c>
      <c r="W216" s="32"/>
      <c r="X216" s="32"/>
      <c r="Y216" s="32"/>
      <c r="Z216" s="32"/>
      <c r="AA216" s="32">
        <v>0.02</v>
      </c>
      <c r="AB216" s="32">
        <v>0.05</v>
      </c>
      <c r="AC216" s="32">
        <v>4.2500000000000003E-2</v>
      </c>
      <c r="AD216" s="32">
        <v>0.23287671232876711</v>
      </c>
      <c r="AE216" s="32">
        <v>632093.93346379662</v>
      </c>
      <c r="AF216" s="32">
        <v>771819.96086105681</v>
      </c>
      <c r="AG216" s="32" t="s">
        <v>1486</v>
      </c>
      <c r="AH216" s="32" t="s">
        <v>1487</v>
      </c>
      <c r="AI216" s="32" t="s">
        <v>2046</v>
      </c>
      <c r="AJ216" s="32"/>
      <c r="AK216" s="28"/>
      <c r="AL216" s="18" t="str">
        <f t="shared" si="3"/>
        <v>Are financial instruments, such as hedging or long-term contracts, used to manage risks in vegetable oil procurement?_</v>
      </c>
    </row>
    <row r="217" spans="1:38" ht="58" x14ac:dyDescent="0.35">
      <c r="A217" s="32">
        <v>6</v>
      </c>
      <c r="B217" s="32" t="s">
        <v>1451</v>
      </c>
      <c r="C217" s="32" t="s">
        <v>1452</v>
      </c>
      <c r="D217" s="32" t="s">
        <v>1224</v>
      </c>
      <c r="E217" s="32" t="s">
        <v>1453</v>
      </c>
      <c r="F217" s="32"/>
      <c r="G217" s="32" t="s">
        <v>1284</v>
      </c>
      <c r="H217" s="32" t="s">
        <v>1579</v>
      </c>
      <c r="I217" s="32"/>
      <c r="J217" s="32" t="s">
        <v>1260</v>
      </c>
      <c r="K217" s="32" t="s">
        <v>1302</v>
      </c>
      <c r="L217" s="32" t="s">
        <v>1303</v>
      </c>
      <c r="M217" s="32" t="s">
        <v>1304</v>
      </c>
      <c r="N217" s="32" t="s">
        <v>1305</v>
      </c>
      <c r="O217" s="32">
        <v>1</v>
      </c>
      <c r="P217" s="32">
        <v>0.04</v>
      </c>
      <c r="Q217" s="32">
        <v>0.1</v>
      </c>
      <c r="R217" s="32">
        <v>0.8</v>
      </c>
      <c r="S217" s="32">
        <v>6.7857142857142866E-2</v>
      </c>
      <c r="T217" s="32">
        <v>8.2857142857142865E-2</v>
      </c>
      <c r="U217" s="32">
        <v>2714285.714285715</v>
      </c>
      <c r="V217" s="32">
        <v>3314285.714285715</v>
      </c>
      <c r="W217" s="32"/>
      <c r="X217" s="32"/>
      <c r="Y217" s="32"/>
      <c r="Z217" s="32"/>
      <c r="AA217" s="32">
        <v>0.02</v>
      </c>
      <c r="AB217" s="32">
        <v>0.05</v>
      </c>
      <c r="AC217" s="32">
        <v>4.2500000000000003E-2</v>
      </c>
      <c r="AD217" s="32">
        <v>0.23287671232876711</v>
      </c>
      <c r="AE217" s="32">
        <v>632093.93346379662</v>
      </c>
      <c r="AF217" s="32">
        <v>771819.96086105681</v>
      </c>
      <c r="AG217" s="32" t="s">
        <v>1488</v>
      </c>
      <c r="AH217" s="32" t="s">
        <v>1489</v>
      </c>
      <c r="AI217" s="32" t="s">
        <v>2046</v>
      </c>
      <c r="AJ217" s="32"/>
      <c r="AK217" s="28"/>
      <c r="AL217" s="18" t="str">
        <f t="shared" si="3"/>
        <v>Are financial instruments, such as hedging or long-term contracts, used to manage risks in vegetable oil procurement?_</v>
      </c>
    </row>
    <row r="218" spans="1:38" ht="58" x14ac:dyDescent="0.35">
      <c r="A218" s="32">
        <v>6</v>
      </c>
      <c r="B218" s="32" t="s">
        <v>1451</v>
      </c>
      <c r="C218" s="32" t="s">
        <v>1452</v>
      </c>
      <c r="D218" s="32" t="s">
        <v>1224</v>
      </c>
      <c r="E218" s="32" t="s">
        <v>1453</v>
      </c>
      <c r="F218" s="32"/>
      <c r="G218" s="32" t="s">
        <v>1284</v>
      </c>
      <c r="H218" s="32" t="s">
        <v>1579</v>
      </c>
      <c r="I218" s="32"/>
      <c r="J218" s="32" t="s">
        <v>1260</v>
      </c>
      <c r="K218" s="32" t="s">
        <v>1302</v>
      </c>
      <c r="L218" s="32" t="s">
        <v>1303</v>
      </c>
      <c r="M218" s="32" t="s">
        <v>1304</v>
      </c>
      <c r="N218" s="32" t="s">
        <v>1305</v>
      </c>
      <c r="O218" s="32">
        <v>1</v>
      </c>
      <c r="P218" s="32">
        <v>0.04</v>
      </c>
      <c r="Q218" s="32">
        <v>0.1</v>
      </c>
      <c r="R218" s="32">
        <v>0.8</v>
      </c>
      <c r="S218" s="32">
        <v>6.7857142857142866E-2</v>
      </c>
      <c r="T218" s="32">
        <v>8.2857142857142865E-2</v>
      </c>
      <c r="U218" s="32">
        <v>2714285.714285715</v>
      </c>
      <c r="V218" s="32">
        <v>3314285.714285715</v>
      </c>
      <c r="W218" s="32"/>
      <c r="X218" s="32"/>
      <c r="Y218" s="32"/>
      <c r="Z218" s="32"/>
      <c r="AA218" s="32">
        <v>0.02</v>
      </c>
      <c r="AB218" s="32">
        <v>0.05</v>
      </c>
      <c r="AC218" s="32">
        <v>4.2500000000000003E-2</v>
      </c>
      <c r="AD218" s="32">
        <v>0.23287671232876711</v>
      </c>
      <c r="AE218" s="32">
        <v>632093.93346379662</v>
      </c>
      <c r="AF218" s="32">
        <v>771819.96086105681</v>
      </c>
      <c r="AG218" s="32" t="s">
        <v>1490</v>
      </c>
      <c r="AH218" s="32" t="s">
        <v>1491</v>
      </c>
      <c r="AI218" s="32" t="s">
        <v>2046</v>
      </c>
      <c r="AJ218" s="32"/>
      <c r="AK218" s="28"/>
      <c r="AL218" s="18" t="str">
        <f t="shared" si="3"/>
        <v>Are financial instruments, such as hedging or long-term contracts, used to manage risks in vegetable oil procurement?_</v>
      </c>
    </row>
    <row r="219" spans="1:38" ht="58" x14ac:dyDescent="0.35">
      <c r="A219" s="32">
        <v>6</v>
      </c>
      <c r="B219" s="32" t="s">
        <v>1451</v>
      </c>
      <c r="C219" s="32" t="s">
        <v>1452</v>
      </c>
      <c r="D219" s="32" t="s">
        <v>1224</v>
      </c>
      <c r="E219" s="32" t="s">
        <v>1453</v>
      </c>
      <c r="F219" s="32"/>
      <c r="G219" s="32" t="s">
        <v>1284</v>
      </c>
      <c r="H219" s="32" t="s">
        <v>1579</v>
      </c>
      <c r="I219" s="32"/>
      <c r="J219" s="32" t="s">
        <v>1260</v>
      </c>
      <c r="K219" s="32" t="s">
        <v>1302</v>
      </c>
      <c r="L219" s="32" t="s">
        <v>1303</v>
      </c>
      <c r="M219" s="32" t="s">
        <v>1304</v>
      </c>
      <c r="N219" s="32" t="s">
        <v>1305</v>
      </c>
      <c r="O219" s="32">
        <v>1</v>
      </c>
      <c r="P219" s="32">
        <v>0.04</v>
      </c>
      <c r="Q219" s="32">
        <v>0.1</v>
      </c>
      <c r="R219" s="32">
        <v>0.8</v>
      </c>
      <c r="S219" s="32">
        <v>6.7857142857142866E-2</v>
      </c>
      <c r="T219" s="32">
        <v>8.2857142857142865E-2</v>
      </c>
      <c r="U219" s="32">
        <v>2714285.714285715</v>
      </c>
      <c r="V219" s="32">
        <v>3314285.714285715</v>
      </c>
      <c r="W219" s="32"/>
      <c r="X219" s="32"/>
      <c r="Y219" s="32"/>
      <c r="Z219" s="32"/>
      <c r="AA219" s="32">
        <v>0.02</v>
      </c>
      <c r="AB219" s="32">
        <v>0.05</v>
      </c>
      <c r="AC219" s="32">
        <v>4.2500000000000003E-2</v>
      </c>
      <c r="AD219" s="32">
        <v>0.23287671232876711</v>
      </c>
      <c r="AE219" s="32">
        <v>632093.93346379662</v>
      </c>
      <c r="AF219" s="32">
        <v>771819.96086105681</v>
      </c>
      <c r="AG219" s="32" t="s">
        <v>1492</v>
      </c>
      <c r="AH219" s="32" t="s">
        <v>1538</v>
      </c>
      <c r="AI219" s="32" t="s">
        <v>1493</v>
      </c>
      <c r="AJ219" s="32"/>
      <c r="AK219" s="28"/>
      <c r="AL219" s="18" t="str">
        <f t="shared" si="3"/>
        <v>Are financial instruments, such as hedging or long-term contracts, used to manage risks in vegetable oil procurement?_</v>
      </c>
    </row>
    <row r="220" spans="1:38" ht="58" x14ac:dyDescent="0.35">
      <c r="A220" s="32">
        <v>6</v>
      </c>
      <c r="B220" s="32" t="s">
        <v>1451</v>
      </c>
      <c r="C220" s="32" t="s">
        <v>1452</v>
      </c>
      <c r="D220" s="32" t="s">
        <v>1224</v>
      </c>
      <c r="E220" s="32" t="s">
        <v>1453</v>
      </c>
      <c r="F220" s="32"/>
      <c r="G220" s="32" t="s">
        <v>1284</v>
      </c>
      <c r="H220" s="32" t="s">
        <v>1579</v>
      </c>
      <c r="I220" s="32"/>
      <c r="J220" s="32" t="s">
        <v>1260</v>
      </c>
      <c r="K220" s="32" t="s">
        <v>1302</v>
      </c>
      <c r="L220" s="32" t="s">
        <v>1303</v>
      </c>
      <c r="M220" s="32" t="s">
        <v>1304</v>
      </c>
      <c r="N220" s="32" t="s">
        <v>1305</v>
      </c>
      <c r="O220" s="32">
        <v>1</v>
      </c>
      <c r="P220" s="32">
        <v>0.04</v>
      </c>
      <c r="Q220" s="32">
        <v>0.1</v>
      </c>
      <c r="R220" s="32">
        <v>0.8</v>
      </c>
      <c r="S220" s="32">
        <v>6.7857142857142866E-2</v>
      </c>
      <c r="T220" s="32">
        <v>8.2857142857142865E-2</v>
      </c>
      <c r="U220" s="32">
        <v>2714285.714285715</v>
      </c>
      <c r="V220" s="32">
        <v>3314285.714285715</v>
      </c>
      <c r="W220" s="32"/>
      <c r="X220" s="32"/>
      <c r="Y220" s="32"/>
      <c r="Z220" s="32"/>
      <c r="AA220" s="32">
        <v>0.02</v>
      </c>
      <c r="AB220" s="32">
        <v>0.05</v>
      </c>
      <c r="AC220" s="32">
        <v>4.2500000000000003E-2</v>
      </c>
      <c r="AD220" s="32">
        <v>0.23287671232876711</v>
      </c>
      <c r="AE220" s="32">
        <v>632093.93346379662</v>
      </c>
      <c r="AF220" s="32">
        <v>771819.96086105681</v>
      </c>
      <c r="AG220" s="32" t="s">
        <v>1494</v>
      </c>
      <c r="AH220" s="32" t="s">
        <v>1539</v>
      </c>
      <c r="AI220" s="32" t="s">
        <v>1493</v>
      </c>
      <c r="AJ220" s="32"/>
      <c r="AK220" s="28"/>
      <c r="AL220" s="18" t="str">
        <f t="shared" si="3"/>
        <v>Are financial instruments, such as hedging or long-term contracts, used to manage risks in vegetable oil procurement?_</v>
      </c>
    </row>
    <row r="221" spans="1:38" ht="58" x14ac:dyDescent="0.35">
      <c r="A221" s="32">
        <v>6</v>
      </c>
      <c r="B221" s="32" t="s">
        <v>1451</v>
      </c>
      <c r="C221" s="32" t="s">
        <v>1452</v>
      </c>
      <c r="D221" s="32" t="s">
        <v>1224</v>
      </c>
      <c r="E221" s="32" t="s">
        <v>1453</v>
      </c>
      <c r="F221" s="32"/>
      <c r="G221" s="32" t="s">
        <v>1284</v>
      </c>
      <c r="H221" s="32" t="s">
        <v>1579</v>
      </c>
      <c r="I221" s="32"/>
      <c r="J221" s="32" t="s">
        <v>1260</v>
      </c>
      <c r="K221" s="32" t="s">
        <v>1302</v>
      </c>
      <c r="L221" s="32" t="s">
        <v>1303</v>
      </c>
      <c r="M221" s="32" t="s">
        <v>1304</v>
      </c>
      <c r="N221" s="32" t="s">
        <v>1305</v>
      </c>
      <c r="O221" s="32">
        <v>1</v>
      </c>
      <c r="P221" s="32">
        <v>0.04</v>
      </c>
      <c r="Q221" s="32">
        <v>0.1</v>
      </c>
      <c r="R221" s="32">
        <v>0.8</v>
      </c>
      <c r="S221" s="32">
        <v>6.7857142857142866E-2</v>
      </c>
      <c r="T221" s="32">
        <v>8.2857142857142865E-2</v>
      </c>
      <c r="U221" s="32">
        <v>2714285.714285715</v>
      </c>
      <c r="V221" s="32">
        <v>3314285.714285715</v>
      </c>
      <c r="W221" s="32"/>
      <c r="X221" s="32"/>
      <c r="Y221" s="32"/>
      <c r="Z221" s="32"/>
      <c r="AA221" s="32">
        <v>0.02</v>
      </c>
      <c r="AB221" s="32">
        <v>0.05</v>
      </c>
      <c r="AC221" s="32">
        <v>4.2500000000000003E-2</v>
      </c>
      <c r="AD221" s="32">
        <v>0.23287671232876711</v>
      </c>
      <c r="AE221" s="32">
        <v>632093.93346379662</v>
      </c>
      <c r="AF221" s="32">
        <v>771819.96086105681</v>
      </c>
      <c r="AG221" s="32" t="s">
        <v>1495</v>
      </c>
      <c r="AH221" s="32"/>
      <c r="AI221" s="32" t="s">
        <v>1493</v>
      </c>
      <c r="AJ221" s="32"/>
      <c r="AK221" s="28"/>
      <c r="AL221" s="18" t="str">
        <f t="shared" si="3"/>
        <v>Are financial instruments, such as hedging or long-term contracts, used to manage risks in vegetable oil procurement?_</v>
      </c>
    </row>
    <row r="222" spans="1:38" ht="58" x14ac:dyDescent="0.35">
      <c r="A222" s="32">
        <v>6</v>
      </c>
      <c r="B222" s="32" t="s">
        <v>1451</v>
      </c>
      <c r="C222" s="32" t="s">
        <v>1452</v>
      </c>
      <c r="D222" s="32" t="s">
        <v>1224</v>
      </c>
      <c r="E222" s="32" t="s">
        <v>1453</v>
      </c>
      <c r="F222" s="32"/>
      <c r="G222" s="32" t="s">
        <v>1284</v>
      </c>
      <c r="H222" s="32" t="s">
        <v>1579</v>
      </c>
      <c r="I222" s="32"/>
      <c r="J222" s="32" t="s">
        <v>1260</v>
      </c>
      <c r="K222" s="32" t="s">
        <v>1302</v>
      </c>
      <c r="L222" s="32" t="s">
        <v>1303</v>
      </c>
      <c r="M222" s="32" t="s">
        <v>1304</v>
      </c>
      <c r="N222" s="32" t="s">
        <v>1305</v>
      </c>
      <c r="O222" s="32">
        <v>1</v>
      </c>
      <c r="P222" s="32">
        <v>0.04</v>
      </c>
      <c r="Q222" s="32">
        <v>0.1</v>
      </c>
      <c r="R222" s="32">
        <v>0.8</v>
      </c>
      <c r="S222" s="32">
        <v>6.7857142857142866E-2</v>
      </c>
      <c r="T222" s="32">
        <v>8.2857142857142865E-2</v>
      </c>
      <c r="U222" s="32">
        <v>2714285.714285715</v>
      </c>
      <c r="V222" s="32">
        <v>3314285.714285715</v>
      </c>
      <c r="W222" s="32"/>
      <c r="X222" s="32"/>
      <c r="Y222" s="32"/>
      <c r="Z222" s="32"/>
      <c r="AA222" s="32">
        <v>0.02</v>
      </c>
      <c r="AB222" s="32">
        <v>0.05</v>
      </c>
      <c r="AC222" s="32">
        <v>4.2500000000000003E-2</v>
      </c>
      <c r="AD222" s="32">
        <v>0.23287671232876711</v>
      </c>
      <c r="AE222" s="32">
        <v>632093.93346379662</v>
      </c>
      <c r="AF222" s="32">
        <v>771819.96086105681</v>
      </c>
      <c r="AG222" s="32" t="s">
        <v>1496</v>
      </c>
      <c r="AH222" s="32"/>
      <c r="AI222" s="32" t="s">
        <v>1493</v>
      </c>
      <c r="AJ222" s="32"/>
      <c r="AK222" s="28"/>
      <c r="AL222" s="18" t="str">
        <f t="shared" si="3"/>
        <v>Are financial instruments, such as hedging or long-term contracts, used to manage risks in vegetable oil procurement?_</v>
      </c>
    </row>
    <row r="223" spans="1:38" ht="159.5" x14ac:dyDescent="0.35">
      <c r="A223" s="32">
        <v>6</v>
      </c>
      <c r="B223" s="32" t="s">
        <v>1451</v>
      </c>
      <c r="C223" s="32" t="s">
        <v>1452</v>
      </c>
      <c r="D223" s="32" t="s">
        <v>1224</v>
      </c>
      <c r="E223" s="32" t="s">
        <v>1453</v>
      </c>
      <c r="F223" s="32"/>
      <c r="G223" s="32" t="s">
        <v>1284</v>
      </c>
      <c r="H223" s="32" t="s">
        <v>1579</v>
      </c>
      <c r="I223" s="32"/>
      <c r="J223" s="32" t="s">
        <v>1260</v>
      </c>
      <c r="K223" s="32" t="s">
        <v>1302</v>
      </c>
      <c r="L223" s="32" t="s">
        <v>1303</v>
      </c>
      <c r="M223" s="32" t="s">
        <v>1304</v>
      </c>
      <c r="N223" s="32" t="s">
        <v>1305</v>
      </c>
      <c r="O223" s="32">
        <v>1</v>
      </c>
      <c r="P223" s="32">
        <v>0.04</v>
      </c>
      <c r="Q223" s="32">
        <v>0.1</v>
      </c>
      <c r="R223" s="32">
        <v>0.8</v>
      </c>
      <c r="S223" s="32">
        <v>6.7857142857142866E-2</v>
      </c>
      <c r="T223" s="32">
        <v>8.2857142857142865E-2</v>
      </c>
      <c r="U223" s="32">
        <v>2714285.714285715</v>
      </c>
      <c r="V223" s="32">
        <v>3314285.714285715</v>
      </c>
      <c r="W223" s="32"/>
      <c r="X223" s="32"/>
      <c r="Y223" s="32"/>
      <c r="Z223" s="32"/>
      <c r="AA223" s="32">
        <v>0.02</v>
      </c>
      <c r="AB223" s="32">
        <v>0.05</v>
      </c>
      <c r="AC223" s="32">
        <v>4.2500000000000003E-2</v>
      </c>
      <c r="AD223" s="32">
        <v>0.23287671232876711</v>
      </c>
      <c r="AE223" s="32">
        <v>632093.93346379662</v>
      </c>
      <c r="AF223" s="32">
        <v>771819.96086105681</v>
      </c>
      <c r="AG223" s="32" t="s">
        <v>1499</v>
      </c>
      <c r="AH223" s="32"/>
      <c r="AI223" s="32" t="s">
        <v>1493</v>
      </c>
      <c r="AJ223" s="32" t="s">
        <v>1590</v>
      </c>
      <c r="AK223" s="28" t="s">
        <v>2075</v>
      </c>
      <c r="AL223" s="18" t="str">
        <f t="shared" si="3"/>
        <v>Are financial instruments, such as hedging or long-term contracts, used to manage risks in vegetable oil procurement?_If external vegetable oil risk assessments show high price volatility and weather dependency, suggest approving and discovering multiple suppliers for specialty products across different oil types to hedge against commodity market risks and climate impacts; suggest big names to derisk</v>
      </c>
    </row>
    <row r="224" spans="1:38" ht="58" x14ac:dyDescent="0.35">
      <c r="A224" s="32">
        <v>6</v>
      </c>
      <c r="B224" s="32" t="s">
        <v>1451</v>
      </c>
      <c r="C224" s="32" t="s">
        <v>1452</v>
      </c>
      <c r="D224" s="32" t="s">
        <v>1224</v>
      </c>
      <c r="E224" s="32" t="s">
        <v>1453</v>
      </c>
      <c r="F224" s="32"/>
      <c r="G224" s="32" t="s">
        <v>1284</v>
      </c>
      <c r="H224" s="32" t="s">
        <v>1579</v>
      </c>
      <c r="I224" s="32"/>
      <c r="J224" s="32" t="s">
        <v>1260</v>
      </c>
      <c r="K224" s="32" t="s">
        <v>1302</v>
      </c>
      <c r="L224" s="32" t="s">
        <v>1303</v>
      </c>
      <c r="M224" s="32" t="s">
        <v>1304</v>
      </c>
      <c r="N224" s="32" t="s">
        <v>1305</v>
      </c>
      <c r="O224" s="32">
        <v>1</v>
      </c>
      <c r="P224" s="32">
        <v>0.04</v>
      </c>
      <c r="Q224" s="32">
        <v>0.1</v>
      </c>
      <c r="R224" s="32">
        <v>0.8</v>
      </c>
      <c r="S224" s="32">
        <v>6.7857142857142866E-2</v>
      </c>
      <c r="T224" s="32">
        <v>8.2857142857142865E-2</v>
      </c>
      <c r="U224" s="32">
        <v>2714285.714285715</v>
      </c>
      <c r="V224" s="32">
        <v>3314285.714285715</v>
      </c>
      <c r="W224" s="32"/>
      <c r="X224" s="32"/>
      <c r="Y224" s="32"/>
      <c r="Z224" s="32"/>
      <c r="AA224" s="32">
        <v>0.02</v>
      </c>
      <c r="AB224" s="32">
        <v>0.05</v>
      </c>
      <c r="AC224" s="32">
        <v>4.2500000000000003E-2</v>
      </c>
      <c r="AD224" s="32">
        <v>0.23287671232876711</v>
      </c>
      <c r="AE224" s="32">
        <v>632093.93346379662</v>
      </c>
      <c r="AF224" s="32">
        <v>771819.96086105681</v>
      </c>
      <c r="AG224" s="32" t="s">
        <v>1500</v>
      </c>
      <c r="AH224" s="32"/>
      <c r="AI224" s="32" t="s">
        <v>1493</v>
      </c>
      <c r="AJ224" s="32"/>
      <c r="AK224" s="28"/>
      <c r="AL224" s="18" t="str">
        <f t="shared" si="3"/>
        <v>Are financial instruments, such as hedging or long-term contracts, used to manage risks in vegetable oil procurement?_</v>
      </c>
    </row>
    <row r="225" spans="1:38" ht="58" x14ac:dyDescent="0.35">
      <c r="A225" s="32">
        <v>6</v>
      </c>
      <c r="B225" s="32" t="s">
        <v>1451</v>
      </c>
      <c r="C225" s="32" t="s">
        <v>1452</v>
      </c>
      <c r="D225" s="32" t="s">
        <v>1224</v>
      </c>
      <c r="E225" s="32" t="s">
        <v>1453</v>
      </c>
      <c r="F225" s="32"/>
      <c r="G225" s="32" t="s">
        <v>1284</v>
      </c>
      <c r="H225" s="32" t="s">
        <v>1579</v>
      </c>
      <c r="I225" s="32"/>
      <c r="J225" s="32" t="s">
        <v>1260</v>
      </c>
      <c r="K225" s="32" t="s">
        <v>1302</v>
      </c>
      <c r="L225" s="32" t="s">
        <v>1303</v>
      </c>
      <c r="M225" s="32" t="s">
        <v>1304</v>
      </c>
      <c r="N225" s="32" t="s">
        <v>1305</v>
      </c>
      <c r="O225" s="32">
        <v>1</v>
      </c>
      <c r="P225" s="32">
        <v>0.04</v>
      </c>
      <c r="Q225" s="32">
        <v>0.1</v>
      </c>
      <c r="R225" s="32">
        <v>0.8</v>
      </c>
      <c r="S225" s="32">
        <v>6.7857142857142866E-2</v>
      </c>
      <c r="T225" s="32">
        <v>8.2857142857142865E-2</v>
      </c>
      <c r="U225" s="32">
        <v>2714285.714285715</v>
      </c>
      <c r="V225" s="32">
        <v>3314285.714285715</v>
      </c>
      <c r="W225" s="32"/>
      <c r="X225" s="32"/>
      <c r="Y225" s="32"/>
      <c r="Z225" s="32"/>
      <c r="AA225" s="32">
        <v>0.02</v>
      </c>
      <c r="AB225" s="32">
        <v>0.05</v>
      </c>
      <c r="AC225" s="32">
        <v>4.2500000000000003E-2</v>
      </c>
      <c r="AD225" s="32">
        <v>0.23287671232876711</v>
      </c>
      <c r="AE225" s="32">
        <v>632093.93346379662</v>
      </c>
      <c r="AF225" s="32">
        <v>771819.96086105681</v>
      </c>
      <c r="AG225" s="32" t="s">
        <v>1501</v>
      </c>
      <c r="AH225" s="32"/>
      <c r="AI225" s="32" t="s">
        <v>1493</v>
      </c>
      <c r="AJ225" s="32"/>
      <c r="AK225" s="28"/>
      <c r="AL225" s="18" t="str">
        <f t="shared" si="3"/>
        <v>Are financial instruments, such as hedging or long-term contracts, used to manage risks in vegetable oil procurement?_</v>
      </c>
    </row>
    <row r="226" spans="1:38" ht="58" x14ac:dyDescent="0.35">
      <c r="A226" s="32">
        <v>6</v>
      </c>
      <c r="B226" s="32" t="s">
        <v>1451</v>
      </c>
      <c r="C226" s="32" t="s">
        <v>1452</v>
      </c>
      <c r="D226" s="32" t="s">
        <v>1224</v>
      </c>
      <c r="E226" s="32" t="s">
        <v>1453</v>
      </c>
      <c r="F226" s="32"/>
      <c r="G226" s="32" t="s">
        <v>1284</v>
      </c>
      <c r="H226" s="32" t="s">
        <v>1579</v>
      </c>
      <c r="I226" s="32"/>
      <c r="J226" s="32" t="s">
        <v>1260</v>
      </c>
      <c r="K226" s="32" t="s">
        <v>1302</v>
      </c>
      <c r="L226" s="32" t="s">
        <v>1303</v>
      </c>
      <c r="M226" s="32" t="s">
        <v>1304</v>
      </c>
      <c r="N226" s="32" t="s">
        <v>1305</v>
      </c>
      <c r="O226" s="32">
        <v>1</v>
      </c>
      <c r="P226" s="32">
        <v>0.04</v>
      </c>
      <c r="Q226" s="32">
        <v>0.1</v>
      </c>
      <c r="R226" s="32">
        <v>0.8</v>
      </c>
      <c r="S226" s="32">
        <v>6.7857142857142866E-2</v>
      </c>
      <c r="T226" s="32">
        <v>8.2857142857142865E-2</v>
      </c>
      <c r="U226" s="32">
        <v>2714285.714285715</v>
      </c>
      <c r="V226" s="32">
        <v>3314285.714285715</v>
      </c>
      <c r="W226" s="32"/>
      <c r="X226" s="32"/>
      <c r="Y226" s="32"/>
      <c r="Z226" s="32"/>
      <c r="AA226" s="32">
        <v>0.02</v>
      </c>
      <c r="AB226" s="32">
        <v>0.05</v>
      </c>
      <c r="AC226" s="32">
        <v>4.2500000000000003E-2</v>
      </c>
      <c r="AD226" s="32">
        <v>0.23287671232876711</v>
      </c>
      <c r="AE226" s="32">
        <v>632093.93346379662</v>
      </c>
      <c r="AF226" s="32">
        <v>771819.96086105681</v>
      </c>
      <c r="AG226" s="32" t="s">
        <v>1502</v>
      </c>
      <c r="AH226" s="32"/>
      <c r="AI226" s="32" t="s">
        <v>1493</v>
      </c>
      <c r="AJ226" s="32"/>
      <c r="AK226" s="28"/>
      <c r="AL226" s="18" t="str">
        <f t="shared" si="3"/>
        <v>Are financial instruments, such as hedging or long-term contracts, used to manage risks in vegetable oil procurement?_</v>
      </c>
    </row>
    <row r="227" spans="1:38" ht="58" x14ac:dyDescent="0.35">
      <c r="A227" s="32">
        <v>6</v>
      </c>
      <c r="B227" s="32" t="s">
        <v>1451</v>
      </c>
      <c r="C227" s="32" t="s">
        <v>1452</v>
      </c>
      <c r="D227" s="32" t="s">
        <v>1224</v>
      </c>
      <c r="E227" s="32" t="s">
        <v>1453</v>
      </c>
      <c r="F227" s="32"/>
      <c r="G227" s="32" t="s">
        <v>1284</v>
      </c>
      <c r="H227" s="32" t="s">
        <v>1579</v>
      </c>
      <c r="I227" s="32"/>
      <c r="J227" s="32" t="s">
        <v>1260</v>
      </c>
      <c r="K227" s="32" t="s">
        <v>1302</v>
      </c>
      <c r="L227" s="32" t="s">
        <v>1303</v>
      </c>
      <c r="M227" s="32" t="s">
        <v>1304</v>
      </c>
      <c r="N227" s="32" t="s">
        <v>1305</v>
      </c>
      <c r="O227" s="32">
        <v>1</v>
      </c>
      <c r="P227" s="32">
        <v>0.04</v>
      </c>
      <c r="Q227" s="32">
        <v>0.1</v>
      </c>
      <c r="R227" s="32">
        <v>0.8</v>
      </c>
      <c r="S227" s="32">
        <v>6.7857142857142866E-2</v>
      </c>
      <c r="T227" s="32">
        <v>8.2857142857142865E-2</v>
      </c>
      <c r="U227" s="32">
        <v>2714285.714285715</v>
      </c>
      <c r="V227" s="32">
        <v>3314285.714285715</v>
      </c>
      <c r="W227" s="32"/>
      <c r="X227" s="32"/>
      <c r="Y227" s="32"/>
      <c r="Z227" s="32"/>
      <c r="AA227" s="32">
        <v>0.02</v>
      </c>
      <c r="AB227" s="32">
        <v>0.05</v>
      </c>
      <c r="AC227" s="32">
        <v>4.2500000000000003E-2</v>
      </c>
      <c r="AD227" s="32">
        <v>0.23287671232876711</v>
      </c>
      <c r="AE227" s="32">
        <v>632093.93346379662</v>
      </c>
      <c r="AF227" s="32">
        <v>771819.96086105681</v>
      </c>
      <c r="AG227" s="32" t="s">
        <v>1503</v>
      </c>
      <c r="AH227" s="32"/>
      <c r="AI227" s="32" t="s">
        <v>1493</v>
      </c>
      <c r="AJ227" s="32"/>
      <c r="AK227" s="28"/>
      <c r="AL227" s="18" t="str">
        <f t="shared" si="3"/>
        <v>Are financial instruments, such as hedging or long-term contracts, used to manage risks in vegetable oil procurement?_</v>
      </c>
    </row>
    <row r="228" spans="1:38" ht="58" x14ac:dyDescent="0.35">
      <c r="A228" s="32">
        <v>6</v>
      </c>
      <c r="B228" s="32" t="s">
        <v>1451</v>
      </c>
      <c r="C228" s="32" t="s">
        <v>1452</v>
      </c>
      <c r="D228" s="32" t="s">
        <v>1224</v>
      </c>
      <c r="E228" s="32" t="s">
        <v>1453</v>
      </c>
      <c r="F228" s="32"/>
      <c r="G228" s="32" t="s">
        <v>1284</v>
      </c>
      <c r="H228" s="32" t="s">
        <v>1579</v>
      </c>
      <c r="I228" s="32"/>
      <c r="J228" s="32" t="s">
        <v>1260</v>
      </c>
      <c r="K228" s="32" t="s">
        <v>1302</v>
      </c>
      <c r="L228" s="32" t="s">
        <v>1303</v>
      </c>
      <c r="M228" s="32" t="s">
        <v>1304</v>
      </c>
      <c r="N228" s="32" t="s">
        <v>1305</v>
      </c>
      <c r="O228" s="32">
        <v>1</v>
      </c>
      <c r="P228" s="32">
        <v>0.04</v>
      </c>
      <c r="Q228" s="32">
        <v>0.1</v>
      </c>
      <c r="R228" s="32">
        <v>0.8</v>
      </c>
      <c r="S228" s="32">
        <v>6.7857142857142866E-2</v>
      </c>
      <c r="T228" s="32">
        <v>8.2857142857142865E-2</v>
      </c>
      <c r="U228" s="32">
        <v>2714285.714285715</v>
      </c>
      <c r="V228" s="32">
        <v>3314285.714285715</v>
      </c>
      <c r="W228" s="32"/>
      <c r="X228" s="32"/>
      <c r="Y228" s="32"/>
      <c r="Z228" s="32"/>
      <c r="AA228" s="32">
        <v>0.02</v>
      </c>
      <c r="AB228" s="32">
        <v>0.05</v>
      </c>
      <c r="AC228" s="32">
        <v>4.2500000000000003E-2</v>
      </c>
      <c r="AD228" s="32">
        <v>0.23287671232876711</v>
      </c>
      <c r="AE228" s="32">
        <v>632093.93346379662</v>
      </c>
      <c r="AF228" s="32">
        <v>771819.96086105681</v>
      </c>
      <c r="AG228" s="32" t="s">
        <v>1504</v>
      </c>
      <c r="AH228" s="32"/>
      <c r="AI228" s="32" t="s">
        <v>1493</v>
      </c>
      <c r="AJ228" s="32"/>
      <c r="AK228" s="28"/>
      <c r="AL228" s="18" t="str">
        <f t="shared" si="3"/>
        <v>Are financial instruments, such as hedging or long-term contracts, used to manage risks in vegetable oil procurement?_</v>
      </c>
    </row>
    <row r="229" spans="1:38" ht="58" x14ac:dyDescent="0.35">
      <c r="A229" s="32">
        <v>6</v>
      </c>
      <c r="B229" s="32" t="s">
        <v>1451</v>
      </c>
      <c r="C229" s="32" t="s">
        <v>1452</v>
      </c>
      <c r="D229" s="32" t="s">
        <v>1224</v>
      </c>
      <c r="E229" s="32" t="s">
        <v>1453</v>
      </c>
      <c r="F229" s="32"/>
      <c r="G229" s="32" t="s">
        <v>1284</v>
      </c>
      <c r="H229" s="32" t="s">
        <v>1579</v>
      </c>
      <c r="I229" s="32"/>
      <c r="J229" s="32" t="s">
        <v>1260</v>
      </c>
      <c r="K229" s="32" t="s">
        <v>1302</v>
      </c>
      <c r="L229" s="32" t="s">
        <v>1303</v>
      </c>
      <c r="M229" s="32" t="s">
        <v>1304</v>
      </c>
      <c r="N229" s="32" t="s">
        <v>1305</v>
      </c>
      <c r="O229" s="32">
        <v>1</v>
      </c>
      <c r="P229" s="32">
        <v>0.04</v>
      </c>
      <c r="Q229" s="32">
        <v>0.1</v>
      </c>
      <c r="R229" s="32">
        <v>0.8</v>
      </c>
      <c r="S229" s="32">
        <v>6.7857142857142866E-2</v>
      </c>
      <c r="T229" s="32">
        <v>8.2857142857142865E-2</v>
      </c>
      <c r="U229" s="32">
        <v>2714285.714285715</v>
      </c>
      <c r="V229" s="32">
        <v>3314285.714285715</v>
      </c>
      <c r="W229" s="32"/>
      <c r="X229" s="32"/>
      <c r="Y229" s="32"/>
      <c r="Z229" s="32"/>
      <c r="AA229" s="32">
        <v>0.02</v>
      </c>
      <c r="AB229" s="32">
        <v>0.05</v>
      </c>
      <c r="AC229" s="32">
        <v>4.2500000000000003E-2</v>
      </c>
      <c r="AD229" s="32">
        <v>0.23287671232876711</v>
      </c>
      <c r="AE229" s="32">
        <v>632093.93346379662</v>
      </c>
      <c r="AF229" s="32">
        <v>771819.96086105681</v>
      </c>
      <c r="AG229" s="32" t="s">
        <v>1505</v>
      </c>
      <c r="AH229" s="32"/>
      <c r="AI229" s="32" t="s">
        <v>1493</v>
      </c>
      <c r="AJ229" s="32"/>
      <c r="AK229" s="28"/>
      <c r="AL229" s="18" t="str">
        <f t="shared" si="3"/>
        <v>Are financial instruments, such as hedging or long-term contracts, used to manage risks in vegetable oil procurement?_</v>
      </c>
    </row>
    <row r="230" spans="1:38" ht="58" x14ac:dyDescent="0.35">
      <c r="A230" s="32">
        <v>6</v>
      </c>
      <c r="B230" s="32" t="s">
        <v>1451</v>
      </c>
      <c r="C230" s="32" t="s">
        <v>1452</v>
      </c>
      <c r="D230" s="32" t="s">
        <v>1224</v>
      </c>
      <c r="E230" s="32" t="s">
        <v>1453</v>
      </c>
      <c r="F230" s="32"/>
      <c r="G230" s="32" t="s">
        <v>1284</v>
      </c>
      <c r="H230" s="32" t="s">
        <v>1579</v>
      </c>
      <c r="I230" s="32"/>
      <c r="J230" s="32" t="s">
        <v>1260</v>
      </c>
      <c r="K230" s="32" t="s">
        <v>1302</v>
      </c>
      <c r="L230" s="32" t="s">
        <v>1303</v>
      </c>
      <c r="M230" s="32" t="s">
        <v>1304</v>
      </c>
      <c r="N230" s="32" t="s">
        <v>1305</v>
      </c>
      <c r="O230" s="32">
        <v>1</v>
      </c>
      <c r="P230" s="32">
        <v>0.04</v>
      </c>
      <c r="Q230" s="32">
        <v>0.1</v>
      </c>
      <c r="R230" s="32">
        <v>0.8</v>
      </c>
      <c r="S230" s="32">
        <v>6.7857142857142866E-2</v>
      </c>
      <c r="T230" s="32">
        <v>8.2857142857142865E-2</v>
      </c>
      <c r="U230" s="32">
        <v>2714285.714285715</v>
      </c>
      <c r="V230" s="32">
        <v>3314285.714285715</v>
      </c>
      <c r="W230" s="32"/>
      <c r="X230" s="32"/>
      <c r="Y230" s="32"/>
      <c r="Z230" s="32"/>
      <c r="AA230" s="32">
        <v>0.02</v>
      </c>
      <c r="AB230" s="32">
        <v>0.05</v>
      </c>
      <c r="AC230" s="32">
        <v>4.2500000000000003E-2</v>
      </c>
      <c r="AD230" s="32">
        <v>0.23287671232876711</v>
      </c>
      <c r="AE230" s="32">
        <v>632093.93346379662</v>
      </c>
      <c r="AF230" s="32">
        <v>771819.96086105681</v>
      </c>
      <c r="AG230" s="32" t="s">
        <v>1506</v>
      </c>
      <c r="AH230" s="32"/>
      <c r="AI230" s="32" t="s">
        <v>1493</v>
      </c>
      <c r="AJ230" s="32"/>
      <c r="AK230" s="28"/>
      <c r="AL230" s="18" t="str">
        <f t="shared" si="3"/>
        <v>Are financial instruments, such as hedging or long-term contracts, used to manage risks in vegetable oil procurement?_</v>
      </c>
    </row>
    <row r="231" spans="1:38" ht="58" x14ac:dyDescent="0.35">
      <c r="A231" s="32">
        <v>6</v>
      </c>
      <c r="B231" s="32" t="s">
        <v>1451</v>
      </c>
      <c r="C231" s="32" t="s">
        <v>1452</v>
      </c>
      <c r="D231" s="32" t="s">
        <v>1224</v>
      </c>
      <c r="E231" s="32" t="s">
        <v>1453</v>
      </c>
      <c r="F231" s="32"/>
      <c r="G231" s="32" t="s">
        <v>1284</v>
      </c>
      <c r="H231" s="32" t="s">
        <v>1579</v>
      </c>
      <c r="I231" s="32"/>
      <c r="J231" s="32" t="s">
        <v>1260</v>
      </c>
      <c r="K231" s="32" t="s">
        <v>1302</v>
      </c>
      <c r="L231" s="32" t="s">
        <v>1303</v>
      </c>
      <c r="M231" s="32" t="s">
        <v>1304</v>
      </c>
      <c r="N231" s="32" t="s">
        <v>1305</v>
      </c>
      <c r="O231" s="32">
        <v>1</v>
      </c>
      <c r="P231" s="32">
        <v>0.04</v>
      </c>
      <c r="Q231" s="32">
        <v>0.1</v>
      </c>
      <c r="R231" s="32">
        <v>0.8</v>
      </c>
      <c r="S231" s="32">
        <v>6.7857142857142866E-2</v>
      </c>
      <c r="T231" s="32">
        <v>8.2857142857142865E-2</v>
      </c>
      <c r="U231" s="32">
        <v>2714285.714285715</v>
      </c>
      <c r="V231" s="32">
        <v>3314285.714285715</v>
      </c>
      <c r="W231" s="32"/>
      <c r="X231" s="32"/>
      <c r="Y231" s="32"/>
      <c r="Z231" s="32"/>
      <c r="AA231" s="32">
        <v>0.02</v>
      </c>
      <c r="AB231" s="32">
        <v>0.05</v>
      </c>
      <c r="AC231" s="32">
        <v>4.2500000000000003E-2</v>
      </c>
      <c r="AD231" s="32">
        <v>0.23287671232876711</v>
      </c>
      <c r="AE231" s="32">
        <v>632093.93346379662</v>
      </c>
      <c r="AF231" s="32">
        <v>771819.96086105681</v>
      </c>
      <c r="AG231" s="32" t="s">
        <v>1507</v>
      </c>
      <c r="AH231" s="32"/>
      <c r="AI231" s="32" t="s">
        <v>1493</v>
      </c>
      <c r="AJ231" s="32"/>
      <c r="AK231" s="28"/>
      <c r="AL231" s="18" t="str">
        <f t="shared" si="3"/>
        <v>Are financial instruments, such as hedging or long-term contracts, used to manage risks in vegetable oil procurement?_</v>
      </c>
    </row>
    <row r="232" spans="1:38" ht="58" x14ac:dyDescent="0.35">
      <c r="A232" s="32">
        <v>6</v>
      </c>
      <c r="B232" s="32" t="s">
        <v>1451</v>
      </c>
      <c r="C232" s="32" t="s">
        <v>1452</v>
      </c>
      <c r="D232" s="32" t="s">
        <v>1224</v>
      </c>
      <c r="E232" s="32" t="s">
        <v>1453</v>
      </c>
      <c r="F232" s="32"/>
      <c r="G232" s="32" t="s">
        <v>1284</v>
      </c>
      <c r="H232" s="32" t="s">
        <v>1579</v>
      </c>
      <c r="I232" s="32"/>
      <c r="J232" s="32" t="s">
        <v>1260</v>
      </c>
      <c r="K232" s="32" t="s">
        <v>1302</v>
      </c>
      <c r="L232" s="32" t="s">
        <v>1303</v>
      </c>
      <c r="M232" s="32" t="s">
        <v>1304</v>
      </c>
      <c r="N232" s="32" t="s">
        <v>1305</v>
      </c>
      <c r="O232" s="32">
        <v>1</v>
      </c>
      <c r="P232" s="32">
        <v>0.04</v>
      </c>
      <c r="Q232" s="32">
        <v>0.1</v>
      </c>
      <c r="R232" s="32">
        <v>0.8</v>
      </c>
      <c r="S232" s="32">
        <v>6.7857142857142866E-2</v>
      </c>
      <c r="T232" s="32">
        <v>8.2857142857142865E-2</v>
      </c>
      <c r="U232" s="32">
        <v>2714285.714285715</v>
      </c>
      <c r="V232" s="32">
        <v>3314285.714285715</v>
      </c>
      <c r="W232" s="32"/>
      <c r="X232" s="32"/>
      <c r="Y232" s="32"/>
      <c r="Z232" s="32"/>
      <c r="AA232" s="32">
        <v>0.02</v>
      </c>
      <c r="AB232" s="32">
        <v>0.05</v>
      </c>
      <c r="AC232" s="32">
        <v>4.2500000000000003E-2</v>
      </c>
      <c r="AD232" s="32">
        <v>0.23287671232876711</v>
      </c>
      <c r="AE232" s="32">
        <v>632093.93346379662</v>
      </c>
      <c r="AF232" s="32">
        <v>771819.96086105681</v>
      </c>
      <c r="AG232" s="32" t="s">
        <v>1508</v>
      </c>
      <c r="AH232" s="32"/>
      <c r="AI232" s="32" t="s">
        <v>1493</v>
      </c>
      <c r="AJ232" s="32"/>
      <c r="AK232" s="28"/>
      <c r="AL232" s="18" t="str">
        <f t="shared" si="3"/>
        <v>Are financial instruments, such as hedging or long-term contracts, used to manage risks in vegetable oil procurement?_</v>
      </c>
    </row>
    <row r="233" spans="1:38" ht="58" x14ac:dyDescent="0.35">
      <c r="A233" s="32">
        <v>6</v>
      </c>
      <c r="B233" s="32" t="s">
        <v>1451</v>
      </c>
      <c r="C233" s="32" t="s">
        <v>1452</v>
      </c>
      <c r="D233" s="32" t="s">
        <v>1224</v>
      </c>
      <c r="E233" s="32" t="s">
        <v>1453</v>
      </c>
      <c r="F233" s="32"/>
      <c r="G233" s="32" t="s">
        <v>1284</v>
      </c>
      <c r="H233" s="32" t="s">
        <v>1579</v>
      </c>
      <c r="I233" s="32"/>
      <c r="J233" s="32" t="s">
        <v>1260</v>
      </c>
      <c r="K233" s="32" t="s">
        <v>1302</v>
      </c>
      <c r="L233" s="32" t="s">
        <v>1303</v>
      </c>
      <c r="M233" s="32" t="s">
        <v>1304</v>
      </c>
      <c r="N233" s="32" t="s">
        <v>1305</v>
      </c>
      <c r="O233" s="32">
        <v>1</v>
      </c>
      <c r="P233" s="32">
        <v>0.04</v>
      </c>
      <c r="Q233" s="32">
        <v>0.1</v>
      </c>
      <c r="R233" s="32">
        <v>0.8</v>
      </c>
      <c r="S233" s="32">
        <v>6.7857142857142866E-2</v>
      </c>
      <c r="T233" s="32">
        <v>8.2857142857142865E-2</v>
      </c>
      <c r="U233" s="32">
        <v>2714285.714285715</v>
      </c>
      <c r="V233" s="32">
        <v>3314285.714285715</v>
      </c>
      <c r="W233" s="32"/>
      <c r="X233" s="32"/>
      <c r="Y233" s="32"/>
      <c r="Z233" s="32"/>
      <c r="AA233" s="32">
        <v>0.02</v>
      </c>
      <c r="AB233" s="32">
        <v>0.05</v>
      </c>
      <c r="AC233" s="32">
        <v>4.2500000000000003E-2</v>
      </c>
      <c r="AD233" s="32">
        <v>0.23287671232876711</v>
      </c>
      <c r="AE233" s="32">
        <v>632093.93346379662</v>
      </c>
      <c r="AF233" s="32">
        <v>771819.96086105681</v>
      </c>
      <c r="AG233" s="32" t="s">
        <v>1509</v>
      </c>
      <c r="AH233" s="32"/>
      <c r="AI233" s="32" t="s">
        <v>1493</v>
      </c>
      <c r="AJ233" s="32"/>
      <c r="AK233" s="28"/>
      <c r="AL233" s="18" t="str">
        <f t="shared" si="3"/>
        <v>Are financial instruments, such as hedging or long-term contracts, used to manage risks in vegetable oil procurement?_</v>
      </c>
    </row>
    <row r="234" spans="1:38" ht="58" x14ac:dyDescent="0.35">
      <c r="A234" s="32">
        <v>6</v>
      </c>
      <c r="B234" s="32" t="s">
        <v>1451</v>
      </c>
      <c r="C234" s="32" t="s">
        <v>1452</v>
      </c>
      <c r="D234" s="32" t="s">
        <v>1224</v>
      </c>
      <c r="E234" s="32" t="s">
        <v>1453</v>
      </c>
      <c r="F234" s="32"/>
      <c r="G234" s="32" t="s">
        <v>1284</v>
      </c>
      <c r="H234" s="32" t="s">
        <v>1579</v>
      </c>
      <c r="I234" s="32"/>
      <c r="J234" s="32" t="s">
        <v>1260</v>
      </c>
      <c r="K234" s="32" t="s">
        <v>1302</v>
      </c>
      <c r="L234" s="32" t="s">
        <v>1303</v>
      </c>
      <c r="M234" s="32" t="s">
        <v>1304</v>
      </c>
      <c r="N234" s="32" t="s">
        <v>1305</v>
      </c>
      <c r="O234" s="32">
        <v>1</v>
      </c>
      <c r="P234" s="32">
        <v>0.04</v>
      </c>
      <c r="Q234" s="32">
        <v>0.1</v>
      </c>
      <c r="R234" s="32">
        <v>0.8</v>
      </c>
      <c r="S234" s="32">
        <v>6.7857142857142866E-2</v>
      </c>
      <c r="T234" s="32">
        <v>8.2857142857142865E-2</v>
      </c>
      <c r="U234" s="32">
        <v>2714285.714285715</v>
      </c>
      <c r="V234" s="32">
        <v>3314285.714285715</v>
      </c>
      <c r="W234" s="32"/>
      <c r="X234" s="32"/>
      <c r="Y234" s="32"/>
      <c r="Z234" s="32"/>
      <c r="AA234" s="32">
        <v>0.02</v>
      </c>
      <c r="AB234" s="32">
        <v>0.05</v>
      </c>
      <c r="AC234" s="32">
        <v>4.2500000000000003E-2</v>
      </c>
      <c r="AD234" s="32">
        <v>0.23287671232876711</v>
      </c>
      <c r="AE234" s="32">
        <v>632093.93346379662</v>
      </c>
      <c r="AF234" s="32">
        <v>771819.96086105681</v>
      </c>
      <c r="AG234" s="32" t="s">
        <v>1510</v>
      </c>
      <c r="AH234" s="32"/>
      <c r="AI234" s="32" t="s">
        <v>1493</v>
      </c>
      <c r="AJ234" s="32"/>
      <c r="AK234" s="28"/>
      <c r="AL234" s="18" t="str">
        <f t="shared" si="3"/>
        <v>Are financial instruments, such as hedging or long-term contracts, used to manage risks in vegetable oil procurement?_</v>
      </c>
    </row>
    <row r="235" spans="1:38" ht="58" x14ac:dyDescent="0.35">
      <c r="A235" s="32">
        <v>6</v>
      </c>
      <c r="B235" s="32" t="s">
        <v>1451</v>
      </c>
      <c r="C235" s="32" t="s">
        <v>1452</v>
      </c>
      <c r="D235" s="32" t="s">
        <v>1224</v>
      </c>
      <c r="E235" s="32" t="s">
        <v>1453</v>
      </c>
      <c r="F235" s="32"/>
      <c r="G235" s="32" t="s">
        <v>1284</v>
      </c>
      <c r="H235" s="32" t="s">
        <v>1579</v>
      </c>
      <c r="I235" s="32"/>
      <c r="J235" s="32" t="s">
        <v>1260</v>
      </c>
      <c r="K235" s="32" t="s">
        <v>1302</v>
      </c>
      <c r="L235" s="32" t="s">
        <v>1303</v>
      </c>
      <c r="M235" s="32" t="s">
        <v>1304</v>
      </c>
      <c r="N235" s="32" t="s">
        <v>1305</v>
      </c>
      <c r="O235" s="32">
        <v>1</v>
      </c>
      <c r="P235" s="32">
        <v>0.04</v>
      </c>
      <c r="Q235" s="32">
        <v>0.1</v>
      </c>
      <c r="R235" s="32">
        <v>0.8</v>
      </c>
      <c r="S235" s="32">
        <v>6.7857142857142866E-2</v>
      </c>
      <c r="T235" s="32">
        <v>8.2857142857142865E-2</v>
      </c>
      <c r="U235" s="32">
        <v>2714285.714285715</v>
      </c>
      <c r="V235" s="32">
        <v>3314285.714285715</v>
      </c>
      <c r="W235" s="32"/>
      <c r="X235" s="32"/>
      <c r="Y235" s="32"/>
      <c r="Z235" s="32"/>
      <c r="AA235" s="32">
        <v>0.02</v>
      </c>
      <c r="AB235" s="32">
        <v>0.05</v>
      </c>
      <c r="AC235" s="32">
        <v>4.2500000000000003E-2</v>
      </c>
      <c r="AD235" s="32">
        <v>0.23287671232876711</v>
      </c>
      <c r="AE235" s="32">
        <v>632093.93346379662</v>
      </c>
      <c r="AF235" s="32">
        <v>771819.96086105681</v>
      </c>
      <c r="AG235" s="32" t="s">
        <v>1511</v>
      </c>
      <c r="AH235" s="32"/>
      <c r="AI235" s="32" t="s">
        <v>1493</v>
      </c>
      <c r="AJ235" s="32"/>
      <c r="AK235" s="28"/>
      <c r="AL235" s="18" t="str">
        <f t="shared" si="3"/>
        <v>Are financial instruments, such as hedging or long-term contracts, used to manage risks in vegetable oil procurement?_</v>
      </c>
    </row>
    <row r="236" spans="1:38" ht="145" x14ac:dyDescent="0.35">
      <c r="A236" s="32">
        <v>6</v>
      </c>
      <c r="B236" s="32" t="s">
        <v>1451</v>
      </c>
      <c r="C236" s="32" t="s">
        <v>1452</v>
      </c>
      <c r="D236" s="32" t="s">
        <v>1224</v>
      </c>
      <c r="E236" s="32" t="s">
        <v>1453</v>
      </c>
      <c r="F236" s="32"/>
      <c r="G236" s="32" t="s">
        <v>1284</v>
      </c>
      <c r="H236" s="32" t="s">
        <v>1579</v>
      </c>
      <c r="I236" s="32"/>
      <c r="J236" s="32" t="s">
        <v>1260</v>
      </c>
      <c r="K236" s="32" t="s">
        <v>1302</v>
      </c>
      <c r="L236" s="32" t="s">
        <v>1303</v>
      </c>
      <c r="M236" s="32" t="s">
        <v>1304</v>
      </c>
      <c r="N236" s="32" t="s">
        <v>1305</v>
      </c>
      <c r="O236" s="32">
        <v>1</v>
      </c>
      <c r="P236" s="32">
        <v>0.04</v>
      </c>
      <c r="Q236" s="32">
        <v>0.1</v>
      </c>
      <c r="R236" s="32">
        <v>0.8</v>
      </c>
      <c r="S236" s="32">
        <v>6.7857142857142866E-2</v>
      </c>
      <c r="T236" s="32">
        <v>8.2857142857142865E-2</v>
      </c>
      <c r="U236" s="32">
        <v>2714285.714285715</v>
      </c>
      <c r="V236" s="32">
        <v>3314285.714285715</v>
      </c>
      <c r="W236" s="32"/>
      <c r="X236" s="32"/>
      <c r="Y236" s="32"/>
      <c r="Z236" s="32"/>
      <c r="AA236" s="32">
        <v>0.02</v>
      </c>
      <c r="AB236" s="32">
        <v>0.05</v>
      </c>
      <c r="AC236" s="32">
        <v>4.2500000000000003E-2</v>
      </c>
      <c r="AD236" s="32">
        <v>0.23287671232876711</v>
      </c>
      <c r="AE236" s="32">
        <v>632093.93346379662</v>
      </c>
      <c r="AF236" s="32">
        <v>771819.96086105681</v>
      </c>
      <c r="AG236" s="32" t="s">
        <v>1512</v>
      </c>
      <c r="AH236" s="32"/>
      <c r="AI236" s="32" t="s">
        <v>1493</v>
      </c>
      <c r="AJ236" s="32" t="s">
        <v>1595</v>
      </c>
      <c r="AK236" s="28" t="s">
        <v>2076</v>
      </c>
      <c r="AL236" s="18" t="str">
        <f t="shared" si="3"/>
        <v>Are financial instruments, such as hedging or long-term contracts, used to manage risks in vegetable oil procurement?_If external geopolitical data shows elevated risk for regions representing &gt;70% of vegetable oil spend (e.g., Indonesia palm oil, Ukraine sunflower), suggest approving multiple suppliers from stable regions to hedge against geopolitical risks, share supplier names</v>
      </c>
    </row>
    <row r="237" spans="1:38" ht="58" x14ac:dyDescent="0.35">
      <c r="A237" s="32">
        <v>6</v>
      </c>
      <c r="B237" s="32" t="s">
        <v>1451</v>
      </c>
      <c r="C237" s="32" t="s">
        <v>1452</v>
      </c>
      <c r="D237" s="32" t="s">
        <v>1224</v>
      </c>
      <c r="E237" s="32" t="s">
        <v>1453</v>
      </c>
      <c r="F237" s="32"/>
      <c r="G237" s="32" t="s">
        <v>1284</v>
      </c>
      <c r="H237" s="32" t="s">
        <v>1579</v>
      </c>
      <c r="I237" s="32"/>
      <c r="J237" s="32" t="s">
        <v>1260</v>
      </c>
      <c r="K237" s="32" t="s">
        <v>1302</v>
      </c>
      <c r="L237" s="32" t="s">
        <v>1303</v>
      </c>
      <c r="M237" s="32" t="s">
        <v>1304</v>
      </c>
      <c r="N237" s="32" t="s">
        <v>1305</v>
      </c>
      <c r="O237" s="32">
        <v>1</v>
      </c>
      <c r="P237" s="32">
        <v>0.04</v>
      </c>
      <c r="Q237" s="32">
        <v>0.1</v>
      </c>
      <c r="R237" s="32">
        <v>0.8</v>
      </c>
      <c r="S237" s="32">
        <v>6.7857142857142866E-2</v>
      </c>
      <c r="T237" s="32">
        <v>8.2857142857142865E-2</v>
      </c>
      <c r="U237" s="32">
        <v>2714285.714285715</v>
      </c>
      <c r="V237" s="32">
        <v>3314285.714285715</v>
      </c>
      <c r="W237" s="32"/>
      <c r="X237" s="32"/>
      <c r="Y237" s="32"/>
      <c r="Z237" s="32"/>
      <c r="AA237" s="32">
        <v>0.02</v>
      </c>
      <c r="AB237" s="32">
        <v>0.05</v>
      </c>
      <c r="AC237" s="32">
        <v>4.2500000000000003E-2</v>
      </c>
      <c r="AD237" s="32">
        <v>0.23287671232876711</v>
      </c>
      <c r="AE237" s="32">
        <v>632093.93346379662</v>
      </c>
      <c r="AF237" s="32">
        <v>771819.96086105681</v>
      </c>
      <c r="AG237" s="32" t="s">
        <v>1513</v>
      </c>
      <c r="AH237" s="32"/>
      <c r="AI237" s="32" t="s">
        <v>1493</v>
      </c>
      <c r="AJ237" s="32"/>
      <c r="AK237" s="28"/>
      <c r="AL237" s="18" t="str">
        <f t="shared" si="3"/>
        <v>Are financial instruments, such as hedging or long-term contracts, used to manage risks in vegetable oil procurement?_</v>
      </c>
    </row>
    <row r="238" spans="1:38" ht="58" x14ac:dyDescent="0.35">
      <c r="A238" s="32">
        <v>6</v>
      </c>
      <c r="B238" s="32" t="s">
        <v>1451</v>
      </c>
      <c r="C238" s="32" t="s">
        <v>1452</v>
      </c>
      <c r="D238" s="32" t="s">
        <v>1224</v>
      </c>
      <c r="E238" s="32" t="s">
        <v>1453</v>
      </c>
      <c r="F238" s="32"/>
      <c r="G238" s="32" t="s">
        <v>1284</v>
      </c>
      <c r="H238" s="32" t="s">
        <v>1579</v>
      </c>
      <c r="I238" s="32"/>
      <c r="J238" s="32" t="s">
        <v>1260</v>
      </c>
      <c r="K238" s="32" t="s">
        <v>1302</v>
      </c>
      <c r="L238" s="32" t="s">
        <v>1303</v>
      </c>
      <c r="M238" s="32" t="s">
        <v>1304</v>
      </c>
      <c r="N238" s="32" t="s">
        <v>1305</v>
      </c>
      <c r="O238" s="32">
        <v>1</v>
      </c>
      <c r="P238" s="32">
        <v>0.04</v>
      </c>
      <c r="Q238" s="32">
        <v>0.1</v>
      </c>
      <c r="R238" s="32">
        <v>0.8</v>
      </c>
      <c r="S238" s="32">
        <v>6.7857142857142866E-2</v>
      </c>
      <c r="T238" s="32">
        <v>8.2857142857142865E-2</v>
      </c>
      <c r="U238" s="32">
        <v>2714285.714285715</v>
      </c>
      <c r="V238" s="32">
        <v>3314285.714285715</v>
      </c>
      <c r="W238" s="32"/>
      <c r="X238" s="32"/>
      <c r="Y238" s="32"/>
      <c r="Z238" s="32"/>
      <c r="AA238" s="32">
        <v>0.02</v>
      </c>
      <c r="AB238" s="32">
        <v>0.05</v>
      </c>
      <c r="AC238" s="32">
        <v>4.2500000000000003E-2</v>
      </c>
      <c r="AD238" s="32">
        <v>0.23287671232876711</v>
      </c>
      <c r="AE238" s="32">
        <v>632093.93346379662</v>
      </c>
      <c r="AF238" s="32">
        <v>771819.96086105681</v>
      </c>
      <c r="AG238" s="32" t="s">
        <v>1514</v>
      </c>
      <c r="AH238" s="32"/>
      <c r="AI238" s="32" t="s">
        <v>1493</v>
      </c>
      <c r="AJ238" s="32"/>
      <c r="AK238" s="28"/>
      <c r="AL238" s="18" t="str">
        <f t="shared" si="3"/>
        <v>Are financial instruments, such as hedging or long-term contracts, used to manage risks in vegetable oil procurement?_</v>
      </c>
    </row>
    <row r="239" spans="1:38" ht="58" x14ac:dyDescent="0.35">
      <c r="A239" s="32">
        <v>6</v>
      </c>
      <c r="B239" s="32" t="s">
        <v>1451</v>
      </c>
      <c r="C239" s="32" t="s">
        <v>1452</v>
      </c>
      <c r="D239" s="32" t="s">
        <v>1224</v>
      </c>
      <c r="E239" s="32" t="s">
        <v>1453</v>
      </c>
      <c r="F239" s="32"/>
      <c r="G239" s="32" t="s">
        <v>1284</v>
      </c>
      <c r="H239" s="32" t="s">
        <v>1579</v>
      </c>
      <c r="I239" s="32"/>
      <c r="J239" s="32" t="s">
        <v>1260</v>
      </c>
      <c r="K239" s="32" t="s">
        <v>1302</v>
      </c>
      <c r="L239" s="32" t="s">
        <v>1303</v>
      </c>
      <c r="M239" s="32" t="s">
        <v>1304</v>
      </c>
      <c r="N239" s="32" t="s">
        <v>1305</v>
      </c>
      <c r="O239" s="32">
        <v>1</v>
      </c>
      <c r="P239" s="32">
        <v>0.04</v>
      </c>
      <c r="Q239" s="32">
        <v>0.1</v>
      </c>
      <c r="R239" s="32">
        <v>0.8</v>
      </c>
      <c r="S239" s="32">
        <v>6.7857142857142866E-2</v>
      </c>
      <c r="T239" s="32">
        <v>8.2857142857142865E-2</v>
      </c>
      <c r="U239" s="32">
        <v>2714285.714285715</v>
      </c>
      <c r="V239" s="32">
        <v>3314285.714285715</v>
      </c>
      <c r="W239" s="32"/>
      <c r="X239" s="32"/>
      <c r="Y239" s="32"/>
      <c r="Z239" s="32"/>
      <c r="AA239" s="32">
        <v>0.02</v>
      </c>
      <c r="AB239" s="32">
        <v>0.05</v>
      </c>
      <c r="AC239" s="32">
        <v>4.2500000000000003E-2</v>
      </c>
      <c r="AD239" s="32">
        <v>0.23287671232876711</v>
      </c>
      <c r="AE239" s="32">
        <v>632093.93346379662</v>
      </c>
      <c r="AF239" s="32">
        <v>771819.96086105681</v>
      </c>
      <c r="AG239" s="32" t="s">
        <v>1515</v>
      </c>
      <c r="AH239" s="32"/>
      <c r="AI239" s="32" t="s">
        <v>1493</v>
      </c>
      <c r="AJ239" s="32"/>
      <c r="AK239" s="28"/>
      <c r="AL239" s="18" t="str">
        <f t="shared" si="3"/>
        <v>Are financial instruments, such as hedging or long-term contracts, used to manage risks in vegetable oil procurement?_</v>
      </c>
    </row>
    <row r="240" spans="1:38" ht="58" x14ac:dyDescent="0.35">
      <c r="A240" s="32">
        <v>6</v>
      </c>
      <c r="B240" s="32" t="s">
        <v>1451</v>
      </c>
      <c r="C240" s="32" t="s">
        <v>1452</v>
      </c>
      <c r="D240" s="32" t="s">
        <v>1224</v>
      </c>
      <c r="E240" s="32" t="s">
        <v>1453</v>
      </c>
      <c r="F240" s="32"/>
      <c r="G240" s="32" t="s">
        <v>1284</v>
      </c>
      <c r="H240" s="32" t="s">
        <v>1579</v>
      </c>
      <c r="I240" s="32"/>
      <c r="J240" s="32" t="s">
        <v>1260</v>
      </c>
      <c r="K240" s="32" t="s">
        <v>1302</v>
      </c>
      <c r="L240" s="32" t="s">
        <v>1303</v>
      </c>
      <c r="M240" s="32" t="s">
        <v>1304</v>
      </c>
      <c r="N240" s="32" t="s">
        <v>1305</v>
      </c>
      <c r="O240" s="32">
        <v>1</v>
      </c>
      <c r="P240" s="32">
        <v>0.04</v>
      </c>
      <c r="Q240" s="32">
        <v>0.1</v>
      </c>
      <c r="R240" s="32">
        <v>0.8</v>
      </c>
      <c r="S240" s="32">
        <v>6.7857142857142866E-2</v>
      </c>
      <c r="T240" s="32">
        <v>8.2857142857142865E-2</v>
      </c>
      <c r="U240" s="32">
        <v>2714285.714285715</v>
      </c>
      <c r="V240" s="32">
        <v>3314285.714285715</v>
      </c>
      <c r="W240" s="32"/>
      <c r="X240" s="32"/>
      <c r="Y240" s="32"/>
      <c r="Z240" s="32"/>
      <c r="AA240" s="32">
        <v>0.02</v>
      </c>
      <c r="AB240" s="32">
        <v>0.05</v>
      </c>
      <c r="AC240" s="32">
        <v>4.2500000000000003E-2</v>
      </c>
      <c r="AD240" s="32">
        <v>0.23287671232876711</v>
      </c>
      <c r="AE240" s="32">
        <v>632093.93346379662</v>
      </c>
      <c r="AF240" s="32">
        <v>771819.96086105681</v>
      </c>
      <c r="AG240" s="32" t="s">
        <v>1516</v>
      </c>
      <c r="AH240" s="32"/>
      <c r="AI240" s="32" t="s">
        <v>1493</v>
      </c>
      <c r="AJ240" s="32"/>
      <c r="AK240" s="28"/>
      <c r="AL240" s="18" t="str">
        <f t="shared" si="3"/>
        <v>Are financial instruments, such as hedging or long-term contracts, used to manage risks in vegetable oil procurement?_</v>
      </c>
    </row>
    <row r="241" spans="1:38" ht="58" x14ac:dyDescent="0.35">
      <c r="A241" s="32">
        <v>6</v>
      </c>
      <c r="B241" s="32" t="s">
        <v>1451</v>
      </c>
      <c r="C241" s="32" t="s">
        <v>1452</v>
      </c>
      <c r="D241" s="32" t="s">
        <v>1224</v>
      </c>
      <c r="E241" s="32" t="s">
        <v>1453</v>
      </c>
      <c r="F241" s="32"/>
      <c r="G241" s="32" t="s">
        <v>1284</v>
      </c>
      <c r="H241" s="32" t="s">
        <v>1579</v>
      </c>
      <c r="I241" s="32"/>
      <c r="J241" s="32" t="s">
        <v>1260</v>
      </c>
      <c r="K241" s="32" t="s">
        <v>1302</v>
      </c>
      <c r="L241" s="32" t="s">
        <v>1303</v>
      </c>
      <c r="M241" s="32" t="s">
        <v>1304</v>
      </c>
      <c r="N241" s="32" t="s">
        <v>1305</v>
      </c>
      <c r="O241" s="32">
        <v>1</v>
      </c>
      <c r="P241" s="32">
        <v>0.04</v>
      </c>
      <c r="Q241" s="32">
        <v>0.1</v>
      </c>
      <c r="R241" s="32">
        <v>0.8</v>
      </c>
      <c r="S241" s="32">
        <v>6.7857142857142866E-2</v>
      </c>
      <c r="T241" s="32">
        <v>8.2857142857142865E-2</v>
      </c>
      <c r="U241" s="32">
        <v>2714285.714285715</v>
      </c>
      <c r="V241" s="32">
        <v>3314285.714285715</v>
      </c>
      <c r="W241" s="32"/>
      <c r="X241" s="32"/>
      <c r="Y241" s="32"/>
      <c r="Z241" s="32"/>
      <c r="AA241" s="32">
        <v>0.02</v>
      </c>
      <c r="AB241" s="32">
        <v>0.05</v>
      </c>
      <c r="AC241" s="32">
        <v>4.2500000000000003E-2</v>
      </c>
      <c r="AD241" s="32">
        <v>0.23287671232876711</v>
      </c>
      <c r="AE241" s="32">
        <v>632093.93346379662</v>
      </c>
      <c r="AF241" s="32">
        <v>771819.96086105681</v>
      </c>
      <c r="AG241" s="32" t="s">
        <v>1517</v>
      </c>
      <c r="AH241" s="32"/>
      <c r="AI241" s="32" t="s">
        <v>1493</v>
      </c>
      <c r="AJ241" s="32"/>
      <c r="AK241" s="28"/>
      <c r="AL241" s="18" t="str">
        <f t="shared" si="3"/>
        <v>Are financial instruments, such as hedging or long-term contracts, used to manage risks in vegetable oil procurement?_</v>
      </c>
    </row>
    <row r="242" spans="1:38" ht="159.5" x14ac:dyDescent="0.35">
      <c r="A242" s="32">
        <v>6</v>
      </c>
      <c r="B242" s="32" t="s">
        <v>1451</v>
      </c>
      <c r="C242" s="32" t="s">
        <v>1452</v>
      </c>
      <c r="D242" s="32" t="s">
        <v>1224</v>
      </c>
      <c r="E242" s="32" t="s">
        <v>1453</v>
      </c>
      <c r="F242" s="32"/>
      <c r="G242" s="32" t="s">
        <v>1284</v>
      </c>
      <c r="H242" s="32" t="s">
        <v>1579</v>
      </c>
      <c r="I242" s="32"/>
      <c r="J242" s="32" t="s">
        <v>1260</v>
      </c>
      <c r="K242" s="32" t="s">
        <v>1302</v>
      </c>
      <c r="L242" s="32" t="s">
        <v>1303</v>
      </c>
      <c r="M242" s="32" t="s">
        <v>1304</v>
      </c>
      <c r="N242" s="32" t="s">
        <v>1305</v>
      </c>
      <c r="O242" s="32">
        <v>1</v>
      </c>
      <c r="P242" s="32">
        <v>0.04</v>
      </c>
      <c r="Q242" s="32">
        <v>0.1</v>
      </c>
      <c r="R242" s="32">
        <v>0.8</v>
      </c>
      <c r="S242" s="32">
        <v>6.7857142857142866E-2</v>
      </c>
      <c r="T242" s="32">
        <v>8.2857142857142865E-2</v>
      </c>
      <c r="U242" s="32">
        <v>2714285.714285715</v>
      </c>
      <c r="V242" s="32">
        <v>3314285.714285715</v>
      </c>
      <c r="W242" s="32"/>
      <c r="X242" s="32"/>
      <c r="Y242" s="32"/>
      <c r="Z242" s="32"/>
      <c r="AA242" s="32">
        <v>0.02</v>
      </c>
      <c r="AB242" s="32">
        <v>0.05</v>
      </c>
      <c r="AC242" s="32">
        <v>4.2500000000000003E-2</v>
      </c>
      <c r="AD242" s="32">
        <v>0.23287671232876711</v>
      </c>
      <c r="AE242" s="32">
        <v>632093.93346379662</v>
      </c>
      <c r="AF242" s="32">
        <v>771819.96086105681</v>
      </c>
      <c r="AG242" s="32" t="s">
        <v>1524</v>
      </c>
      <c r="AH242" s="32"/>
      <c r="AI242" s="32" t="s">
        <v>1493</v>
      </c>
      <c r="AJ242" s="32" t="s">
        <v>1598</v>
      </c>
      <c r="AK242" s="28" t="s">
        <v>2074</v>
      </c>
      <c r="AL242" s="18" t="str">
        <f t="shared" si="3"/>
        <v>Are financial instruments, such as hedging or long-term contracts, used to manage risks in vegetable oil procurement?_If external supplier risk data shows vegetable oil suppliers &gt;40% of category spend have financial or operational risk issues, suggest developing broader supplier strategy including financially stable alternatives and emerging market suppliers</v>
      </c>
    </row>
    <row r="243" spans="1:38" ht="58" x14ac:dyDescent="0.35">
      <c r="A243" s="32">
        <v>6</v>
      </c>
      <c r="B243" s="32" t="s">
        <v>1451</v>
      </c>
      <c r="C243" s="32" t="s">
        <v>1452</v>
      </c>
      <c r="D243" s="32" t="s">
        <v>1224</v>
      </c>
      <c r="E243" s="32" t="s">
        <v>1453</v>
      </c>
      <c r="F243" s="32"/>
      <c r="G243" s="32" t="s">
        <v>1284</v>
      </c>
      <c r="H243" s="32" t="s">
        <v>1579</v>
      </c>
      <c r="I243" s="32"/>
      <c r="J243" s="32" t="s">
        <v>1260</v>
      </c>
      <c r="K243" s="32" t="s">
        <v>1302</v>
      </c>
      <c r="L243" s="32" t="s">
        <v>1303</v>
      </c>
      <c r="M243" s="32" t="s">
        <v>1304</v>
      </c>
      <c r="N243" s="32" t="s">
        <v>1305</v>
      </c>
      <c r="O243" s="32">
        <v>1</v>
      </c>
      <c r="P243" s="32">
        <v>0.04</v>
      </c>
      <c r="Q243" s="32">
        <v>0.1</v>
      </c>
      <c r="R243" s="32">
        <v>0.8</v>
      </c>
      <c r="S243" s="32">
        <v>6.7857142857142866E-2</v>
      </c>
      <c r="T243" s="32">
        <v>8.2857142857142865E-2</v>
      </c>
      <c r="U243" s="32">
        <v>2714285.714285715</v>
      </c>
      <c r="V243" s="32">
        <v>3314285.714285715</v>
      </c>
      <c r="W243" s="32"/>
      <c r="X243" s="32"/>
      <c r="Y243" s="32"/>
      <c r="Z243" s="32"/>
      <c r="AA243" s="32">
        <v>0.02</v>
      </c>
      <c r="AB243" s="32">
        <v>0.05</v>
      </c>
      <c r="AC243" s="32">
        <v>4.2500000000000003E-2</v>
      </c>
      <c r="AD243" s="32">
        <v>0.23287671232876711</v>
      </c>
      <c r="AE243" s="32">
        <v>632093.93346379662</v>
      </c>
      <c r="AF243" s="32">
        <v>771819.96086105681</v>
      </c>
      <c r="AG243" s="32" t="s">
        <v>1528</v>
      </c>
      <c r="AH243" s="32"/>
      <c r="AI243" s="32" t="s">
        <v>1493</v>
      </c>
      <c r="AJ243" s="32"/>
      <c r="AK243" s="28"/>
      <c r="AL243" s="18" t="str">
        <f t="shared" si="3"/>
        <v>Are financial instruments, such as hedging or long-term contracts, used to manage risks in vegetable oil procurement?_</v>
      </c>
    </row>
    <row r="244" spans="1:38" ht="58" x14ac:dyDescent="0.35">
      <c r="A244" s="32">
        <v>6</v>
      </c>
      <c r="B244" s="32" t="s">
        <v>1451</v>
      </c>
      <c r="C244" s="32" t="s">
        <v>1452</v>
      </c>
      <c r="D244" s="32" t="s">
        <v>1224</v>
      </c>
      <c r="E244" s="32" t="s">
        <v>1453</v>
      </c>
      <c r="F244" s="32"/>
      <c r="G244" s="32" t="s">
        <v>1284</v>
      </c>
      <c r="H244" s="32" t="s">
        <v>1579</v>
      </c>
      <c r="I244" s="32"/>
      <c r="J244" s="32" t="s">
        <v>1260</v>
      </c>
      <c r="K244" s="32" t="s">
        <v>1302</v>
      </c>
      <c r="L244" s="32" t="s">
        <v>1303</v>
      </c>
      <c r="M244" s="32" t="s">
        <v>1304</v>
      </c>
      <c r="N244" s="32" t="s">
        <v>1305</v>
      </c>
      <c r="O244" s="32">
        <v>1</v>
      </c>
      <c r="P244" s="32">
        <v>0.04</v>
      </c>
      <c r="Q244" s="32">
        <v>0.1</v>
      </c>
      <c r="R244" s="32">
        <v>0.8</v>
      </c>
      <c r="S244" s="32">
        <v>6.7857142857142866E-2</v>
      </c>
      <c r="T244" s="32">
        <v>8.2857142857142865E-2</v>
      </c>
      <c r="U244" s="32">
        <v>2714285.714285715</v>
      </c>
      <c r="V244" s="32">
        <v>3314285.714285715</v>
      </c>
      <c r="W244" s="32"/>
      <c r="X244" s="32"/>
      <c r="Y244" s="32"/>
      <c r="Z244" s="32"/>
      <c r="AA244" s="32">
        <v>0.02</v>
      </c>
      <c r="AB244" s="32">
        <v>0.05</v>
      </c>
      <c r="AC244" s="32">
        <v>4.2500000000000003E-2</v>
      </c>
      <c r="AD244" s="32">
        <v>0.23287671232876711</v>
      </c>
      <c r="AE244" s="32">
        <v>632093.93346379662</v>
      </c>
      <c r="AF244" s="32">
        <v>771819.96086105681</v>
      </c>
      <c r="AG244" s="32" t="s">
        <v>1529</v>
      </c>
      <c r="AH244" s="32"/>
      <c r="AI244" s="32" t="s">
        <v>1493</v>
      </c>
      <c r="AJ244" s="32"/>
      <c r="AK244" s="28"/>
      <c r="AL244" s="18" t="str">
        <f t="shared" si="3"/>
        <v>Are financial instruments, such as hedging or long-term contracts, used to manage risks in vegetable oil procurement?_</v>
      </c>
    </row>
    <row r="245" spans="1:38" ht="58" x14ac:dyDescent="0.35">
      <c r="A245" s="32">
        <v>6</v>
      </c>
      <c r="B245" s="32" t="s">
        <v>1451</v>
      </c>
      <c r="C245" s="32" t="s">
        <v>1452</v>
      </c>
      <c r="D245" s="32" t="s">
        <v>1224</v>
      </c>
      <c r="E245" s="32" t="s">
        <v>1453</v>
      </c>
      <c r="F245" s="32"/>
      <c r="G245" s="32" t="s">
        <v>1284</v>
      </c>
      <c r="H245" s="32" t="s">
        <v>1579</v>
      </c>
      <c r="I245" s="32"/>
      <c r="J245" s="32" t="s">
        <v>1260</v>
      </c>
      <c r="K245" s="32" t="s">
        <v>1302</v>
      </c>
      <c r="L245" s="32" t="s">
        <v>1303</v>
      </c>
      <c r="M245" s="32" t="s">
        <v>1304</v>
      </c>
      <c r="N245" s="32" t="s">
        <v>1305</v>
      </c>
      <c r="O245" s="32">
        <v>1</v>
      </c>
      <c r="P245" s="32">
        <v>0.04</v>
      </c>
      <c r="Q245" s="32">
        <v>0.1</v>
      </c>
      <c r="R245" s="32">
        <v>0.8</v>
      </c>
      <c r="S245" s="32">
        <v>6.7857142857142866E-2</v>
      </c>
      <c r="T245" s="32">
        <v>8.2857142857142865E-2</v>
      </c>
      <c r="U245" s="32">
        <v>2714285.714285715</v>
      </c>
      <c r="V245" s="32">
        <v>3314285.714285715</v>
      </c>
      <c r="W245" s="32"/>
      <c r="X245" s="32"/>
      <c r="Y245" s="32"/>
      <c r="Z245" s="32"/>
      <c r="AA245" s="32">
        <v>0.02</v>
      </c>
      <c r="AB245" s="32">
        <v>0.05</v>
      </c>
      <c r="AC245" s="32">
        <v>4.2500000000000003E-2</v>
      </c>
      <c r="AD245" s="32">
        <v>0.23287671232876711</v>
      </c>
      <c r="AE245" s="32">
        <v>632093.93346379662</v>
      </c>
      <c r="AF245" s="32">
        <v>771819.96086105681</v>
      </c>
      <c r="AG245" s="32" t="s">
        <v>1530</v>
      </c>
      <c r="AH245" s="32"/>
      <c r="AI245" s="32" t="s">
        <v>1493</v>
      </c>
      <c r="AJ245" s="32"/>
      <c r="AK245" s="28"/>
      <c r="AL245" s="18" t="str">
        <f t="shared" si="3"/>
        <v>Are financial instruments, such as hedging or long-term contracts, used to manage risks in vegetable oil procurement?_</v>
      </c>
    </row>
    <row r="246" spans="1:38" ht="58" x14ac:dyDescent="0.35">
      <c r="A246" s="32">
        <v>6</v>
      </c>
      <c r="B246" s="32" t="s">
        <v>1451</v>
      </c>
      <c r="C246" s="32" t="s">
        <v>1452</v>
      </c>
      <c r="D246" s="32" t="s">
        <v>1224</v>
      </c>
      <c r="E246" s="32" t="s">
        <v>1453</v>
      </c>
      <c r="F246" s="32"/>
      <c r="G246" s="32" t="s">
        <v>1284</v>
      </c>
      <c r="H246" s="32" t="s">
        <v>1579</v>
      </c>
      <c r="I246" s="32"/>
      <c r="J246" s="32" t="s">
        <v>1260</v>
      </c>
      <c r="K246" s="32" t="s">
        <v>1302</v>
      </c>
      <c r="L246" s="32" t="s">
        <v>1303</v>
      </c>
      <c r="M246" s="32" t="s">
        <v>1304</v>
      </c>
      <c r="N246" s="32" t="s">
        <v>1305</v>
      </c>
      <c r="O246" s="32">
        <v>1</v>
      </c>
      <c r="P246" s="32">
        <v>0.04</v>
      </c>
      <c r="Q246" s="32">
        <v>0.1</v>
      </c>
      <c r="R246" s="32">
        <v>0.8</v>
      </c>
      <c r="S246" s="32">
        <v>6.7857142857142866E-2</v>
      </c>
      <c r="T246" s="32">
        <v>8.2857142857142865E-2</v>
      </c>
      <c r="U246" s="32">
        <v>2714285.714285715</v>
      </c>
      <c r="V246" s="32">
        <v>3314285.714285715</v>
      </c>
      <c r="W246" s="32"/>
      <c r="X246" s="32"/>
      <c r="Y246" s="32"/>
      <c r="Z246" s="32"/>
      <c r="AA246" s="32">
        <v>0.02</v>
      </c>
      <c r="AB246" s="32">
        <v>0.05</v>
      </c>
      <c r="AC246" s="32">
        <v>4.2500000000000003E-2</v>
      </c>
      <c r="AD246" s="32">
        <v>0.23287671232876711</v>
      </c>
      <c r="AE246" s="32">
        <v>632093.93346379662</v>
      </c>
      <c r="AF246" s="32">
        <v>771819.96086105681</v>
      </c>
      <c r="AG246" s="32" t="s">
        <v>1531</v>
      </c>
      <c r="AH246" s="32"/>
      <c r="AI246" s="32" t="s">
        <v>1493</v>
      </c>
      <c r="AJ246" s="32"/>
      <c r="AK246" s="28"/>
      <c r="AL246" s="18" t="str">
        <f t="shared" si="3"/>
        <v>Are financial instruments, such as hedging or long-term contracts, used to manage risks in vegetable oil procurement?_</v>
      </c>
    </row>
    <row r="247" spans="1:38" ht="58" x14ac:dyDescent="0.35">
      <c r="A247" s="32">
        <v>6</v>
      </c>
      <c r="B247" s="32" t="s">
        <v>1451</v>
      </c>
      <c r="C247" s="32" t="s">
        <v>1452</v>
      </c>
      <c r="D247" s="32" t="s">
        <v>1224</v>
      </c>
      <c r="E247" s="32" t="s">
        <v>1453</v>
      </c>
      <c r="F247" s="32"/>
      <c r="G247" s="32" t="s">
        <v>1284</v>
      </c>
      <c r="H247" s="32" t="s">
        <v>1579</v>
      </c>
      <c r="I247" s="32"/>
      <c r="J247" s="32" t="s">
        <v>1260</v>
      </c>
      <c r="K247" s="32" t="s">
        <v>1302</v>
      </c>
      <c r="L247" s="32" t="s">
        <v>1303</v>
      </c>
      <c r="M247" s="32" t="s">
        <v>1304</v>
      </c>
      <c r="N247" s="32" t="s">
        <v>1305</v>
      </c>
      <c r="O247" s="32">
        <v>1</v>
      </c>
      <c r="P247" s="32">
        <v>0.04</v>
      </c>
      <c r="Q247" s="32">
        <v>0.1</v>
      </c>
      <c r="R247" s="32">
        <v>0.8</v>
      </c>
      <c r="S247" s="32">
        <v>6.7857142857142866E-2</v>
      </c>
      <c r="T247" s="32">
        <v>8.2857142857142865E-2</v>
      </c>
      <c r="U247" s="32">
        <v>2714285.714285715</v>
      </c>
      <c r="V247" s="32">
        <v>3314285.714285715</v>
      </c>
      <c r="W247" s="32"/>
      <c r="X247" s="32"/>
      <c r="Y247" s="32"/>
      <c r="Z247" s="32"/>
      <c r="AA247" s="32">
        <v>0.02</v>
      </c>
      <c r="AB247" s="32">
        <v>0.05</v>
      </c>
      <c r="AC247" s="32">
        <v>4.2500000000000003E-2</v>
      </c>
      <c r="AD247" s="32">
        <v>0.23287671232876711</v>
      </c>
      <c r="AE247" s="32">
        <v>632093.93346379662</v>
      </c>
      <c r="AF247" s="32">
        <v>771819.96086105681</v>
      </c>
      <c r="AG247" s="32" t="s">
        <v>1532</v>
      </c>
      <c r="AH247" s="32"/>
      <c r="AI247" s="32" t="s">
        <v>1493</v>
      </c>
      <c r="AJ247" s="32"/>
      <c r="AK247" s="28"/>
      <c r="AL247" s="18" t="str">
        <f t="shared" si="3"/>
        <v>Are financial instruments, such as hedging or long-term contracts, used to manage risks in vegetable oil procurement?_</v>
      </c>
    </row>
    <row r="248" spans="1:38" ht="58" x14ac:dyDescent="0.35">
      <c r="A248" s="32">
        <v>7</v>
      </c>
      <c r="B248" s="32" t="s">
        <v>1451</v>
      </c>
      <c r="C248" s="32" t="s">
        <v>1452</v>
      </c>
      <c r="D248" s="32" t="s">
        <v>1224</v>
      </c>
      <c r="E248" s="32" t="s">
        <v>1453</v>
      </c>
      <c r="F248" s="32"/>
      <c r="G248" s="32" t="s">
        <v>1284</v>
      </c>
      <c r="H248" s="32" t="s">
        <v>2077</v>
      </c>
      <c r="I248" s="32"/>
      <c r="J248" s="32" t="s">
        <v>2078</v>
      </c>
      <c r="K248" s="32" t="s">
        <v>1302</v>
      </c>
      <c r="L248" s="32" t="s">
        <v>1303</v>
      </c>
      <c r="M248" s="32" t="s">
        <v>1304</v>
      </c>
      <c r="N248" s="32" t="s">
        <v>1305</v>
      </c>
      <c r="O248" s="32">
        <v>1</v>
      </c>
      <c r="P248" s="32">
        <v>0.04</v>
      </c>
      <c r="Q248" s="32">
        <v>0.1</v>
      </c>
      <c r="R248" s="32">
        <v>0.8</v>
      </c>
      <c r="S248" s="32">
        <v>6.7500000000000004E-2</v>
      </c>
      <c r="T248" s="32">
        <v>8.2500000000000004E-2</v>
      </c>
      <c r="U248" s="32">
        <v>2700000</v>
      </c>
      <c r="V248" s="32">
        <v>3300000</v>
      </c>
      <c r="W248" s="32"/>
      <c r="X248" s="32"/>
      <c r="Y248" s="32"/>
      <c r="Z248" s="32"/>
      <c r="AA248" s="32">
        <v>0.02</v>
      </c>
      <c r="AB248" s="32">
        <v>0.05</v>
      </c>
      <c r="AC248" s="32">
        <v>4.2500000000000003E-2</v>
      </c>
      <c r="AD248" s="32">
        <v>0.23287671232876711</v>
      </c>
      <c r="AE248" s="32">
        <v>628767.12328767136</v>
      </c>
      <c r="AF248" s="32">
        <v>768493.15068493143</v>
      </c>
      <c r="AG248" s="32" t="s">
        <v>1454</v>
      </c>
      <c r="AH248" s="32" t="s">
        <v>1455</v>
      </c>
      <c r="AI248" s="32" t="s">
        <v>2046</v>
      </c>
      <c r="AJ248" s="32"/>
      <c r="AK248" s="28"/>
      <c r="AL248" s="18" t="str">
        <f t="shared" si="3"/>
        <v>Are financial instruments, such as hedging or long-term contracts, used to manage risks in vegetable oil procurement?_</v>
      </c>
    </row>
    <row r="249" spans="1:38" ht="130.5" x14ac:dyDescent="0.35">
      <c r="A249" s="32">
        <v>7</v>
      </c>
      <c r="B249" s="32" t="s">
        <v>1451</v>
      </c>
      <c r="C249" s="32" t="s">
        <v>1452</v>
      </c>
      <c r="D249" s="32" t="s">
        <v>1224</v>
      </c>
      <c r="E249" s="32" t="s">
        <v>1453</v>
      </c>
      <c r="F249" s="32"/>
      <c r="G249" s="32" t="s">
        <v>1284</v>
      </c>
      <c r="H249" s="32" t="s">
        <v>2077</v>
      </c>
      <c r="I249" s="32"/>
      <c r="J249" s="32" t="s">
        <v>2078</v>
      </c>
      <c r="K249" s="32" t="s">
        <v>1302</v>
      </c>
      <c r="L249" s="32" t="s">
        <v>1303</v>
      </c>
      <c r="M249" s="32" t="s">
        <v>1304</v>
      </c>
      <c r="N249" s="32" t="s">
        <v>1305</v>
      </c>
      <c r="O249" s="32">
        <v>1</v>
      </c>
      <c r="P249" s="32">
        <v>0.04</v>
      </c>
      <c r="Q249" s="32">
        <v>0.1</v>
      </c>
      <c r="R249" s="32">
        <v>0.8</v>
      </c>
      <c r="S249" s="32">
        <v>6.7857142857142866E-2</v>
      </c>
      <c r="T249" s="32">
        <v>8.2857142857142865E-2</v>
      </c>
      <c r="U249" s="32">
        <v>2714285.714285715</v>
      </c>
      <c r="V249" s="32">
        <v>3314285.714285715</v>
      </c>
      <c r="W249" s="32"/>
      <c r="X249" s="32"/>
      <c r="Y249" s="32"/>
      <c r="Z249" s="32"/>
      <c r="AA249" s="32">
        <v>0.02</v>
      </c>
      <c r="AB249" s="32">
        <v>0.05</v>
      </c>
      <c r="AC249" s="32">
        <v>4.2500000000000003E-2</v>
      </c>
      <c r="AD249" s="32">
        <v>0.23287671232876711</v>
      </c>
      <c r="AE249" s="32">
        <v>632093.93346379662</v>
      </c>
      <c r="AF249" s="32">
        <v>771819.96086105681</v>
      </c>
      <c r="AG249" s="32" t="s">
        <v>1463</v>
      </c>
      <c r="AH249" s="32" t="s">
        <v>1464</v>
      </c>
      <c r="AI249" s="32" t="s">
        <v>2046</v>
      </c>
      <c r="AJ249" s="32" t="s">
        <v>2079</v>
      </c>
      <c r="AK249" s="28" t="s">
        <v>2080</v>
      </c>
      <c r="AL249" s="18" t="str">
        <f t="shared" si="3"/>
        <v>Are financial instruments, such as hedging or long-term contracts, used to manage risks in vegetable oil procurement?_If vegetable oil category has single supplier &gt;60% of spend for specific oil type (e.g., palm oil), enable recipe flexibility to substitute with alternative oils during supply disruptions</v>
      </c>
    </row>
    <row r="250" spans="1:38" ht="58" x14ac:dyDescent="0.35">
      <c r="A250" s="32">
        <v>7</v>
      </c>
      <c r="B250" s="32" t="s">
        <v>1451</v>
      </c>
      <c r="C250" s="32" t="s">
        <v>1452</v>
      </c>
      <c r="D250" s="32" t="s">
        <v>1224</v>
      </c>
      <c r="E250" s="32" t="s">
        <v>1453</v>
      </c>
      <c r="F250" s="32"/>
      <c r="G250" s="32" t="s">
        <v>1284</v>
      </c>
      <c r="H250" s="32" t="s">
        <v>2077</v>
      </c>
      <c r="I250" s="32"/>
      <c r="J250" s="32" t="s">
        <v>2078</v>
      </c>
      <c r="K250" s="32" t="s">
        <v>1302</v>
      </c>
      <c r="L250" s="32" t="s">
        <v>1303</v>
      </c>
      <c r="M250" s="32" t="s">
        <v>1304</v>
      </c>
      <c r="N250" s="32" t="s">
        <v>1305</v>
      </c>
      <c r="O250" s="32">
        <v>1</v>
      </c>
      <c r="P250" s="32">
        <v>0.04</v>
      </c>
      <c r="Q250" s="32">
        <v>0.1</v>
      </c>
      <c r="R250" s="32">
        <v>0.8</v>
      </c>
      <c r="S250" s="32">
        <v>6.7857142857142866E-2</v>
      </c>
      <c r="T250" s="32">
        <v>8.2857142857142865E-2</v>
      </c>
      <c r="U250" s="32">
        <v>2714285.714285715</v>
      </c>
      <c r="V250" s="32">
        <v>3314285.714285715</v>
      </c>
      <c r="W250" s="32"/>
      <c r="X250" s="32"/>
      <c r="Y250" s="32"/>
      <c r="Z250" s="32"/>
      <c r="AA250" s="32">
        <v>0.02</v>
      </c>
      <c r="AB250" s="32">
        <v>0.05</v>
      </c>
      <c r="AC250" s="32">
        <v>4.2500000000000003E-2</v>
      </c>
      <c r="AD250" s="32">
        <v>0.23287671232876711</v>
      </c>
      <c r="AE250" s="32">
        <v>632093.93346379662</v>
      </c>
      <c r="AF250" s="32">
        <v>771819.96086105681</v>
      </c>
      <c r="AG250" s="32" t="s">
        <v>1465</v>
      </c>
      <c r="AH250" s="32" t="s">
        <v>1466</v>
      </c>
      <c r="AI250" s="32" t="s">
        <v>2046</v>
      </c>
      <c r="AJ250" s="32"/>
      <c r="AK250" s="28"/>
      <c r="AL250" s="18" t="str">
        <f t="shared" si="3"/>
        <v>Are financial instruments, such as hedging or long-term contracts, used to manage risks in vegetable oil procurement?_</v>
      </c>
    </row>
    <row r="251" spans="1:38" ht="58" x14ac:dyDescent="0.35">
      <c r="A251" s="32">
        <v>7</v>
      </c>
      <c r="B251" s="32" t="s">
        <v>1451</v>
      </c>
      <c r="C251" s="32" t="s">
        <v>1452</v>
      </c>
      <c r="D251" s="32" t="s">
        <v>1224</v>
      </c>
      <c r="E251" s="32" t="s">
        <v>1453</v>
      </c>
      <c r="F251" s="32"/>
      <c r="G251" s="32" t="s">
        <v>1284</v>
      </c>
      <c r="H251" s="32" t="s">
        <v>2077</v>
      </c>
      <c r="I251" s="32"/>
      <c r="J251" s="32" t="s">
        <v>2078</v>
      </c>
      <c r="K251" s="32" t="s">
        <v>1302</v>
      </c>
      <c r="L251" s="32" t="s">
        <v>1303</v>
      </c>
      <c r="M251" s="32" t="s">
        <v>1304</v>
      </c>
      <c r="N251" s="32" t="s">
        <v>1305</v>
      </c>
      <c r="O251" s="32">
        <v>1</v>
      </c>
      <c r="P251" s="32">
        <v>0.04</v>
      </c>
      <c r="Q251" s="32">
        <v>0.1</v>
      </c>
      <c r="R251" s="32">
        <v>0.8</v>
      </c>
      <c r="S251" s="32">
        <v>6.7857142857142866E-2</v>
      </c>
      <c r="T251" s="32">
        <v>8.2857142857142865E-2</v>
      </c>
      <c r="U251" s="32">
        <v>2714285.714285715</v>
      </c>
      <c r="V251" s="32">
        <v>3314285.714285715</v>
      </c>
      <c r="W251" s="32"/>
      <c r="X251" s="32"/>
      <c r="Y251" s="32"/>
      <c r="Z251" s="32"/>
      <c r="AA251" s="32">
        <v>0.02</v>
      </c>
      <c r="AB251" s="32">
        <v>0.05</v>
      </c>
      <c r="AC251" s="32">
        <v>4.2500000000000003E-2</v>
      </c>
      <c r="AD251" s="32">
        <v>0.23287671232876711</v>
      </c>
      <c r="AE251" s="32">
        <v>632093.93346379662</v>
      </c>
      <c r="AF251" s="32">
        <v>771819.96086105681</v>
      </c>
      <c r="AG251" s="32" t="s">
        <v>1467</v>
      </c>
      <c r="AH251" s="32" t="s">
        <v>1468</v>
      </c>
      <c r="AI251" s="32" t="s">
        <v>2046</v>
      </c>
      <c r="AJ251" s="32"/>
      <c r="AK251" s="28"/>
      <c r="AL251" s="18" t="str">
        <f t="shared" si="3"/>
        <v>Are financial instruments, such as hedging or long-term contracts, used to manage risks in vegetable oil procurement?_</v>
      </c>
    </row>
    <row r="252" spans="1:38" ht="58" x14ac:dyDescent="0.35">
      <c r="A252" s="32">
        <v>7</v>
      </c>
      <c r="B252" s="32" t="s">
        <v>1451</v>
      </c>
      <c r="C252" s="32" t="s">
        <v>1452</v>
      </c>
      <c r="D252" s="32" t="s">
        <v>1224</v>
      </c>
      <c r="E252" s="32" t="s">
        <v>1453</v>
      </c>
      <c r="F252" s="32"/>
      <c r="G252" s="32" t="s">
        <v>1284</v>
      </c>
      <c r="H252" s="32" t="s">
        <v>2077</v>
      </c>
      <c r="I252" s="32"/>
      <c r="J252" s="32" t="s">
        <v>2078</v>
      </c>
      <c r="K252" s="32" t="s">
        <v>1302</v>
      </c>
      <c r="L252" s="32" t="s">
        <v>1303</v>
      </c>
      <c r="M252" s="32" t="s">
        <v>1304</v>
      </c>
      <c r="N252" s="32" t="s">
        <v>1305</v>
      </c>
      <c r="O252" s="32">
        <v>1</v>
      </c>
      <c r="P252" s="32">
        <v>0.04</v>
      </c>
      <c r="Q252" s="32">
        <v>0.1</v>
      </c>
      <c r="R252" s="32">
        <v>0.8</v>
      </c>
      <c r="S252" s="32">
        <v>6.7857142857142866E-2</v>
      </c>
      <c r="T252" s="32">
        <v>8.2857142857142865E-2</v>
      </c>
      <c r="U252" s="32">
        <v>2714285.714285715</v>
      </c>
      <c r="V252" s="32">
        <v>3314285.714285715</v>
      </c>
      <c r="W252" s="32"/>
      <c r="X252" s="32"/>
      <c r="Y252" s="32"/>
      <c r="Z252" s="32"/>
      <c r="AA252" s="32">
        <v>0.02</v>
      </c>
      <c r="AB252" s="32">
        <v>0.05</v>
      </c>
      <c r="AC252" s="32">
        <v>4.2500000000000003E-2</v>
      </c>
      <c r="AD252" s="32">
        <v>0.23287671232876711</v>
      </c>
      <c r="AE252" s="32">
        <v>632093.93346379662</v>
      </c>
      <c r="AF252" s="32">
        <v>771819.96086105681</v>
      </c>
      <c r="AG252" s="32" t="s">
        <v>1471</v>
      </c>
      <c r="AH252" s="32" t="s">
        <v>1472</v>
      </c>
      <c r="AI252" s="32" t="s">
        <v>2046</v>
      </c>
      <c r="AJ252" s="32"/>
      <c r="AK252" s="28"/>
      <c r="AL252" s="18" t="str">
        <f t="shared" si="3"/>
        <v>Are financial instruments, such as hedging or long-term contracts, used to manage risks in vegetable oil procurement?_</v>
      </c>
    </row>
    <row r="253" spans="1:38" ht="58" x14ac:dyDescent="0.35">
      <c r="A253" s="32">
        <v>7</v>
      </c>
      <c r="B253" s="32" t="s">
        <v>1451</v>
      </c>
      <c r="C253" s="32" t="s">
        <v>1452</v>
      </c>
      <c r="D253" s="32" t="s">
        <v>1224</v>
      </c>
      <c r="E253" s="32" t="s">
        <v>1453</v>
      </c>
      <c r="F253" s="32"/>
      <c r="G253" s="32" t="s">
        <v>1284</v>
      </c>
      <c r="H253" s="32" t="s">
        <v>2077</v>
      </c>
      <c r="I253" s="32"/>
      <c r="J253" s="32" t="s">
        <v>2078</v>
      </c>
      <c r="K253" s="32" t="s">
        <v>1302</v>
      </c>
      <c r="L253" s="32" t="s">
        <v>1303</v>
      </c>
      <c r="M253" s="32" t="s">
        <v>1304</v>
      </c>
      <c r="N253" s="32" t="s">
        <v>1305</v>
      </c>
      <c r="O253" s="32">
        <v>1</v>
      </c>
      <c r="P253" s="32">
        <v>0.04</v>
      </c>
      <c r="Q253" s="32">
        <v>0.1</v>
      </c>
      <c r="R253" s="32">
        <v>0.8</v>
      </c>
      <c r="S253" s="32">
        <v>6.7857142857142866E-2</v>
      </c>
      <c r="T253" s="32">
        <v>8.2857142857142865E-2</v>
      </c>
      <c r="U253" s="32">
        <v>2714285.714285715</v>
      </c>
      <c r="V253" s="32">
        <v>3314285.714285715</v>
      </c>
      <c r="W253" s="32"/>
      <c r="X253" s="32"/>
      <c r="Y253" s="32"/>
      <c r="Z253" s="32"/>
      <c r="AA253" s="32">
        <v>0.02</v>
      </c>
      <c r="AB253" s="32">
        <v>0.05</v>
      </c>
      <c r="AC253" s="32">
        <v>4.2500000000000003E-2</v>
      </c>
      <c r="AD253" s="32">
        <v>0.23287671232876711</v>
      </c>
      <c r="AE253" s="32">
        <v>632093.93346379662</v>
      </c>
      <c r="AF253" s="32">
        <v>771819.96086105681</v>
      </c>
      <c r="AG253" s="32" t="s">
        <v>1475</v>
      </c>
      <c r="AH253" s="32" t="s">
        <v>1476</v>
      </c>
      <c r="AI253" s="32" t="s">
        <v>2046</v>
      </c>
      <c r="AJ253" s="32"/>
      <c r="AK253" s="28"/>
      <c r="AL253" s="18" t="str">
        <f t="shared" si="3"/>
        <v>Are financial instruments, such as hedging or long-term contracts, used to manage risks in vegetable oil procurement?_</v>
      </c>
    </row>
    <row r="254" spans="1:38" ht="58" x14ac:dyDescent="0.35">
      <c r="A254" s="32">
        <v>7</v>
      </c>
      <c r="B254" s="32" t="s">
        <v>1451</v>
      </c>
      <c r="C254" s="32" t="s">
        <v>1452</v>
      </c>
      <c r="D254" s="32" t="s">
        <v>1224</v>
      </c>
      <c r="E254" s="32" t="s">
        <v>1453</v>
      </c>
      <c r="F254" s="32"/>
      <c r="G254" s="32" t="s">
        <v>1284</v>
      </c>
      <c r="H254" s="32" t="s">
        <v>2077</v>
      </c>
      <c r="I254" s="32"/>
      <c r="J254" s="32" t="s">
        <v>2078</v>
      </c>
      <c r="K254" s="32" t="s">
        <v>1302</v>
      </c>
      <c r="L254" s="32" t="s">
        <v>1303</v>
      </c>
      <c r="M254" s="32" t="s">
        <v>1304</v>
      </c>
      <c r="N254" s="32" t="s">
        <v>1305</v>
      </c>
      <c r="O254" s="32">
        <v>1</v>
      </c>
      <c r="P254" s="32">
        <v>0.04</v>
      </c>
      <c r="Q254" s="32">
        <v>0.1</v>
      </c>
      <c r="R254" s="32">
        <v>0.8</v>
      </c>
      <c r="S254" s="32">
        <v>6.7857142857142866E-2</v>
      </c>
      <c r="T254" s="32">
        <v>8.2857142857142865E-2</v>
      </c>
      <c r="U254" s="32">
        <v>2714285.714285715</v>
      </c>
      <c r="V254" s="32">
        <v>3314285.714285715</v>
      </c>
      <c r="W254" s="32"/>
      <c r="X254" s="32"/>
      <c r="Y254" s="32"/>
      <c r="Z254" s="32"/>
      <c r="AA254" s="32">
        <v>0.02</v>
      </c>
      <c r="AB254" s="32">
        <v>0.05</v>
      </c>
      <c r="AC254" s="32">
        <v>4.2500000000000003E-2</v>
      </c>
      <c r="AD254" s="32">
        <v>0.23287671232876711</v>
      </c>
      <c r="AE254" s="32">
        <v>632093.93346379662</v>
      </c>
      <c r="AF254" s="32">
        <v>771819.96086105681</v>
      </c>
      <c r="AG254" s="32" t="s">
        <v>1477</v>
      </c>
      <c r="AH254" s="32" t="s">
        <v>1478</v>
      </c>
      <c r="AI254" s="32" t="s">
        <v>2046</v>
      </c>
      <c r="AJ254" s="32"/>
      <c r="AK254" s="28"/>
      <c r="AL254" s="18" t="str">
        <f t="shared" si="3"/>
        <v>Are financial instruments, such as hedging or long-term contracts, used to manage risks in vegetable oil procurement?_</v>
      </c>
    </row>
    <row r="255" spans="1:38" ht="58" x14ac:dyDescent="0.35">
      <c r="A255" s="32">
        <v>7</v>
      </c>
      <c r="B255" s="32" t="s">
        <v>1451</v>
      </c>
      <c r="C255" s="32" t="s">
        <v>1452</v>
      </c>
      <c r="D255" s="32" t="s">
        <v>1224</v>
      </c>
      <c r="E255" s="32" t="s">
        <v>1453</v>
      </c>
      <c r="F255" s="32"/>
      <c r="G255" s="32" t="s">
        <v>1284</v>
      </c>
      <c r="H255" s="32" t="s">
        <v>2077</v>
      </c>
      <c r="I255" s="32"/>
      <c r="J255" s="32" t="s">
        <v>2078</v>
      </c>
      <c r="K255" s="32" t="s">
        <v>1302</v>
      </c>
      <c r="L255" s="32" t="s">
        <v>1303</v>
      </c>
      <c r="M255" s="32" t="s">
        <v>1304</v>
      </c>
      <c r="N255" s="32" t="s">
        <v>1305</v>
      </c>
      <c r="O255" s="32">
        <v>1</v>
      </c>
      <c r="P255" s="32">
        <v>0.04</v>
      </c>
      <c r="Q255" s="32">
        <v>0.1</v>
      </c>
      <c r="R255" s="32">
        <v>0.8</v>
      </c>
      <c r="S255" s="32">
        <v>6.7857142857142866E-2</v>
      </c>
      <c r="T255" s="32">
        <v>8.2857142857142865E-2</v>
      </c>
      <c r="U255" s="32">
        <v>2714285.714285715</v>
      </c>
      <c r="V255" s="32">
        <v>3314285.714285715</v>
      </c>
      <c r="W255" s="32"/>
      <c r="X255" s="32"/>
      <c r="Y255" s="32"/>
      <c r="Z255" s="32"/>
      <c r="AA255" s="32">
        <v>0.02</v>
      </c>
      <c r="AB255" s="32">
        <v>0.05</v>
      </c>
      <c r="AC255" s="32">
        <v>4.2500000000000003E-2</v>
      </c>
      <c r="AD255" s="32">
        <v>0.23287671232876711</v>
      </c>
      <c r="AE255" s="32">
        <v>632093.93346379662</v>
      </c>
      <c r="AF255" s="32">
        <v>771819.96086105681</v>
      </c>
      <c r="AG255" s="32" t="s">
        <v>1481</v>
      </c>
      <c r="AH255" s="32" t="s">
        <v>1482</v>
      </c>
      <c r="AI255" s="32" t="s">
        <v>2046</v>
      </c>
      <c r="AJ255" s="32"/>
      <c r="AK255" s="28"/>
      <c r="AL255" s="18" t="str">
        <f t="shared" si="3"/>
        <v>Are financial instruments, such as hedging or long-term contracts, used to manage risks in vegetable oil procurement?_</v>
      </c>
    </row>
    <row r="256" spans="1:38" ht="58" x14ac:dyDescent="0.35">
      <c r="A256" s="32">
        <v>7</v>
      </c>
      <c r="B256" s="32" t="s">
        <v>1451</v>
      </c>
      <c r="C256" s="32" t="s">
        <v>1452</v>
      </c>
      <c r="D256" s="32" t="s">
        <v>1224</v>
      </c>
      <c r="E256" s="32" t="s">
        <v>1453</v>
      </c>
      <c r="F256" s="32"/>
      <c r="G256" s="32" t="s">
        <v>1284</v>
      </c>
      <c r="H256" s="32" t="s">
        <v>2077</v>
      </c>
      <c r="I256" s="32"/>
      <c r="J256" s="32" t="s">
        <v>2078</v>
      </c>
      <c r="K256" s="32" t="s">
        <v>1302</v>
      </c>
      <c r="L256" s="32" t="s">
        <v>1303</v>
      </c>
      <c r="M256" s="32" t="s">
        <v>1304</v>
      </c>
      <c r="N256" s="32" t="s">
        <v>1305</v>
      </c>
      <c r="O256" s="32">
        <v>1</v>
      </c>
      <c r="P256" s="32">
        <v>0.04</v>
      </c>
      <c r="Q256" s="32">
        <v>0.1</v>
      </c>
      <c r="R256" s="32">
        <v>0.8</v>
      </c>
      <c r="S256" s="32">
        <v>6.7857142857142866E-2</v>
      </c>
      <c r="T256" s="32">
        <v>8.2857142857142865E-2</v>
      </c>
      <c r="U256" s="32">
        <v>2714285.714285715</v>
      </c>
      <c r="V256" s="32">
        <v>3314285.714285715</v>
      </c>
      <c r="W256" s="32"/>
      <c r="X256" s="32"/>
      <c r="Y256" s="32"/>
      <c r="Z256" s="32"/>
      <c r="AA256" s="32">
        <v>0.02</v>
      </c>
      <c r="AB256" s="32">
        <v>0.05</v>
      </c>
      <c r="AC256" s="32">
        <v>4.2500000000000003E-2</v>
      </c>
      <c r="AD256" s="32">
        <v>0.23287671232876711</v>
      </c>
      <c r="AE256" s="32">
        <v>632093.93346379662</v>
      </c>
      <c r="AF256" s="32">
        <v>771819.96086105681</v>
      </c>
      <c r="AG256" s="32" t="s">
        <v>1483</v>
      </c>
      <c r="AH256" s="32" t="s">
        <v>1484</v>
      </c>
      <c r="AI256" s="32" t="s">
        <v>2046</v>
      </c>
      <c r="AJ256" s="32"/>
      <c r="AK256" s="28"/>
      <c r="AL256" s="18" t="str">
        <f t="shared" si="3"/>
        <v>Are financial instruments, such as hedging or long-term contracts, used to manage risks in vegetable oil procurement?_</v>
      </c>
    </row>
    <row r="257" spans="1:38" ht="58" x14ac:dyDescent="0.35">
      <c r="A257" s="32">
        <v>7</v>
      </c>
      <c r="B257" s="32" t="s">
        <v>1451</v>
      </c>
      <c r="C257" s="32" t="s">
        <v>1452</v>
      </c>
      <c r="D257" s="32" t="s">
        <v>1224</v>
      </c>
      <c r="E257" s="32" t="s">
        <v>1453</v>
      </c>
      <c r="F257" s="32"/>
      <c r="G257" s="32" t="s">
        <v>1284</v>
      </c>
      <c r="H257" s="32" t="s">
        <v>2077</v>
      </c>
      <c r="I257" s="32"/>
      <c r="J257" s="32" t="s">
        <v>2078</v>
      </c>
      <c r="K257" s="32" t="s">
        <v>1302</v>
      </c>
      <c r="L257" s="32" t="s">
        <v>1303</v>
      </c>
      <c r="M257" s="32" t="s">
        <v>1304</v>
      </c>
      <c r="N257" s="32" t="s">
        <v>1305</v>
      </c>
      <c r="O257" s="32">
        <v>1</v>
      </c>
      <c r="P257" s="32">
        <v>0.04</v>
      </c>
      <c r="Q257" s="32">
        <v>0.1</v>
      </c>
      <c r="R257" s="32">
        <v>0.8</v>
      </c>
      <c r="S257" s="32">
        <v>6.7857142857142866E-2</v>
      </c>
      <c r="T257" s="32">
        <v>8.2857142857142865E-2</v>
      </c>
      <c r="U257" s="32">
        <v>2714285.714285715</v>
      </c>
      <c r="V257" s="32">
        <v>3314285.714285715</v>
      </c>
      <c r="W257" s="32"/>
      <c r="X257" s="32"/>
      <c r="Y257" s="32"/>
      <c r="Z257" s="32"/>
      <c r="AA257" s="32">
        <v>0.02</v>
      </c>
      <c r="AB257" s="32">
        <v>0.05</v>
      </c>
      <c r="AC257" s="32">
        <v>4.2500000000000003E-2</v>
      </c>
      <c r="AD257" s="32">
        <v>0.23287671232876711</v>
      </c>
      <c r="AE257" s="32">
        <v>632093.93346379662</v>
      </c>
      <c r="AF257" s="32">
        <v>771819.96086105681</v>
      </c>
      <c r="AG257" s="32" t="s">
        <v>1486</v>
      </c>
      <c r="AH257" s="32" t="s">
        <v>1487</v>
      </c>
      <c r="AI257" s="32" t="s">
        <v>2046</v>
      </c>
      <c r="AJ257" s="32"/>
      <c r="AK257" s="28"/>
      <c r="AL257" s="18" t="str">
        <f t="shared" si="3"/>
        <v>Are financial instruments, such as hedging or long-term contracts, used to manage risks in vegetable oil procurement?_</v>
      </c>
    </row>
    <row r="258" spans="1:38" ht="58" x14ac:dyDescent="0.35">
      <c r="A258" s="32">
        <v>7</v>
      </c>
      <c r="B258" s="32" t="s">
        <v>1451</v>
      </c>
      <c r="C258" s="32" t="s">
        <v>1452</v>
      </c>
      <c r="D258" s="32" t="s">
        <v>1224</v>
      </c>
      <c r="E258" s="32" t="s">
        <v>1453</v>
      </c>
      <c r="F258" s="32"/>
      <c r="G258" s="32" t="s">
        <v>1284</v>
      </c>
      <c r="H258" s="32" t="s">
        <v>2077</v>
      </c>
      <c r="I258" s="32"/>
      <c r="J258" s="32" t="s">
        <v>2078</v>
      </c>
      <c r="K258" s="32" t="s">
        <v>1302</v>
      </c>
      <c r="L258" s="32" t="s">
        <v>1303</v>
      </c>
      <c r="M258" s="32" t="s">
        <v>1304</v>
      </c>
      <c r="N258" s="32" t="s">
        <v>1305</v>
      </c>
      <c r="O258" s="32">
        <v>1</v>
      </c>
      <c r="P258" s="32">
        <v>0.04</v>
      </c>
      <c r="Q258" s="32">
        <v>0.1</v>
      </c>
      <c r="R258" s="32">
        <v>0.8</v>
      </c>
      <c r="S258" s="32">
        <v>6.7857142857142866E-2</v>
      </c>
      <c r="T258" s="32">
        <v>8.2857142857142865E-2</v>
      </c>
      <c r="U258" s="32">
        <v>2714285.714285715</v>
      </c>
      <c r="V258" s="32">
        <v>3314285.714285715</v>
      </c>
      <c r="W258" s="32"/>
      <c r="X258" s="32"/>
      <c r="Y258" s="32"/>
      <c r="Z258" s="32"/>
      <c r="AA258" s="32">
        <v>0.02</v>
      </c>
      <c r="AB258" s="32">
        <v>0.05</v>
      </c>
      <c r="AC258" s="32">
        <v>4.2500000000000003E-2</v>
      </c>
      <c r="AD258" s="32">
        <v>0.23287671232876711</v>
      </c>
      <c r="AE258" s="32">
        <v>632093.93346379662</v>
      </c>
      <c r="AF258" s="32">
        <v>771819.96086105681</v>
      </c>
      <c r="AG258" s="32" t="s">
        <v>1488</v>
      </c>
      <c r="AH258" s="32" t="s">
        <v>1489</v>
      </c>
      <c r="AI258" s="32" t="s">
        <v>2046</v>
      </c>
      <c r="AJ258" s="32"/>
      <c r="AK258" s="28"/>
      <c r="AL258" s="18" t="str">
        <f t="shared" si="3"/>
        <v>Are financial instruments, such as hedging or long-term contracts, used to manage risks in vegetable oil procurement?_</v>
      </c>
    </row>
    <row r="259" spans="1:38" ht="58" x14ac:dyDescent="0.35">
      <c r="A259" s="32">
        <v>7</v>
      </c>
      <c r="B259" s="32" t="s">
        <v>1451</v>
      </c>
      <c r="C259" s="32" t="s">
        <v>1452</v>
      </c>
      <c r="D259" s="32" t="s">
        <v>1224</v>
      </c>
      <c r="E259" s="32" t="s">
        <v>1453</v>
      </c>
      <c r="F259" s="32"/>
      <c r="G259" s="32" t="s">
        <v>1284</v>
      </c>
      <c r="H259" s="32" t="s">
        <v>2077</v>
      </c>
      <c r="I259" s="32"/>
      <c r="J259" s="32" t="s">
        <v>2078</v>
      </c>
      <c r="K259" s="32" t="s">
        <v>1302</v>
      </c>
      <c r="L259" s="32" t="s">
        <v>1303</v>
      </c>
      <c r="M259" s="32" t="s">
        <v>1304</v>
      </c>
      <c r="N259" s="32" t="s">
        <v>1305</v>
      </c>
      <c r="O259" s="32">
        <v>1</v>
      </c>
      <c r="P259" s="32">
        <v>0.04</v>
      </c>
      <c r="Q259" s="32">
        <v>0.1</v>
      </c>
      <c r="R259" s="32">
        <v>0.8</v>
      </c>
      <c r="S259" s="32">
        <v>6.7857142857142866E-2</v>
      </c>
      <c r="T259" s="32">
        <v>8.2857142857142865E-2</v>
      </c>
      <c r="U259" s="32">
        <v>2714285.714285715</v>
      </c>
      <c r="V259" s="32">
        <v>3314285.714285715</v>
      </c>
      <c r="W259" s="32"/>
      <c r="X259" s="32"/>
      <c r="Y259" s="32"/>
      <c r="Z259" s="32"/>
      <c r="AA259" s="32">
        <v>0.02</v>
      </c>
      <c r="AB259" s="32">
        <v>0.05</v>
      </c>
      <c r="AC259" s="32">
        <v>4.2500000000000003E-2</v>
      </c>
      <c r="AD259" s="32">
        <v>0.23287671232876711</v>
      </c>
      <c r="AE259" s="32">
        <v>632093.93346379662</v>
      </c>
      <c r="AF259" s="32">
        <v>771819.96086105681</v>
      </c>
      <c r="AG259" s="32" t="s">
        <v>1490</v>
      </c>
      <c r="AH259" s="32" t="s">
        <v>1491</v>
      </c>
      <c r="AI259" s="32" t="s">
        <v>2046</v>
      </c>
      <c r="AJ259" s="32"/>
      <c r="AK259" s="28"/>
      <c r="AL259" s="18" t="str">
        <f t="shared" ref="AL259:AL288" si="4">CONCATENATE(G259,"_",AJ259)</f>
        <v>Are financial instruments, such as hedging or long-term contracts, used to manage risks in vegetable oil procurement?_</v>
      </c>
    </row>
    <row r="260" spans="1:38" ht="130.5" x14ac:dyDescent="0.35">
      <c r="A260" s="32">
        <v>7</v>
      </c>
      <c r="B260" s="32" t="s">
        <v>1451</v>
      </c>
      <c r="C260" s="32" t="s">
        <v>1452</v>
      </c>
      <c r="D260" s="32" t="s">
        <v>1224</v>
      </c>
      <c r="E260" s="32" t="s">
        <v>1453</v>
      </c>
      <c r="F260" s="32"/>
      <c r="G260" s="32" t="s">
        <v>1284</v>
      </c>
      <c r="H260" s="32" t="s">
        <v>2077</v>
      </c>
      <c r="I260" s="32"/>
      <c r="J260" s="32" t="s">
        <v>2078</v>
      </c>
      <c r="K260" s="32" t="s">
        <v>1302</v>
      </c>
      <c r="L260" s="32" t="s">
        <v>1303</v>
      </c>
      <c r="M260" s="32" t="s">
        <v>1304</v>
      </c>
      <c r="N260" s="32" t="s">
        <v>1305</v>
      </c>
      <c r="O260" s="32">
        <v>1</v>
      </c>
      <c r="P260" s="32">
        <v>0.04</v>
      </c>
      <c r="Q260" s="32">
        <v>0.1</v>
      </c>
      <c r="R260" s="32">
        <v>0.8</v>
      </c>
      <c r="S260" s="32">
        <v>6.7857142857142866E-2</v>
      </c>
      <c r="T260" s="32">
        <v>8.2857142857142865E-2</v>
      </c>
      <c r="U260" s="32">
        <v>2714285.714285715</v>
      </c>
      <c r="V260" s="32">
        <v>3314285.714285715</v>
      </c>
      <c r="W260" s="32"/>
      <c r="X260" s="32"/>
      <c r="Y260" s="32"/>
      <c r="Z260" s="32"/>
      <c r="AA260" s="32">
        <v>0.02</v>
      </c>
      <c r="AB260" s="32">
        <v>0.05</v>
      </c>
      <c r="AC260" s="32">
        <v>4.2500000000000003E-2</v>
      </c>
      <c r="AD260" s="32">
        <v>0.23287671232876711</v>
      </c>
      <c r="AE260" s="32">
        <v>632093.93346379662</v>
      </c>
      <c r="AF260" s="32">
        <v>771819.96086105681</v>
      </c>
      <c r="AG260" s="32" t="s">
        <v>1492</v>
      </c>
      <c r="AH260" s="32" t="s">
        <v>1538</v>
      </c>
      <c r="AI260" s="32" t="s">
        <v>1493</v>
      </c>
      <c r="AJ260" s="32" t="s">
        <v>2081</v>
      </c>
      <c r="AK260" s="28" t="s">
        <v>2080</v>
      </c>
      <c r="AL260" s="18" t="str">
        <f t="shared" si="4"/>
        <v>Are financial instruments, such as hedging or long-term contracts, used to manage risks in vegetable oil procurement?_If external data shows vegetable oil market &gt;$X billion with alternative oil segments (algae, synthetic) growing &gt;40%, while vegetable oil spend analysis shows &gt;85% traditional oils (palm, soy, canola), enable recipe flexibility to incorporate innovative oil alternatives</v>
      </c>
    </row>
    <row r="261" spans="1:38" ht="130.5" x14ac:dyDescent="0.35">
      <c r="A261" s="32">
        <v>7</v>
      </c>
      <c r="B261" s="32" t="s">
        <v>1451</v>
      </c>
      <c r="C261" s="32" t="s">
        <v>1452</v>
      </c>
      <c r="D261" s="32" t="s">
        <v>1224</v>
      </c>
      <c r="E261" s="32" t="s">
        <v>1453</v>
      </c>
      <c r="F261" s="32"/>
      <c r="G261" s="32" t="s">
        <v>1284</v>
      </c>
      <c r="H261" s="32" t="s">
        <v>2077</v>
      </c>
      <c r="I261" s="32"/>
      <c r="J261" s="32" t="s">
        <v>2078</v>
      </c>
      <c r="K261" s="32" t="s">
        <v>1302</v>
      </c>
      <c r="L261" s="32" t="s">
        <v>1303</v>
      </c>
      <c r="M261" s="32" t="s">
        <v>1304</v>
      </c>
      <c r="N261" s="32" t="s">
        <v>1305</v>
      </c>
      <c r="O261" s="32">
        <v>1</v>
      </c>
      <c r="P261" s="32">
        <v>0.04</v>
      </c>
      <c r="Q261" s="32">
        <v>0.1</v>
      </c>
      <c r="R261" s="32">
        <v>0.8</v>
      </c>
      <c r="S261" s="32">
        <v>6.7857142857142866E-2</v>
      </c>
      <c r="T261" s="32">
        <v>8.2857142857142865E-2</v>
      </c>
      <c r="U261" s="32">
        <v>2714285.714285715</v>
      </c>
      <c r="V261" s="32">
        <v>3314285.714285715</v>
      </c>
      <c r="W261" s="32"/>
      <c r="X261" s="32"/>
      <c r="Y261" s="32"/>
      <c r="Z261" s="32"/>
      <c r="AA261" s="32">
        <v>0.02</v>
      </c>
      <c r="AB261" s="32">
        <v>0.05</v>
      </c>
      <c r="AC261" s="32">
        <v>4.2500000000000003E-2</v>
      </c>
      <c r="AD261" s="32">
        <v>0.23287671232876711</v>
      </c>
      <c r="AE261" s="32">
        <v>632093.93346379662</v>
      </c>
      <c r="AF261" s="32">
        <v>771819.96086105681</v>
      </c>
      <c r="AG261" s="32" t="s">
        <v>1494</v>
      </c>
      <c r="AH261" s="32" t="s">
        <v>1539</v>
      </c>
      <c r="AI261" s="32" t="s">
        <v>1493</v>
      </c>
      <c r="AJ261" s="32" t="s">
        <v>2082</v>
      </c>
      <c r="AK261" s="28" t="s">
        <v>2080</v>
      </c>
      <c r="AL261" s="18" t="str">
        <f t="shared" si="4"/>
        <v>Are financial instruments, such as hedging or long-term contracts, used to manage risks in vegetable oil procurement?_If external vegetable oil market shows specialty/functional oils growing &gt;25% CAGR while vegetable oil category shows &gt;70% conventional oils, implement recipe flexibility to access high-growth oil segments like avocado, coconut, or specialty blends</v>
      </c>
    </row>
    <row r="262" spans="1:38" ht="130.5" x14ac:dyDescent="0.35">
      <c r="A262" s="32">
        <v>7</v>
      </c>
      <c r="B262" s="32" t="s">
        <v>1451</v>
      </c>
      <c r="C262" s="32" t="s">
        <v>1452</v>
      </c>
      <c r="D262" s="32" t="s">
        <v>1224</v>
      </c>
      <c r="E262" s="32" t="s">
        <v>1453</v>
      </c>
      <c r="F262" s="32"/>
      <c r="G262" s="32" t="s">
        <v>1284</v>
      </c>
      <c r="H262" s="32" t="s">
        <v>2077</v>
      </c>
      <c r="I262" s="32"/>
      <c r="J262" s="32" t="s">
        <v>2078</v>
      </c>
      <c r="K262" s="32" t="s">
        <v>1302</v>
      </c>
      <c r="L262" s="32" t="s">
        <v>1303</v>
      </c>
      <c r="M262" s="32" t="s">
        <v>1304</v>
      </c>
      <c r="N262" s="32" t="s">
        <v>1305</v>
      </c>
      <c r="O262" s="32">
        <v>1</v>
      </c>
      <c r="P262" s="32">
        <v>0.04</v>
      </c>
      <c r="Q262" s="32">
        <v>0.1</v>
      </c>
      <c r="R262" s="32">
        <v>0.8</v>
      </c>
      <c r="S262" s="32">
        <v>6.7857142857142866E-2</v>
      </c>
      <c r="T262" s="32">
        <v>8.2857142857142865E-2</v>
      </c>
      <c r="U262" s="32">
        <v>2714285.714285715</v>
      </c>
      <c r="V262" s="32">
        <v>3314285.714285715</v>
      </c>
      <c r="W262" s="32"/>
      <c r="X262" s="32"/>
      <c r="Y262" s="32"/>
      <c r="Z262" s="32"/>
      <c r="AA262" s="32">
        <v>0.02</v>
      </c>
      <c r="AB262" s="32">
        <v>0.05</v>
      </c>
      <c r="AC262" s="32">
        <v>4.2500000000000003E-2</v>
      </c>
      <c r="AD262" s="32">
        <v>0.23287671232876711</v>
      </c>
      <c r="AE262" s="32">
        <v>632093.93346379662</v>
      </c>
      <c r="AF262" s="32">
        <v>771819.96086105681</v>
      </c>
      <c r="AG262" s="32" t="s">
        <v>1495</v>
      </c>
      <c r="AH262" s="32"/>
      <c r="AI262" s="32" t="s">
        <v>1493</v>
      </c>
      <c r="AJ262" s="32" t="s">
        <v>2083</v>
      </c>
      <c r="AK262" s="28" t="s">
        <v>2080</v>
      </c>
      <c r="AL262" s="18" t="str">
        <f t="shared" si="4"/>
        <v>Are financial instruments, such as hedging or long-term contracts, used to manage risks in vegetable oil procurement?_If external vegetable oil market shows emerging segments (sustainable oils) while vegetable oil contracts show &gt;60% traditional commodity oils with no flexibility clauses, develop recipe innovation to access next-generation oil solutions</v>
      </c>
    </row>
    <row r="263" spans="1:38" ht="203" x14ac:dyDescent="0.35">
      <c r="A263" s="32">
        <v>7</v>
      </c>
      <c r="B263" s="32" t="s">
        <v>1451</v>
      </c>
      <c r="C263" s="32" t="s">
        <v>1452</v>
      </c>
      <c r="D263" s="32" t="s">
        <v>1224</v>
      </c>
      <c r="E263" s="32" t="s">
        <v>1453</v>
      </c>
      <c r="F263" s="32"/>
      <c r="G263" s="32" t="s">
        <v>1284</v>
      </c>
      <c r="H263" s="32" t="s">
        <v>2077</v>
      </c>
      <c r="I263" s="32"/>
      <c r="J263" s="32" t="s">
        <v>2078</v>
      </c>
      <c r="K263" s="32" t="s">
        <v>1302</v>
      </c>
      <c r="L263" s="32" t="s">
        <v>1303</v>
      </c>
      <c r="M263" s="32" t="s">
        <v>1304</v>
      </c>
      <c r="N263" s="32" t="s">
        <v>1305</v>
      </c>
      <c r="O263" s="32">
        <v>1</v>
      </c>
      <c r="P263" s="32">
        <v>0.04</v>
      </c>
      <c r="Q263" s="32">
        <v>0.1</v>
      </c>
      <c r="R263" s="32">
        <v>0.8</v>
      </c>
      <c r="S263" s="32">
        <v>6.7857142857142866E-2</v>
      </c>
      <c r="T263" s="32">
        <v>8.2857142857142865E-2</v>
      </c>
      <c r="U263" s="32">
        <v>2714285.714285715</v>
      </c>
      <c r="V263" s="32">
        <v>3314285.714285715</v>
      </c>
      <c r="W263" s="32"/>
      <c r="X263" s="32"/>
      <c r="Y263" s="32"/>
      <c r="Z263" s="32"/>
      <c r="AA263" s="32">
        <v>0.02</v>
      </c>
      <c r="AB263" s="32">
        <v>0.05</v>
      </c>
      <c r="AC263" s="32">
        <v>4.2500000000000003E-2</v>
      </c>
      <c r="AD263" s="32">
        <v>0.23287671232876711</v>
      </c>
      <c r="AE263" s="32">
        <v>632093.93346379662</v>
      </c>
      <c r="AF263" s="32">
        <v>771819.96086105681</v>
      </c>
      <c r="AG263" s="32" t="s">
        <v>1496</v>
      </c>
      <c r="AH263" s="32"/>
      <c r="AI263" s="32" t="s">
        <v>1493</v>
      </c>
      <c r="AJ263" s="32" t="s">
        <v>2084</v>
      </c>
      <c r="AK263" s="28" t="s">
        <v>2085</v>
      </c>
      <c r="AL263" s="18" t="str">
        <f t="shared" si="4"/>
        <v>Are financial instruments, such as hedging or long-term contracts, used to manage risks in vegetable oil procurement?_If external vegetable oil consolidation shows integrated suppliers offering multiple oil types while vegetable oil spend shows &gt;50% single-oil suppliers, enable recipe flexibility to leverage consolidated suppliers' broader oil portfolios</v>
      </c>
    </row>
    <row r="264" spans="1:38" ht="58" x14ac:dyDescent="0.35">
      <c r="A264" s="32">
        <v>7</v>
      </c>
      <c r="B264" s="32" t="s">
        <v>1451</v>
      </c>
      <c r="C264" s="32" t="s">
        <v>1452</v>
      </c>
      <c r="D264" s="32" t="s">
        <v>1224</v>
      </c>
      <c r="E264" s="32" t="s">
        <v>1453</v>
      </c>
      <c r="F264" s="32"/>
      <c r="G264" s="32" t="s">
        <v>1284</v>
      </c>
      <c r="H264" s="32" t="s">
        <v>2077</v>
      </c>
      <c r="I264" s="32"/>
      <c r="J264" s="32" t="s">
        <v>2078</v>
      </c>
      <c r="K264" s="32" t="s">
        <v>1302</v>
      </c>
      <c r="L264" s="32" t="s">
        <v>1303</v>
      </c>
      <c r="M264" s="32" t="s">
        <v>1304</v>
      </c>
      <c r="N264" s="32" t="s">
        <v>1305</v>
      </c>
      <c r="O264" s="32">
        <v>1</v>
      </c>
      <c r="P264" s="32">
        <v>0.04</v>
      </c>
      <c r="Q264" s="32">
        <v>0.1</v>
      </c>
      <c r="R264" s="32">
        <v>0.8</v>
      </c>
      <c r="S264" s="32">
        <v>6.7857142857142866E-2</v>
      </c>
      <c r="T264" s="32">
        <v>8.2857142857142865E-2</v>
      </c>
      <c r="U264" s="32">
        <v>2714285.714285715</v>
      </c>
      <c r="V264" s="32">
        <v>3314285.714285715</v>
      </c>
      <c r="W264" s="32"/>
      <c r="X264" s="32"/>
      <c r="Y264" s="32"/>
      <c r="Z264" s="32"/>
      <c r="AA264" s="32">
        <v>0.02</v>
      </c>
      <c r="AB264" s="32">
        <v>0.05</v>
      </c>
      <c r="AC264" s="32">
        <v>4.2500000000000003E-2</v>
      </c>
      <c r="AD264" s="32">
        <v>0.23287671232876711</v>
      </c>
      <c r="AE264" s="32">
        <v>632093.93346379662</v>
      </c>
      <c r="AF264" s="32">
        <v>771819.96086105681</v>
      </c>
      <c r="AG264" s="32" t="s">
        <v>1499</v>
      </c>
      <c r="AH264" s="32"/>
      <c r="AI264" s="32" t="s">
        <v>1493</v>
      </c>
      <c r="AJ264" s="32"/>
      <c r="AK264" s="28"/>
      <c r="AL264" s="18" t="str">
        <f t="shared" si="4"/>
        <v>Are financial instruments, such as hedging or long-term contracts, used to manage risks in vegetable oil procurement?_</v>
      </c>
    </row>
    <row r="265" spans="1:38" ht="58" x14ac:dyDescent="0.35">
      <c r="A265" s="32">
        <v>7</v>
      </c>
      <c r="B265" s="32" t="s">
        <v>1451</v>
      </c>
      <c r="C265" s="32" t="s">
        <v>1452</v>
      </c>
      <c r="D265" s="32" t="s">
        <v>1224</v>
      </c>
      <c r="E265" s="32" t="s">
        <v>1453</v>
      </c>
      <c r="F265" s="32"/>
      <c r="G265" s="32" t="s">
        <v>1284</v>
      </c>
      <c r="H265" s="32" t="s">
        <v>2077</v>
      </c>
      <c r="I265" s="32"/>
      <c r="J265" s="32" t="s">
        <v>2078</v>
      </c>
      <c r="K265" s="32" t="s">
        <v>1302</v>
      </c>
      <c r="L265" s="32" t="s">
        <v>1303</v>
      </c>
      <c r="M265" s="32" t="s">
        <v>1304</v>
      </c>
      <c r="N265" s="32" t="s">
        <v>1305</v>
      </c>
      <c r="O265" s="32">
        <v>1</v>
      </c>
      <c r="P265" s="32">
        <v>0.04</v>
      </c>
      <c r="Q265" s="32">
        <v>0.1</v>
      </c>
      <c r="R265" s="32">
        <v>0.8</v>
      </c>
      <c r="S265" s="32">
        <v>6.7857142857142866E-2</v>
      </c>
      <c r="T265" s="32">
        <v>8.2857142857142865E-2</v>
      </c>
      <c r="U265" s="32">
        <v>2714285.714285715</v>
      </c>
      <c r="V265" s="32">
        <v>3314285.714285715</v>
      </c>
      <c r="W265" s="32"/>
      <c r="X265" s="32"/>
      <c r="Y265" s="32"/>
      <c r="Z265" s="32"/>
      <c r="AA265" s="32">
        <v>0.02</v>
      </c>
      <c r="AB265" s="32">
        <v>0.05</v>
      </c>
      <c r="AC265" s="32">
        <v>4.2500000000000003E-2</v>
      </c>
      <c r="AD265" s="32">
        <v>0.23287671232876711</v>
      </c>
      <c r="AE265" s="32">
        <v>632093.93346379662</v>
      </c>
      <c r="AF265" s="32">
        <v>771819.96086105681</v>
      </c>
      <c r="AG265" s="32" t="s">
        <v>1500</v>
      </c>
      <c r="AH265" s="32"/>
      <c r="AI265" s="32" t="s">
        <v>1493</v>
      </c>
      <c r="AJ265" s="32"/>
      <c r="AK265" s="28"/>
      <c r="AL265" s="18" t="str">
        <f t="shared" si="4"/>
        <v>Are financial instruments, such as hedging or long-term contracts, used to manage risks in vegetable oil procurement?_</v>
      </c>
    </row>
    <row r="266" spans="1:38" ht="58" x14ac:dyDescent="0.35">
      <c r="A266" s="32">
        <v>7</v>
      </c>
      <c r="B266" s="32" t="s">
        <v>1451</v>
      </c>
      <c r="C266" s="32" t="s">
        <v>1452</v>
      </c>
      <c r="D266" s="32" t="s">
        <v>1224</v>
      </c>
      <c r="E266" s="32" t="s">
        <v>1453</v>
      </c>
      <c r="F266" s="32"/>
      <c r="G266" s="32" t="s">
        <v>1284</v>
      </c>
      <c r="H266" s="32" t="s">
        <v>2077</v>
      </c>
      <c r="I266" s="32"/>
      <c r="J266" s="32" t="s">
        <v>2078</v>
      </c>
      <c r="K266" s="32" t="s">
        <v>1302</v>
      </c>
      <c r="L266" s="32" t="s">
        <v>1303</v>
      </c>
      <c r="M266" s="32" t="s">
        <v>1304</v>
      </c>
      <c r="N266" s="32" t="s">
        <v>1305</v>
      </c>
      <c r="O266" s="32">
        <v>1</v>
      </c>
      <c r="P266" s="32">
        <v>0.04</v>
      </c>
      <c r="Q266" s="32">
        <v>0.1</v>
      </c>
      <c r="R266" s="32">
        <v>0.8</v>
      </c>
      <c r="S266" s="32">
        <v>6.7857142857142866E-2</v>
      </c>
      <c r="T266" s="32">
        <v>8.2857142857142865E-2</v>
      </c>
      <c r="U266" s="32">
        <v>2714285.714285715</v>
      </c>
      <c r="V266" s="32">
        <v>3314285.714285715</v>
      </c>
      <c r="W266" s="32"/>
      <c r="X266" s="32"/>
      <c r="Y266" s="32"/>
      <c r="Z266" s="32"/>
      <c r="AA266" s="32">
        <v>0.02</v>
      </c>
      <c r="AB266" s="32">
        <v>0.05</v>
      </c>
      <c r="AC266" s="32">
        <v>4.2500000000000003E-2</v>
      </c>
      <c r="AD266" s="32">
        <v>0.23287671232876711</v>
      </c>
      <c r="AE266" s="32">
        <v>632093.93346379662</v>
      </c>
      <c r="AF266" s="32">
        <v>771819.96086105681</v>
      </c>
      <c r="AG266" s="32" t="s">
        <v>1501</v>
      </c>
      <c r="AH266" s="32"/>
      <c r="AI266" s="32" t="s">
        <v>1493</v>
      </c>
      <c r="AJ266" s="32"/>
      <c r="AK266" s="28"/>
      <c r="AL266" s="18" t="str">
        <f t="shared" si="4"/>
        <v>Are financial instruments, such as hedging or long-term contracts, used to manage risks in vegetable oil procurement?_</v>
      </c>
    </row>
    <row r="267" spans="1:38" ht="58" x14ac:dyDescent="0.35">
      <c r="A267" s="32">
        <v>7</v>
      </c>
      <c r="B267" s="32" t="s">
        <v>1451</v>
      </c>
      <c r="C267" s="32" t="s">
        <v>1452</v>
      </c>
      <c r="D267" s="32" t="s">
        <v>1224</v>
      </c>
      <c r="E267" s="32" t="s">
        <v>1453</v>
      </c>
      <c r="F267" s="32"/>
      <c r="G267" s="32" t="s">
        <v>1284</v>
      </c>
      <c r="H267" s="32" t="s">
        <v>2077</v>
      </c>
      <c r="I267" s="32"/>
      <c r="J267" s="32" t="s">
        <v>2078</v>
      </c>
      <c r="K267" s="32" t="s">
        <v>1302</v>
      </c>
      <c r="L267" s="32" t="s">
        <v>1303</v>
      </c>
      <c r="M267" s="32" t="s">
        <v>1304</v>
      </c>
      <c r="N267" s="32" t="s">
        <v>1305</v>
      </c>
      <c r="O267" s="32">
        <v>1</v>
      </c>
      <c r="P267" s="32">
        <v>0.04</v>
      </c>
      <c r="Q267" s="32">
        <v>0.1</v>
      </c>
      <c r="R267" s="32">
        <v>0.8</v>
      </c>
      <c r="S267" s="32">
        <v>6.7857142857142866E-2</v>
      </c>
      <c r="T267" s="32">
        <v>8.2857142857142865E-2</v>
      </c>
      <c r="U267" s="32">
        <v>2714285.714285715</v>
      </c>
      <c r="V267" s="32">
        <v>3314285.714285715</v>
      </c>
      <c r="W267" s="32"/>
      <c r="X267" s="32"/>
      <c r="Y267" s="32"/>
      <c r="Z267" s="32"/>
      <c r="AA267" s="32">
        <v>0.02</v>
      </c>
      <c r="AB267" s="32">
        <v>0.05</v>
      </c>
      <c r="AC267" s="32">
        <v>4.2500000000000003E-2</v>
      </c>
      <c r="AD267" s="32">
        <v>0.23287671232876711</v>
      </c>
      <c r="AE267" s="32">
        <v>632093.93346379662</v>
      </c>
      <c r="AF267" s="32">
        <v>771819.96086105681</v>
      </c>
      <c r="AG267" s="32" t="s">
        <v>1502</v>
      </c>
      <c r="AH267" s="32"/>
      <c r="AI267" s="32" t="s">
        <v>1493</v>
      </c>
      <c r="AJ267" s="32"/>
      <c r="AK267" s="28"/>
      <c r="AL267" s="18" t="str">
        <f t="shared" si="4"/>
        <v>Are financial instruments, such as hedging or long-term contracts, used to manage risks in vegetable oil procurement?_</v>
      </c>
    </row>
    <row r="268" spans="1:38" ht="58" x14ac:dyDescent="0.35">
      <c r="A268" s="32">
        <v>7</v>
      </c>
      <c r="B268" s="32" t="s">
        <v>1451</v>
      </c>
      <c r="C268" s="32" t="s">
        <v>1452</v>
      </c>
      <c r="D268" s="32" t="s">
        <v>1224</v>
      </c>
      <c r="E268" s="32" t="s">
        <v>1453</v>
      </c>
      <c r="F268" s="32"/>
      <c r="G268" s="32" t="s">
        <v>1284</v>
      </c>
      <c r="H268" s="32" t="s">
        <v>2077</v>
      </c>
      <c r="I268" s="32"/>
      <c r="J268" s="32" t="s">
        <v>2078</v>
      </c>
      <c r="K268" s="32" t="s">
        <v>1302</v>
      </c>
      <c r="L268" s="32" t="s">
        <v>1303</v>
      </c>
      <c r="M268" s="32" t="s">
        <v>1304</v>
      </c>
      <c r="N268" s="32" t="s">
        <v>1305</v>
      </c>
      <c r="O268" s="32">
        <v>1</v>
      </c>
      <c r="P268" s="32">
        <v>0.04</v>
      </c>
      <c r="Q268" s="32">
        <v>0.1</v>
      </c>
      <c r="R268" s="32">
        <v>0.8</v>
      </c>
      <c r="S268" s="32">
        <v>6.7857142857142866E-2</v>
      </c>
      <c r="T268" s="32">
        <v>8.2857142857142865E-2</v>
      </c>
      <c r="U268" s="32">
        <v>2714285.714285715</v>
      </c>
      <c r="V268" s="32">
        <v>3314285.714285715</v>
      </c>
      <c r="W268" s="32"/>
      <c r="X268" s="32"/>
      <c r="Y268" s="32"/>
      <c r="Z268" s="32"/>
      <c r="AA268" s="32">
        <v>0.02</v>
      </c>
      <c r="AB268" s="32">
        <v>0.05</v>
      </c>
      <c r="AC268" s="32">
        <v>4.2500000000000003E-2</v>
      </c>
      <c r="AD268" s="32">
        <v>0.23287671232876711</v>
      </c>
      <c r="AE268" s="32">
        <v>632093.93346379662</v>
      </c>
      <c r="AF268" s="32">
        <v>771819.96086105681</v>
      </c>
      <c r="AG268" s="32" t="s">
        <v>1503</v>
      </c>
      <c r="AH268" s="32"/>
      <c r="AI268" s="32" t="s">
        <v>1493</v>
      </c>
      <c r="AJ268" s="32"/>
      <c r="AK268" s="28"/>
      <c r="AL268" s="18" t="str">
        <f t="shared" si="4"/>
        <v>Are financial instruments, such as hedging or long-term contracts, used to manage risks in vegetable oil procurement?_</v>
      </c>
    </row>
    <row r="269" spans="1:38" ht="58" x14ac:dyDescent="0.35">
      <c r="A269" s="32">
        <v>7</v>
      </c>
      <c r="B269" s="32" t="s">
        <v>1451</v>
      </c>
      <c r="C269" s="32" t="s">
        <v>1452</v>
      </c>
      <c r="D269" s="32" t="s">
        <v>1224</v>
      </c>
      <c r="E269" s="32" t="s">
        <v>1453</v>
      </c>
      <c r="F269" s="32"/>
      <c r="G269" s="32" t="s">
        <v>1284</v>
      </c>
      <c r="H269" s="32" t="s">
        <v>2077</v>
      </c>
      <c r="I269" s="32"/>
      <c r="J269" s="32" t="s">
        <v>2078</v>
      </c>
      <c r="K269" s="32" t="s">
        <v>1302</v>
      </c>
      <c r="L269" s="32" t="s">
        <v>1303</v>
      </c>
      <c r="M269" s="32" t="s">
        <v>1304</v>
      </c>
      <c r="N269" s="32" t="s">
        <v>1305</v>
      </c>
      <c r="O269" s="32">
        <v>1</v>
      </c>
      <c r="P269" s="32">
        <v>0.04</v>
      </c>
      <c r="Q269" s="32">
        <v>0.1</v>
      </c>
      <c r="R269" s="32">
        <v>0.8</v>
      </c>
      <c r="S269" s="32">
        <v>6.7857142857142866E-2</v>
      </c>
      <c r="T269" s="32">
        <v>8.2857142857142865E-2</v>
      </c>
      <c r="U269" s="32">
        <v>2714285.714285715</v>
      </c>
      <c r="V269" s="32">
        <v>3314285.714285715</v>
      </c>
      <c r="W269" s="32"/>
      <c r="X269" s="32"/>
      <c r="Y269" s="32"/>
      <c r="Z269" s="32"/>
      <c r="AA269" s="32">
        <v>0.02</v>
      </c>
      <c r="AB269" s="32">
        <v>0.05</v>
      </c>
      <c r="AC269" s="32">
        <v>4.2500000000000003E-2</v>
      </c>
      <c r="AD269" s="32">
        <v>0.23287671232876711</v>
      </c>
      <c r="AE269" s="32">
        <v>632093.93346379662</v>
      </c>
      <c r="AF269" s="32">
        <v>771819.96086105681</v>
      </c>
      <c r="AG269" s="32" t="s">
        <v>1504</v>
      </c>
      <c r="AH269" s="32"/>
      <c r="AI269" s="32" t="s">
        <v>1493</v>
      </c>
      <c r="AJ269" s="32"/>
      <c r="AK269" s="28"/>
      <c r="AL269" s="18" t="str">
        <f t="shared" si="4"/>
        <v>Are financial instruments, such as hedging or long-term contracts, used to manage risks in vegetable oil procurement?_</v>
      </c>
    </row>
    <row r="270" spans="1:38" ht="58" x14ac:dyDescent="0.35">
      <c r="A270" s="32">
        <v>7</v>
      </c>
      <c r="B270" s="32" t="s">
        <v>1451</v>
      </c>
      <c r="C270" s="32" t="s">
        <v>1452</v>
      </c>
      <c r="D270" s="32" t="s">
        <v>1224</v>
      </c>
      <c r="E270" s="32" t="s">
        <v>1453</v>
      </c>
      <c r="F270" s="32"/>
      <c r="G270" s="32" t="s">
        <v>1284</v>
      </c>
      <c r="H270" s="32" t="s">
        <v>2077</v>
      </c>
      <c r="I270" s="32"/>
      <c r="J270" s="32" t="s">
        <v>2078</v>
      </c>
      <c r="K270" s="32" t="s">
        <v>1302</v>
      </c>
      <c r="L270" s="32" t="s">
        <v>1303</v>
      </c>
      <c r="M270" s="32" t="s">
        <v>1304</v>
      </c>
      <c r="N270" s="32" t="s">
        <v>1305</v>
      </c>
      <c r="O270" s="32">
        <v>1</v>
      </c>
      <c r="P270" s="32">
        <v>0.04</v>
      </c>
      <c r="Q270" s="32">
        <v>0.1</v>
      </c>
      <c r="R270" s="32">
        <v>0.8</v>
      </c>
      <c r="S270" s="32">
        <v>6.7857142857142866E-2</v>
      </c>
      <c r="T270" s="32">
        <v>8.2857142857142865E-2</v>
      </c>
      <c r="U270" s="32">
        <v>2714285.714285715</v>
      </c>
      <c r="V270" s="32">
        <v>3314285.714285715</v>
      </c>
      <c r="W270" s="32"/>
      <c r="X270" s="32"/>
      <c r="Y270" s="32"/>
      <c r="Z270" s="32"/>
      <c r="AA270" s="32">
        <v>0.02</v>
      </c>
      <c r="AB270" s="32">
        <v>0.05</v>
      </c>
      <c r="AC270" s="32">
        <v>4.2500000000000003E-2</v>
      </c>
      <c r="AD270" s="32">
        <v>0.23287671232876711</v>
      </c>
      <c r="AE270" s="32">
        <v>632093.93346379662</v>
      </c>
      <c r="AF270" s="32">
        <v>771819.96086105681</v>
      </c>
      <c r="AG270" s="32" t="s">
        <v>1505</v>
      </c>
      <c r="AH270" s="32"/>
      <c r="AI270" s="32" t="s">
        <v>1493</v>
      </c>
      <c r="AJ270" s="32"/>
      <c r="AK270" s="28"/>
      <c r="AL270" s="18" t="str">
        <f t="shared" si="4"/>
        <v>Are financial instruments, such as hedging or long-term contracts, used to manage risks in vegetable oil procurement?_</v>
      </c>
    </row>
    <row r="271" spans="1:38" ht="58" x14ac:dyDescent="0.35">
      <c r="A271" s="32">
        <v>7</v>
      </c>
      <c r="B271" s="32" t="s">
        <v>1451</v>
      </c>
      <c r="C271" s="32" t="s">
        <v>1452</v>
      </c>
      <c r="D271" s="32" t="s">
        <v>1224</v>
      </c>
      <c r="E271" s="32" t="s">
        <v>1453</v>
      </c>
      <c r="F271" s="32"/>
      <c r="G271" s="32" t="s">
        <v>1284</v>
      </c>
      <c r="H271" s="32" t="s">
        <v>2077</v>
      </c>
      <c r="I271" s="32"/>
      <c r="J271" s="32" t="s">
        <v>2078</v>
      </c>
      <c r="K271" s="32" t="s">
        <v>1302</v>
      </c>
      <c r="L271" s="32" t="s">
        <v>1303</v>
      </c>
      <c r="M271" s="32" t="s">
        <v>1304</v>
      </c>
      <c r="N271" s="32" t="s">
        <v>1305</v>
      </c>
      <c r="O271" s="32">
        <v>1</v>
      </c>
      <c r="P271" s="32">
        <v>0.04</v>
      </c>
      <c r="Q271" s="32">
        <v>0.1</v>
      </c>
      <c r="R271" s="32">
        <v>0.8</v>
      </c>
      <c r="S271" s="32">
        <v>6.7857142857142866E-2</v>
      </c>
      <c r="T271" s="32">
        <v>8.2857142857142865E-2</v>
      </c>
      <c r="U271" s="32">
        <v>2714285.714285715</v>
      </c>
      <c r="V271" s="32">
        <v>3314285.714285715</v>
      </c>
      <c r="W271" s="32"/>
      <c r="X271" s="32"/>
      <c r="Y271" s="32"/>
      <c r="Z271" s="32"/>
      <c r="AA271" s="32">
        <v>0.02</v>
      </c>
      <c r="AB271" s="32">
        <v>0.05</v>
      </c>
      <c r="AC271" s="32">
        <v>4.2500000000000003E-2</v>
      </c>
      <c r="AD271" s="32">
        <v>0.23287671232876711</v>
      </c>
      <c r="AE271" s="32">
        <v>632093.93346379662</v>
      </c>
      <c r="AF271" s="32">
        <v>771819.96086105681</v>
      </c>
      <c r="AG271" s="32" t="s">
        <v>1506</v>
      </c>
      <c r="AH271" s="32"/>
      <c r="AI271" s="32" t="s">
        <v>1493</v>
      </c>
      <c r="AJ271" s="32"/>
      <c r="AK271" s="28"/>
      <c r="AL271" s="18" t="str">
        <f t="shared" si="4"/>
        <v>Are financial instruments, such as hedging or long-term contracts, used to manage risks in vegetable oil procurement?_</v>
      </c>
    </row>
    <row r="272" spans="1:38" ht="58" x14ac:dyDescent="0.35">
      <c r="A272" s="32">
        <v>7</v>
      </c>
      <c r="B272" s="32" t="s">
        <v>1451</v>
      </c>
      <c r="C272" s="32" t="s">
        <v>1452</v>
      </c>
      <c r="D272" s="32" t="s">
        <v>1224</v>
      </c>
      <c r="E272" s="32" t="s">
        <v>1453</v>
      </c>
      <c r="F272" s="32"/>
      <c r="G272" s="32" t="s">
        <v>1284</v>
      </c>
      <c r="H272" s="32" t="s">
        <v>2077</v>
      </c>
      <c r="I272" s="32"/>
      <c r="J272" s="32" t="s">
        <v>2078</v>
      </c>
      <c r="K272" s="32" t="s">
        <v>1302</v>
      </c>
      <c r="L272" s="32" t="s">
        <v>1303</v>
      </c>
      <c r="M272" s="32" t="s">
        <v>1304</v>
      </c>
      <c r="N272" s="32" t="s">
        <v>1305</v>
      </c>
      <c r="O272" s="32">
        <v>1</v>
      </c>
      <c r="P272" s="32">
        <v>0.04</v>
      </c>
      <c r="Q272" s="32">
        <v>0.1</v>
      </c>
      <c r="R272" s="32">
        <v>0.8</v>
      </c>
      <c r="S272" s="32">
        <v>6.7857142857142866E-2</v>
      </c>
      <c r="T272" s="32">
        <v>8.2857142857142865E-2</v>
      </c>
      <c r="U272" s="32">
        <v>2714285.714285715</v>
      </c>
      <c r="V272" s="32">
        <v>3314285.714285715</v>
      </c>
      <c r="W272" s="32"/>
      <c r="X272" s="32"/>
      <c r="Y272" s="32"/>
      <c r="Z272" s="32"/>
      <c r="AA272" s="32">
        <v>0.02</v>
      </c>
      <c r="AB272" s="32">
        <v>0.05</v>
      </c>
      <c r="AC272" s="32">
        <v>4.2500000000000003E-2</v>
      </c>
      <c r="AD272" s="32">
        <v>0.23287671232876711</v>
      </c>
      <c r="AE272" s="32">
        <v>632093.93346379662</v>
      </c>
      <c r="AF272" s="32">
        <v>771819.96086105681</v>
      </c>
      <c r="AG272" s="32" t="s">
        <v>1507</v>
      </c>
      <c r="AH272" s="32"/>
      <c r="AI272" s="32" t="s">
        <v>1493</v>
      </c>
      <c r="AJ272" s="32"/>
      <c r="AK272" s="28"/>
      <c r="AL272" s="18" t="str">
        <f t="shared" si="4"/>
        <v>Are financial instruments, such as hedging or long-term contracts, used to manage risks in vegetable oil procurement?_</v>
      </c>
    </row>
    <row r="273" spans="1:38" ht="58" x14ac:dyDescent="0.35">
      <c r="A273" s="32">
        <v>7</v>
      </c>
      <c r="B273" s="32" t="s">
        <v>1451</v>
      </c>
      <c r="C273" s="32" t="s">
        <v>1452</v>
      </c>
      <c r="D273" s="32" t="s">
        <v>1224</v>
      </c>
      <c r="E273" s="32" t="s">
        <v>1453</v>
      </c>
      <c r="F273" s="32"/>
      <c r="G273" s="32" t="s">
        <v>1284</v>
      </c>
      <c r="H273" s="32" t="s">
        <v>2077</v>
      </c>
      <c r="I273" s="32"/>
      <c r="J273" s="32" t="s">
        <v>2078</v>
      </c>
      <c r="K273" s="32" t="s">
        <v>1302</v>
      </c>
      <c r="L273" s="32" t="s">
        <v>1303</v>
      </c>
      <c r="M273" s="32" t="s">
        <v>1304</v>
      </c>
      <c r="N273" s="32" t="s">
        <v>1305</v>
      </c>
      <c r="O273" s="32">
        <v>1</v>
      </c>
      <c r="P273" s="32">
        <v>0.04</v>
      </c>
      <c r="Q273" s="32">
        <v>0.1</v>
      </c>
      <c r="R273" s="32">
        <v>0.8</v>
      </c>
      <c r="S273" s="32">
        <v>6.7857142857142866E-2</v>
      </c>
      <c r="T273" s="32">
        <v>8.2857142857142865E-2</v>
      </c>
      <c r="U273" s="32">
        <v>2714285.714285715</v>
      </c>
      <c r="V273" s="32">
        <v>3314285.714285715</v>
      </c>
      <c r="W273" s="32"/>
      <c r="X273" s="32"/>
      <c r="Y273" s="32"/>
      <c r="Z273" s="32"/>
      <c r="AA273" s="32">
        <v>0.02</v>
      </c>
      <c r="AB273" s="32">
        <v>0.05</v>
      </c>
      <c r="AC273" s="32">
        <v>4.2500000000000003E-2</v>
      </c>
      <c r="AD273" s="32">
        <v>0.23287671232876711</v>
      </c>
      <c r="AE273" s="32">
        <v>632093.93346379662</v>
      </c>
      <c r="AF273" s="32">
        <v>771819.96086105681</v>
      </c>
      <c r="AG273" s="32" t="s">
        <v>1508</v>
      </c>
      <c r="AH273" s="32"/>
      <c r="AI273" s="32" t="s">
        <v>1493</v>
      </c>
      <c r="AJ273" s="32"/>
      <c r="AK273" s="28"/>
      <c r="AL273" s="18" t="str">
        <f t="shared" si="4"/>
        <v>Are financial instruments, such as hedging or long-term contracts, used to manage risks in vegetable oil procurement?_</v>
      </c>
    </row>
    <row r="274" spans="1:38" ht="58" x14ac:dyDescent="0.35">
      <c r="A274" s="32">
        <v>7</v>
      </c>
      <c r="B274" s="32" t="s">
        <v>1451</v>
      </c>
      <c r="C274" s="32" t="s">
        <v>1452</v>
      </c>
      <c r="D274" s="32" t="s">
        <v>1224</v>
      </c>
      <c r="E274" s="32" t="s">
        <v>1453</v>
      </c>
      <c r="F274" s="32"/>
      <c r="G274" s="32" t="s">
        <v>1284</v>
      </c>
      <c r="H274" s="32" t="s">
        <v>2077</v>
      </c>
      <c r="I274" s="32"/>
      <c r="J274" s="32" t="s">
        <v>2078</v>
      </c>
      <c r="K274" s="32" t="s">
        <v>1302</v>
      </c>
      <c r="L274" s="32" t="s">
        <v>1303</v>
      </c>
      <c r="M274" s="32" t="s">
        <v>1304</v>
      </c>
      <c r="N274" s="32" t="s">
        <v>1305</v>
      </c>
      <c r="O274" s="32">
        <v>1</v>
      </c>
      <c r="P274" s="32">
        <v>0.04</v>
      </c>
      <c r="Q274" s="32">
        <v>0.1</v>
      </c>
      <c r="R274" s="32">
        <v>0.8</v>
      </c>
      <c r="S274" s="32">
        <v>6.7857142857142866E-2</v>
      </c>
      <c r="T274" s="32">
        <v>8.2857142857142865E-2</v>
      </c>
      <c r="U274" s="32">
        <v>2714285.714285715</v>
      </c>
      <c r="V274" s="32">
        <v>3314285.714285715</v>
      </c>
      <c r="W274" s="32"/>
      <c r="X274" s="32"/>
      <c r="Y274" s="32"/>
      <c r="Z274" s="32"/>
      <c r="AA274" s="32">
        <v>0.02</v>
      </c>
      <c r="AB274" s="32">
        <v>0.05</v>
      </c>
      <c r="AC274" s="32">
        <v>4.2500000000000003E-2</v>
      </c>
      <c r="AD274" s="32">
        <v>0.23287671232876711</v>
      </c>
      <c r="AE274" s="32">
        <v>632093.93346379662</v>
      </c>
      <c r="AF274" s="32">
        <v>771819.96086105681</v>
      </c>
      <c r="AG274" s="32" t="s">
        <v>1509</v>
      </c>
      <c r="AH274" s="32"/>
      <c r="AI274" s="32" t="s">
        <v>1493</v>
      </c>
      <c r="AJ274" s="32"/>
      <c r="AK274" s="28"/>
      <c r="AL274" s="18" t="str">
        <f t="shared" si="4"/>
        <v>Are financial instruments, such as hedging or long-term contracts, used to manage risks in vegetable oil procurement?_</v>
      </c>
    </row>
    <row r="275" spans="1:38" ht="58" x14ac:dyDescent="0.35">
      <c r="A275" s="32">
        <v>7</v>
      </c>
      <c r="B275" s="32" t="s">
        <v>1451</v>
      </c>
      <c r="C275" s="32" t="s">
        <v>1452</v>
      </c>
      <c r="D275" s="32" t="s">
        <v>1224</v>
      </c>
      <c r="E275" s="32" t="s">
        <v>1453</v>
      </c>
      <c r="F275" s="32"/>
      <c r="G275" s="32" t="s">
        <v>1284</v>
      </c>
      <c r="H275" s="32" t="s">
        <v>2077</v>
      </c>
      <c r="I275" s="32"/>
      <c r="J275" s="32" t="s">
        <v>2078</v>
      </c>
      <c r="K275" s="32" t="s">
        <v>1302</v>
      </c>
      <c r="L275" s="32" t="s">
        <v>1303</v>
      </c>
      <c r="M275" s="32" t="s">
        <v>1304</v>
      </c>
      <c r="N275" s="32" t="s">
        <v>1305</v>
      </c>
      <c r="O275" s="32">
        <v>1</v>
      </c>
      <c r="P275" s="32">
        <v>0.04</v>
      </c>
      <c r="Q275" s="32">
        <v>0.1</v>
      </c>
      <c r="R275" s="32">
        <v>0.8</v>
      </c>
      <c r="S275" s="32">
        <v>6.7857142857142866E-2</v>
      </c>
      <c r="T275" s="32">
        <v>8.2857142857142865E-2</v>
      </c>
      <c r="U275" s="32">
        <v>2714285.714285715</v>
      </c>
      <c r="V275" s="32">
        <v>3314285.714285715</v>
      </c>
      <c r="W275" s="32"/>
      <c r="X275" s="32"/>
      <c r="Y275" s="32"/>
      <c r="Z275" s="32"/>
      <c r="AA275" s="32">
        <v>0.02</v>
      </c>
      <c r="AB275" s="32">
        <v>0.05</v>
      </c>
      <c r="AC275" s="32">
        <v>4.2500000000000003E-2</v>
      </c>
      <c r="AD275" s="32">
        <v>0.23287671232876711</v>
      </c>
      <c r="AE275" s="32">
        <v>632093.93346379662</v>
      </c>
      <c r="AF275" s="32">
        <v>771819.96086105681</v>
      </c>
      <c r="AG275" s="32" t="s">
        <v>1510</v>
      </c>
      <c r="AH275" s="32"/>
      <c r="AI275" s="32" t="s">
        <v>1493</v>
      </c>
      <c r="AJ275" s="32"/>
      <c r="AK275" s="28"/>
      <c r="AL275" s="18" t="str">
        <f t="shared" si="4"/>
        <v>Are financial instruments, such as hedging or long-term contracts, used to manage risks in vegetable oil procurement?_</v>
      </c>
    </row>
    <row r="276" spans="1:38" ht="58" x14ac:dyDescent="0.35">
      <c r="A276" s="32">
        <v>7</v>
      </c>
      <c r="B276" s="32" t="s">
        <v>1451</v>
      </c>
      <c r="C276" s="32" t="s">
        <v>1452</v>
      </c>
      <c r="D276" s="32" t="s">
        <v>1224</v>
      </c>
      <c r="E276" s="32" t="s">
        <v>1453</v>
      </c>
      <c r="F276" s="32"/>
      <c r="G276" s="32" t="s">
        <v>1284</v>
      </c>
      <c r="H276" s="32" t="s">
        <v>2077</v>
      </c>
      <c r="I276" s="32"/>
      <c r="J276" s="32" t="s">
        <v>2078</v>
      </c>
      <c r="K276" s="32" t="s">
        <v>1302</v>
      </c>
      <c r="L276" s="32" t="s">
        <v>1303</v>
      </c>
      <c r="M276" s="32" t="s">
        <v>1304</v>
      </c>
      <c r="N276" s="32" t="s">
        <v>1305</v>
      </c>
      <c r="O276" s="32">
        <v>1</v>
      </c>
      <c r="P276" s="32">
        <v>0.04</v>
      </c>
      <c r="Q276" s="32">
        <v>0.1</v>
      </c>
      <c r="R276" s="32">
        <v>0.8</v>
      </c>
      <c r="S276" s="32">
        <v>6.7857142857142866E-2</v>
      </c>
      <c r="T276" s="32">
        <v>8.2857142857142865E-2</v>
      </c>
      <c r="U276" s="32">
        <v>2714285.714285715</v>
      </c>
      <c r="V276" s="32">
        <v>3314285.714285715</v>
      </c>
      <c r="W276" s="32"/>
      <c r="X276" s="32"/>
      <c r="Y276" s="32"/>
      <c r="Z276" s="32"/>
      <c r="AA276" s="32">
        <v>0.02</v>
      </c>
      <c r="AB276" s="32">
        <v>0.05</v>
      </c>
      <c r="AC276" s="32">
        <v>4.2500000000000003E-2</v>
      </c>
      <c r="AD276" s="32">
        <v>0.23287671232876711</v>
      </c>
      <c r="AE276" s="32">
        <v>632093.93346379662</v>
      </c>
      <c r="AF276" s="32">
        <v>771819.96086105681</v>
      </c>
      <c r="AG276" s="32" t="s">
        <v>1511</v>
      </c>
      <c r="AH276" s="32"/>
      <c r="AI276" s="32" t="s">
        <v>1493</v>
      </c>
      <c r="AJ276" s="32"/>
      <c r="AK276" s="28"/>
      <c r="AL276" s="18" t="str">
        <f t="shared" si="4"/>
        <v>Are financial instruments, such as hedging or long-term contracts, used to manage risks in vegetable oil procurement?_</v>
      </c>
    </row>
    <row r="277" spans="1:38" ht="58" x14ac:dyDescent="0.35">
      <c r="A277" s="32">
        <v>7</v>
      </c>
      <c r="B277" s="32" t="s">
        <v>1451</v>
      </c>
      <c r="C277" s="32" t="s">
        <v>1452</v>
      </c>
      <c r="D277" s="32" t="s">
        <v>1224</v>
      </c>
      <c r="E277" s="32" t="s">
        <v>1453</v>
      </c>
      <c r="F277" s="32"/>
      <c r="G277" s="32" t="s">
        <v>1284</v>
      </c>
      <c r="H277" s="32" t="s">
        <v>2077</v>
      </c>
      <c r="I277" s="32"/>
      <c r="J277" s="32" t="s">
        <v>2078</v>
      </c>
      <c r="K277" s="32" t="s">
        <v>1302</v>
      </c>
      <c r="L277" s="32" t="s">
        <v>1303</v>
      </c>
      <c r="M277" s="32" t="s">
        <v>1304</v>
      </c>
      <c r="N277" s="32" t="s">
        <v>1305</v>
      </c>
      <c r="O277" s="32">
        <v>1</v>
      </c>
      <c r="P277" s="32">
        <v>0.04</v>
      </c>
      <c r="Q277" s="32">
        <v>0.1</v>
      </c>
      <c r="R277" s="32">
        <v>0.8</v>
      </c>
      <c r="S277" s="32">
        <v>6.7857142857142866E-2</v>
      </c>
      <c r="T277" s="32">
        <v>8.2857142857142865E-2</v>
      </c>
      <c r="U277" s="32">
        <v>2714285.714285715</v>
      </c>
      <c r="V277" s="32">
        <v>3314285.714285715</v>
      </c>
      <c r="W277" s="32"/>
      <c r="X277" s="32"/>
      <c r="Y277" s="32"/>
      <c r="Z277" s="32"/>
      <c r="AA277" s="32">
        <v>0.02</v>
      </c>
      <c r="AB277" s="32">
        <v>0.05</v>
      </c>
      <c r="AC277" s="32">
        <v>4.2500000000000003E-2</v>
      </c>
      <c r="AD277" s="32">
        <v>0.23287671232876711</v>
      </c>
      <c r="AE277" s="32">
        <v>632093.93346379662</v>
      </c>
      <c r="AF277" s="32">
        <v>771819.96086105681</v>
      </c>
      <c r="AG277" s="32" t="s">
        <v>1512</v>
      </c>
      <c r="AH277" s="32"/>
      <c r="AI277" s="32" t="s">
        <v>1493</v>
      </c>
      <c r="AJ277" s="32"/>
      <c r="AK277" s="28"/>
      <c r="AL277" s="18" t="str">
        <f t="shared" si="4"/>
        <v>Are financial instruments, such as hedging or long-term contracts, used to manage risks in vegetable oil procurement?_</v>
      </c>
    </row>
    <row r="278" spans="1:38" ht="58" x14ac:dyDescent="0.35">
      <c r="A278" s="32">
        <v>7</v>
      </c>
      <c r="B278" s="32" t="s">
        <v>1451</v>
      </c>
      <c r="C278" s="32" t="s">
        <v>1452</v>
      </c>
      <c r="D278" s="32" t="s">
        <v>1224</v>
      </c>
      <c r="E278" s="32" t="s">
        <v>1453</v>
      </c>
      <c r="F278" s="32"/>
      <c r="G278" s="32" t="s">
        <v>1284</v>
      </c>
      <c r="H278" s="32" t="s">
        <v>2077</v>
      </c>
      <c r="I278" s="32"/>
      <c r="J278" s="32" t="s">
        <v>2078</v>
      </c>
      <c r="K278" s="32" t="s">
        <v>1302</v>
      </c>
      <c r="L278" s="32" t="s">
        <v>1303</v>
      </c>
      <c r="M278" s="32" t="s">
        <v>1304</v>
      </c>
      <c r="N278" s="32" t="s">
        <v>1305</v>
      </c>
      <c r="O278" s="32">
        <v>1</v>
      </c>
      <c r="P278" s="32">
        <v>0.04</v>
      </c>
      <c r="Q278" s="32">
        <v>0.1</v>
      </c>
      <c r="R278" s="32">
        <v>0.8</v>
      </c>
      <c r="S278" s="32">
        <v>6.7857142857142866E-2</v>
      </c>
      <c r="T278" s="32">
        <v>8.2857142857142865E-2</v>
      </c>
      <c r="U278" s="32">
        <v>2714285.714285715</v>
      </c>
      <c r="V278" s="32">
        <v>3314285.714285715</v>
      </c>
      <c r="W278" s="32"/>
      <c r="X278" s="32"/>
      <c r="Y278" s="32"/>
      <c r="Z278" s="32"/>
      <c r="AA278" s="32">
        <v>0.02</v>
      </c>
      <c r="AB278" s="32">
        <v>0.05</v>
      </c>
      <c r="AC278" s="32">
        <v>4.2500000000000003E-2</v>
      </c>
      <c r="AD278" s="32">
        <v>0.23287671232876711</v>
      </c>
      <c r="AE278" s="32">
        <v>632093.93346379662</v>
      </c>
      <c r="AF278" s="32">
        <v>771819.96086105681</v>
      </c>
      <c r="AG278" s="32" t="s">
        <v>1513</v>
      </c>
      <c r="AH278" s="32"/>
      <c r="AI278" s="32" t="s">
        <v>1493</v>
      </c>
      <c r="AJ278" s="32"/>
      <c r="AK278" s="28"/>
      <c r="AL278" s="18" t="str">
        <f t="shared" si="4"/>
        <v>Are financial instruments, such as hedging or long-term contracts, used to manage risks in vegetable oil procurement?_</v>
      </c>
    </row>
    <row r="279" spans="1:38" ht="58" x14ac:dyDescent="0.35">
      <c r="A279" s="32">
        <v>7</v>
      </c>
      <c r="B279" s="32" t="s">
        <v>1451</v>
      </c>
      <c r="C279" s="32" t="s">
        <v>1452</v>
      </c>
      <c r="D279" s="32" t="s">
        <v>1224</v>
      </c>
      <c r="E279" s="32" t="s">
        <v>1453</v>
      </c>
      <c r="F279" s="32"/>
      <c r="G279" s="32" t="s">
        <v>1284</v>
      </c>
      <c r="H279" s="32" t="s">
        <v>2077</v>
      </c>
      <c r="I279" s="32"/>
      <c r="J279" s="32" t="s">
        <v>2078</v>
      </c>
      <c r="K279" s="32" t="s">
        <v>1302</v>
      </c>
      <c r="L279" s="32" t="s">
        <v>1303</v>
      </c>
      <c r="M279" s="32" t="s">
        <v>1304</v>
      </c>
      <c r="N279" s="32" t="s">
        <v>1305</v>
      </c>
      <c r="O279" s="32">
        <v>1</v>
      </c>
      <c r="P279" s="32">
        <v>0.04</v>
      </c>
      <c r="Q279" s="32">
        <v>0.1</v>
      </c>
      <c r="R279" s="32">
        <v>0.8</v>
      </c>
      <c r="S279" s="32">
        <v>6.7857142857142866E-2</v>
      </c>
      <c r="T279" s="32">
        <v>8.2857142857142865E-2</v>
      </c>
      <c r="U279" s="32">
        <v>2714285.714285715</v>
      </c>
      <c r="V279" s="32">
        <v>3314285.714285715</v>
      </c>
      <c r="W279" s="32"/>
      <c r="X279" s="32"/>
      <c r="Y279" s="32"/>
      <c r="Z279" s="32"/>
      <c r="AA279" s="32">
        <v>0.02</v>
      </c>
      <c r="AB279" s="32">
        <v>0.05</v>
      </c>
      <c r="AC279" s="32">
        <v>4.2500000000000003E-2</v>
      </c>
      <c r="AD279" s="32">
        <v>0.23287671232876711</v>
      </c>
      <c r="AE279" s="32">
        <v>632093.93346379662</v>
      </c>
      <c r="AF279" s="32">
        <v>771819.96086105681</v>
      </c>
      <c r="AG279" s="32" t="s">
        <v>1514</v>
      </c>
      <c r="AH279" s="32"/>
      <c r="AI279" s="32" t="s">
        <v>1493</v>
      </c>
      <c r="AJ279" s="32"/>
      <c r="AK279" s="28"/>
      <c r="AL279" s="18" t="str">
        <f t="shared" si="4"/>
        <v>Are financial instruments, such as hedging or long-term contracts, used to manage risks in vegetable oil procurement?_</v>
      </c>
    </row>
    <row r="280" spans="1:38" ht="58" x14ac:dyDescent="0.35">
      <c r="A280" s="32">
        <v>7</v>
      </c>
      <c r="B280" s="32" t="s">
        <v>1451</v>
      </c>
      <c r="C280" s="32" t="s">
        <v>1452</v>
      </c>
      <c r="D280" s="32" t="s">
        <v>1224</v>
      </c>
      <c r="E280" s="32" t="s">
        <v>1453</v>
      </c>
      <c r="F280" s="32"/>
      <c r="G280" s="32" t="s">
        <v>1284</v>
      </c>
      <c r="H280" s="32" t="s">
        <v>2077</v>
      </c>
      <c r="I280" s="32"/>
      <c r="J280" s="32" t="s">
        <v>2078</v>
      </c>
      <c r="K280" s="32" t="s">
        <v>1302</v>
      </c>
      <c r="L280" s="32" t="s">
        <v>1303</v>
      </c>
      <c r="M280" s="32" t="s">
        <v>1304</v>
      </c>
      <c r="N280" s="32" t="s">
        <v>1305</v>
      </c>
      <c r="O280" s="32">
        <v>1</v>
      </c>
      <c r="P280" s="32">
        <v>0.04</v>
      </c>
      <c r="Q280" s="32">
        <v>0.1</v>
      </c>
      <c r="R280" s="32">
        <v>0.8</v>
      </c>
      <c r="S280" s="32">
        <v>6.7857142857142866E-2</v>
      </c>
      <c r="T280" s="32">
        <v>8.2857142857142865E-2</v>
      </c>
      <c r="U280" s="32">
        <v>2714285.714285715</v>
      </c>
      <c r="V280" s="32">
        <v>3314285.714285715</v>
      </c>
      <c r="W280" s="32"/>
      <c r="X280" s="32"/>
      <c r="Y280" s="32"/>
      <c r="Z280" s="32"/>
      <c r="AA280" s="32">
        <v>0.02</v>
      </c>
      <c r="AB280" s="32">
        <v>0.05</v>
      </c>
      <c r="AC280" s="32">
        <v>4.2500000000000003E-2</v>
      </c>
      <c r="AD280" s="32">
        <v>0.23287671232876711</v>
      </c>
      <c r="AE280" s="32">
        <v>632093.93346379662</v>
      </c>
      <c r="AF280" s="32">
        <v>771819.96086105681</v>
      </c>
      <c r="AG280" s="32" t="s">
        <v>1515</v>
      </c>
      <c r="AH280" s="32"/>
      <c r="AI280" s="32" t="s">
        <v>1493</v>
      </c>
      <c r="AJ280" s="32"/>
      <c r="AK280" s="28"/>
      <c r="AL280" s="18" t="str">
        <f t="shared" si="4"/>
        <v>Are financial instruments, such as hedging or long-term contracts, used to manage risks in vegetable oil procurement?_</v>
      </c>
    </row>
    <row r="281" spans="1:38" ht="58" x14ac:dyDescent="0.35">
      <c r="A281" s="32">
        <v>7</v>
      </c>
      <c r="B281" s="32" t="s">
        <v>1451</v>
      </c>
      <c r="C281" s="32" t="s">
        <v>1452</v>
      </c>
      <c r="D281" s="32" t="s">
        <v>1224</v>
      </c>
      <c r="E281" s="32" t="s">
        <v>1453</v>
      </c>
      <c r="F281" s="32"/>
      <c r="G281" s="32" t="s">
        <v>1284</v>
      </c>
      <c r="H281" s="32" t="s">
        <v>2077</v>
      </c>
      <c r="I281" s="32"/>
      <c r="J281" s="32" t="s">
        <v>2078</v>
      </c>
      <c r="K281" s="32" t="s">
        <v>1302</v>
      </c>
      <c r="L281" s="32" t="s">
        <v>1303</v>
      </c>
      <c r="M281" s="32" t="s">
        <v>1304</v>
      </c>
      <c r="N281" s="32" t="s">
        <v>1305</v>
      </c>
      <c r="O281" s="32">
        <v>1</v>
      </c>
      <c r="P281" s="32">
        <v>0.04</v>
      </c>
      <c r="Q281" s="32">
        <v>0.1</v>
      </c>
      <c r="R281" s="32">
        <v>0.8</v>
      </c>
      <c r="S281" s="32">
        <v>6.7857142857142866E-2</v>
      </c>
      <c r="T281" s="32">
        <v>8.2857142857142865E-2</v>
      </c>
      <c r="U281" s="32">
        <v>2714285.714285715</v>
      </c>
      <c r="V281" s="32">
        <v>3314285.714285715</v>
      </c>
      <c r="W281" s="32"/>
      <c r="X281" s="32"/>
      <c r="Y281" s="32"/>
      <c r="Z281" s="32"/>
      <c r="AA281" s="32">
        <v>0.02</v>
      </c>
      <c r="AB281" s="32">
        <v>0.05</v>
      </c>
      <c r="AC281" s="32">
        <v>4.2500000000000003E-2</v>
      </c>
      <c r="AD281" s="32">
        <v>0.23287671232876711</v>
      </c>
      <c r="AE281" s="32">
        <v>632093.93346379662</v>
      </c>
      <c r="AF281" s="32">
        <v>771819.96086105681</v>
      </c>
      <c r="AG281" s="32" t="s">
        <v>1516</v>
      </c>
      <c r="AH281" s="32"/>
      <c r="AI281" s="32" t="s">
        <v>1493</v>
      </c>
      <c r="AJ281" s="32"/>
      <c r="AK281" s="28"/>
      <c r="AL281" s="18" t="str">
        <f t="shared" si="4"/>
        <v>Are financial instruments, such as hedging or long-term contracts, used to manage risks in vegetable oil procurement?_</v>
      </c>
    </row>
    <row r="282" spans="1:38" ht="58" x14ac:dyDescent="0.35">
      <c r="A282" s="32">
        <v>7</v>
      </c>
      <c r="B282" s="32" t="s">
        <v>1451</v>
      </c>
      <c r="C282" s="32" t="s">
        <v>1452</v>
      </c>
      <c r="D282" s="32" t="s">
        <v>1224</v>
      </c>
      <c r="E282" s="32" t="s">
        <v>1453</v>
      </c>
      <c r="F282" s="32"/>
      <c r="G282" s="32" t="s">
        <v>1284</v>
      </c>
      <c r="H282" s="32" t="s">
        <v>2077</v>
      </c>
      <c r="I282" s="32"/>
      <c r="J282" s="32" t="s">
        <v>2078</v>
      </c>
      <c r="K282" s="32" t="s">
        <v>1302</v>
      </c>
      <c r="L282" s="32" t="s">
        <v>1303</v>
      </c>
      <c r="M282" s="32" t="s">
        <v>1304</v>
      </c>
      <c r="N282" s="32" t="s">
        <v>1305</v>
      </c>
      <c r="O282" s="32">
        <v>1</v>
      </c>
      <c r="P282" s="32">
        <v>0.04</v>
      </c>
      <c r="Q282" s="32">
        <v>0.1</v>
      </c>
      <c r="R282" s="32">
        <v>0.8</v>
      </c>
      <c r="S282" s="32">
        <v>6.7857142857142866E-2</v>
      </c>
      <c r="T282" s="32">
        <v>8.2857142857142865E-2</v>
      </c>
      <c r="U282" s="32">
        <v>2714285.714285715</v>
      </c>
      <c r="V282" s="32">
        <v>3314285.714285715</v>
      </c>
      <c r="W282" s="32"/>
      <c r="X282" s="32"/>
      <c r="Y282" s="32"/>
      <c r="Z282" s="32"/>
      <c r="AA282" s="32">
        <v>0.02</v>
      </c>
      <c r="AB282" s="32">
        <v>0.05</v>
      </c>
      <c r="AC282" s="32">
        <v>4.2500000000000003E-2</v>
      </c>
      <c r="AD282" s="32">
        <v>0.23287671232876711</v>
      </c>
      <c r="AE282" s="32">
        <v>632093.93346379662</v>
      </c>
      <c r="AF282" s="32">
        <v>771819.96086105681</v>
      </c>
      <c r="AG282" s="32" t="s">
        <v>1517</v>
      </c>
      <c r="AH282" s="32"/>
      <c r="AI282" s="32" t="s">
        <v>1493</v>
      </c>
      <c r="AJ282" s="32"/>
      <c r="AK282" s="28"/>
      <c r="AL282" s="18" t="str">
        <f t="shared" si="4"/>
        <v>Are financial instruments, such as hedging or long-term contracts, used to manage risks in vegetable oil procurement?_</v>
      </c>
    </row>
    <row r="283" spans="1:38" ht="58" x14ac:dyDescent="0.35">
      <c r="A283" s="32">
        <v>7</v>
      </c>
      <c r="B283" s="32" t="s">
        <v>1451</v>
      </c>
      <c r="C283" s="32" t="s">
        <v>1452</v>
      </c>
      <c r="D283" s="32" t="s">
        <v>1224</v>
      </c>
      <c r="E283" s="32" t="s">
        <v>1453</v>
      </c>
      <c r="F283" s="32"/>
      <c r="G283" s="32" t="s">
        <v>1284</v>
      </c>
      <c r="H283" s="32" t="s">
        <v>2077</v>
      </c>
      <c r="I283" s="32"/>
      <c r="J283" s="32" t="s">
        <v>2078</v>
      </c>
      <c r="K283" s="32" t="s">
        <v>1302</v>
      </c>
      <c r="L283" s="32" t="s">
        <v>1303</v>
      </c>
      <c r="M283" s="32" t="s">
        <v>1304</v>
      </c>
      <c r="N283" s="32" t="s">
        <v>1305</v>
      </c>
      <c r="O283" s="32">
        <v>1</v>
      </c>
      <c r="P283" s="32">
        <v>0.04</v>
      </c>
      <c r="Q283" s="32">
        <v>0.1</v>
      </c>
      <c r="R283" s="32">
        <v>0.8</v>
      </c>
      <c r="S283" s="32">
        <v>6.7857142857142866E-2</v>
      </c>
      <c r="T283" s="32">
        <v>8.2857142857142865E-2</v>
      </c>
      <c r="U283" s="32">
        <v>2714285.714285715</v>
      </c>
      <c r="V283" s="32">
        <v>3314285.714285715</v>
      </c>
      <c r="W283" s="32"/>
      <c r="X283" s="32"/>
      <c r="Y283" s="32"/>
      <c r="Z283" s="32"/>
      <c r="AA283" s="32">
        <v>0.02</v>
      </c>
      <c r="AB283" s="32">
        <v>0.05</v>
      </c>
      <c r="AC283" s="32">
        <v>4.2500000000000003E-2</v>
      </c>
      <c r="AD283" s="32">
        <v>0.23287671232876711</v>
      </c>
      <c r="AE283" s="32">
        <v>632093.93346379662</v>
      </c>
      <c r="AF283" s="32">
        <v>771819.96086105681</v>
      </c>
      <c r="AG283" s="32" t="s">
        <v>1524</v>
      </c>
      <c r="AH283" s="32"/>
      <c r="AI283" s="32" t="s">
        <v>1493</v>
      </c>
      <c r="AJ283" s="32"/>
      <c r="AK283" s="28"/>
      <c r="AL283" s="18" t="str">
        <f t="shared" si="4"/>
        <v>Are financial instruments, such as hedging or long-term contracts, used to manage risks in vegetable oil procurement?_</v>
      </c>
    </row>
    <row r="284" spans="1:38" ht="58" x14ac:dyDescent="0.35">
      <c r="A284" s="32">
        <v>7</v>
      </c>
      <c r="B284" s="32" t="s">
        <v>1451</v>
      </c>
      <c r="C284" s="32" t="s">
        <v>1452</v>
      </c>
      <c r="D284" s="32" t="s">
        <v>1224</v>
      </c>
      <c r="E284" s="32" t="s">
        <v>1453</v>
      </c>
      <c r="F284" s="32"/>
      <c r="G284" s="32" t="s">
        <v>1284</v>
      </c>
      <c r="H284" s="32" t="s">
        <v>2077</v>
      </c>
      <c r="I284" s="32"/>
      <c r="J284" s="32" t="s">
        <v>2078</v>
      </c>
      <c r="K284" s="32" t="s">
        <v>1302</v>
      </c>
      <c r="L284" s="32" t="s">
        <v>1303</v>
      </c>
      <c r="M284" s="32" t="s">
        <v>1304</v>
      </c>
      <c r="N284" s="32" t="s">
        <v>1305</v>
      </c>
      <c r="O284" s="32">
        <v>1</v>
      </c>
      <c r="P284" s="32">
        <v>0.04</v>
      </c>
      <c r="Q284" s="32">
        <v>0.1</v>
      </c>
      <c r="R284" s="32">
        <v>0.8</v>
      </c>
      <c r="S284" s="32">
        <v>6.7857142857142866E-2</v>
      </c>
      <c r="T284" s="32">
        <v>8.2857142857142865E-2</v>
      </c>
      <c r="U284" s="32">
        <v>2714285.714285715</v>
      </c>
      <c r="V284" s="32">
        <v>3314285.714285715</v>
      </c>
      <c r="W284" s="32"/>
      <c r="X284" s="32"/>
      <c r="Y284" s="32"/>
      <c r="Z284" s="32"/>
      <c r="AA284" s="32">
        <v>0.02</v>
      </c>
      <c r="AB284" s="32">
        <v>0.05</v>
      </c>
      <c r="AC284" s="32">
        <v>4.2500000000000003E-2</v>
      </c>
      <c r="AD284" s="32">
        <v>0.23287671232876711</v>
      </c>
      <c r="AE284" s="32">
        <v>632093.93346379662</v>
      </c>
      <c r="AF284" s="32">
        <v>771819.96086105681</v>
      </c>
      <c r="AG284" s="32" t="s">
        <v>1528</v>
      </c>
      <c r="AH284" s="32"/>
      <c r="AI284" s="32" t="s">
        <v>1493</v>
      </c>
      <c r="AJ284" s="32"/>
      <c r="AK284" s="28"/>
      <c r="AL284" s="18" t="str">
        <f t="shared" si="4"/>
        <v>Are financial instruments, such as hedging or long-term contracts, used to manage risks in vegetable oil procurement?_</v>
      </c>
    </row>
    <row r="285" spans="1:38" ht="58" x14ac:dyDescent="0.35">
      <c r="A285" s="32">
        <v>7</v>
      </c>
      <c r="B285" s="32" t="s">
        <v>1451</v>
      </c>
      <c r="C285" s="32" t="s">
        <v>1452</v>
      </c>
      <c r="D285" s="32" t="s">
        <v>1224</v>
      </c>
      <c r="E285" s="32" t="s">
        <v>1453</v>
      </c>
      <c r="F285" s="32"/>
      <c r="G285" s="32" t="s">
        <v>1284</v>
      </c>
      <c r="H285" s="32" t="s">
        <v>2077</v>
      </c>
      <c r="I285" s="32"/>
      <c r="J285" s="32" t="s">
        <v>2078</v>
      </c>
      <c r="K285" s="32" t="s">
        <v>1302</v>
      </c>
      <c r="L285" s="32" t="s">
        <v>1303</v>
      </c>
      <c r="M285" s="32" t="s">
        <v>1304</v>
      </c>
      <c r="N285" s="32" t="s">
        <v>1305</v>
      </c>
      <c r="O285" s="32">
        <v>1</v>
      </c>
      <c r="P285" s="32">
        <v>0.04</v>
      </c>
      <c r="Q285" s="32">
        <v>0.1</v>
      </c>
      <c r="R285" s="32">
        <v>0.8</v>
      </c>
      <c r="S285" s="32">
        <v>6.7857142857142866E-2</v>
      </c>
      <c r="T285" s="32">
        <v>8.2857142857142865E-2</v>
      </c>
      <c r="U285" s="32">
        <v>2714285.714285715</v>
      </c>
      <c r="V285" s="32">
        <v>3314285.714285715</v>
      </c>
      <c r="W285" s="32"/>
      <c r="X285" s="32"/>
      <c r="Y285" s="32"/>
      <c r="Z285" s="32"/>
      <c r="AA285" s="32">
        <v>0.02</v>
      </c>
      <c r="AB285" s="32">
        <v>0.05</v>
      </c>
      <c r="AC285" s="32">
        <v>4.2500000000000003E-2</v>
      </c>
      <c r="AD285" s="32">
        <v>0.23287671232876711</v>
      </c>
      <c r="AE285" s="32">
        <v>632093.93346379662</v>
      </c>
      <c r="AF285" s="32">
        <v>771819.96086105681</v>
      </c>
      <c r="AG285" s="32" t="s">
        <v>1529</v>
      </c>
      <c r="AH285" s="32"/>
      <c r="AI285" s="32" t="s">
        <v>1493</v>
      </c>
      <c r="AJ285" s="32"/>
      <c r="AK285" s="28"/>
      <c r="AL285" s="18" t="str">
        <f t="shared" si="4"/>
        <v>Are financial instruments, such as hedging or long-term contracts, used to manage risks in vegetable oil procurement?_</v>
      </c>
    </row>
    <row r="286" spans="1:38" ht="58" x14ac:dyDescent="0.35">
      <c r="A286" s="32">
        <v>7</v>
      </c>
      <c r="B286" s="32" t="s">
        <v>1451</v>
      </c>
      <c r="C286" s="32" t="s">
        <v>1452</v>
      </c>
      <c r="D286" s="32" t="s">
        <v>1224</v>
      </c>
      <c r="E286" s="32" t="s">
        <v>1453</v>
      </c>
      <c r="F286" s="32"/>
      <c r="G286" s="32" t="s">
        <v>1284</v>
      </c>
      <c r="H286" s="32" t="s">
        <v>2077</v>
      </c>
      <c r="I286" s="32"/>
      <c r="J286" s="32" t="s">
        <v>2078</v>
      </c>
      <c r="K286" s="32" t="s">
        <v>1302</v>
      </c>
      <c r="L286" s="32" t="s">
        <v>1303</v>
      </c>
      <c r="M286" s="32" t="s">
        <v>1304</v>
      </c>
      <c r="N286" s="32" t="s">
        <v>1305</v>
      </c>
      <c r="O286" s="32">
        <v>1</v>
      </c>
      <c r="P286" s="32">
        <v>0.04</v>
      </c>
      <c r="Q286" s="32">
        <v>0.1</v>
      </c>
      <c r="R286" s="32">
        <v>0.8</v>
      </c>
      <c r="S286" s="32">
        <v>6.7857142857142866E-2</v>
      </c>
      <c r="T286" s="32">
        <v>8.2857142857142865E-2</v>
      </c>
      <c r="U286" s="32">
        <v>2714285.714285715</v>
      </c>
      <c r="V286" s="32">
        <v>3314285.714285715</v>
      </c>
      <c r="W286" s="32"/>
      <c r="X286" s="32"/>
      <c r="Y286" s="32"/>
      <c r="Z286" s="32"/>
      <c r="AA286" s="32">
        <v>0.02</v>
      </c>
      <c r="AB286" s="32">
        <v>0.05</v>
      </c>
      <c r="AC286" s="32">
        <v>4.2500000000000003E-2</v>
      </c>
      <c r="AD286" s="32">
        <v>0.23287671232876711</v>
      </c>
      <c r="AE286" s="32">
        <v>632093.93346379662</v>
      </c>
      <c r="AF286" s="32">
        <v>771819.96086105681</v>
      </c>
      <c r="AG286" s="32" t="s">
        <v>1530</v>
      </c>
      <c r="AH286" s="32"/>
      <c r="AI286" s="32" t="s">
        <v>1493</v>
      </c>
      <c r="AJ286" s="32"/>
      <c r="AK286" s="28"/>
      <c r="AL286" s="18" t="str">
        <f t="shared" si="4"/>
        <v>Are financial instruments, such as hedging or long-term contracts, used to manage risks in vegetable oil procurement?_</v>
      </c>
    </row>
    <row r="287" spans="1:38" ht="58" x14ac:dyDescent="0.35">
      <c r="A287" s="32">
        <v>7</v>
      </c>
      <c r="B287" s="32" t="s">
        <v>1451</v>
      </c>
      <c r="C287" s="32" t="s">
        <v>1452</v>
      </c>
      <c r="D287" s="32" t="s">
        <v>1224</v>
      </c>
      <c r="E287" s="32" t="s">
        <v>1453</v>
      </c>
      <c r="F287" s="32"/>
      <c r="G287" s="32" t="s">
        <v>1284</v>
      </c>
      <c r="H287" s="32" t="s">
        <v>2077</v>
      </c>
      <c r="I287" s="32"/>
      <c r="J287" s="32" t="s">
        <v>2078</v>
      </c>
      <c r="K287" s="32" t="s">
        <v>1302</v>
      </c>
      <c r="L287" s="32" t="s">
        <v>1303</v>
      </c>
      <c r="M287" s="32" t="s">
        <v>1304</v>
      </c>
      <c r="N287" s="32" t="s">
        <v>1305</v>
      </c>
      <c r="O287" s="32">
        <v>1</v>
      </c>
      <c r="P287" s="32">
        <v>0.04</v>
      </c>
      <c r="Q287" s="32">
        <v>0.1</v>
      </c>
      <c r="R287" s="32">
        <v>0.8</v>
      </c>
      <c r="S287" s="32">
        <v>6.7857142857142866E-2</v>
      </c>
      <c r="T287" s="32">
        <v>8.2857142857142865E-2</v>
      </c>
      <c r="U287" s="32">
        <v>2714285.714285715</v>
      </c>
      <c r="V287" s="32">
        <v>3314285.714285715</v>
      </c>
      <c r="W287" s="32"/>
      <c r="X287" s="32"/>
      <c r="Y287" s="32"/>
      <c r="Z287" s="32"/>
      <c r="AA287" s="32">
        <v>0.02</v>
      </c>
      <c r="AB287" s="32">
        <v>0.05</v>
      </c>
      <c r="AC287" s="32">
        <v>4.2500000000000003E-2</v>
      </c>
      <c r="AD287" s="32">
        <v>0.23287671232876711</v>
      </c>
      <c r="AE287" s="32">
        <v>632093.93346379662</v>
      </c>
      <c r="AF287" s="32">
        <v>771819.96086105681</v>
      </c>
      <c r="AG287" s="32" t="s">
        <v>1531</v>
      </c>
      <c r="AH287" s="32"/>
      <c r="AI287" s="32" t="s">
        <v>1493</v>
      </c>
      <c r="AJ287" s="32"/>
      <c r="AK287" s="28"/>
      <c r="AL287" s="18" t="str">
        <f t="shared" si="4"/>
        <v>Are financial instruments, such as hedging or long-term contracts, used to manage risks in vegetable oil procurement?_</v>
      </c>
    </row>
    <row r="288" spans="1:38" ht="58" x14ac:dyDescent="0.35">
      <c r="A288" s="32">
        <v>7</v>
      </c>
      <c r="B288" s="32" t="s">
        <v>1451</v>
      </c>
      <c r="C288" s="32" t="s">
        <v>1452</v>
      </c>
      <c r="D288" s="32" t="s">
        <v>1224</v>
      </c>
      <c r="E288" s="32" t="s">
        <v>1453</v>
      </c>
      <c r="F288" s="32"/>
      <c r="G288" s="32" t="s">
        <v>1284</v>
      </c>
      <c r="H288" s="32" t="s">
        <v>2077</v>
      </c>
      <c r="I288" s="32"/>
      <c r="J288" s="32" t="s">
        <v>2078</v>
      </c>
      <c r="K288" s="32" t="s">
        <v>1302</v>
      </c>
      <c r="L288" s="32" t="s">
        <v>1303</v>
      </c>
      <c r="M288" s="32" t="s">
        <v>1304</v>
      </c>
      <c r="N288" s="32" t="s">
        <v>1305</v>
      </c>
      <c r="O288" s="32">
        <v>1</v>
      </c>
      <c r="P288" s="32">
        <v>0.04</v>
      </c>
      <c r="Q288" s="32">
        <v>0.1</v>
      </c>
      <c r="R288" s="32">
        <v>0.8</v>
      </c>
      <c r="S288" s="32">
        <v>6.7857142857142866E-2</v>
      </c>
      <c r="T288" s="32">
        <v>8.2857142857142865E-2</v>
      </c>
      <c r="U288" s="32">
        <v>2714285.714285715</v>
      </c>
      <c r="V288" s="32">
        <v>3314285.714285715</v>
      </c>
      <c r="W288" s="32"/>
      <c r="X288" s="32"/>
      <c r="Y288" s="32"/>
      <c r="Z288" s="32"/>
      <c r="AA288" s="32">
        <v>0.02</v>
      </c>
      <c r="AB288" s="32">
        <v>0.05</v>
      </c>
      <c r="AC288" s="32">
        <v>4.2500000000000003E-2</v>
      </c>
      <c r="AD288" s="32">
        <v>0.23287671232876711</v>
      </c>
      <c r="AE288" s="32">
        <v>632093.93346379662</v>
      </c>
      <c r="AF288" s="32">
        <v>771819.96086105681</v>
      </c>
      <c r="AG288" s="32" t="s">
        <v>1532</v>
      </c>
      <c r="AH288" s="32"/>
      <c r="AI288" s="32" t="s">
        <v>1493</v>
      </c>
      <c r="AJ288" s="32"/>
      <c r="AK288" s="28"/>
      <c r="AL288" s="18" t="str">
        <f t="shared" si="4"/>
        <v>Are financial instruments, such as hedging or long-term contracts, used to manage risks in vegetable oil procurement?_</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AC733-D6D8-4E96-9A05-913F607BC43D}">
  <sheetPr filterMode="1"/>
  <dimension ref="A1:AI40"/>
  <sheetViews>
    <sheetView topLeftCell="V1" zoomScale="60" zoomScaleNormal="60" workbookViewId="0">
      <selection activeCell="AF1" sqref="AF1"/>
    </sheetView>
  </sheetViews>
  <sheetFormatPr defaultColWidth="8.7265625" defaultRowHeight="14.5" x14ac:dyDescent="0.35"/>
  <cols>
    <col min="1" max="6" width="8.7265625" style="61"/>
    <col min="7" max="7" width="29" style="61" customWidth="1"/>
    <col min="8" max="8" width="32.453125" style="61" customWidth="1"/>
    <col min="9" max="9" width="8.7265625" style="61"/>
    <col min="10" max="10" width="16.453125" style="61" customWidth="1"/>
    <col min="11" max="11" width="8.7265625" style="61"/>
    <col min="12" max="12" width="17.26953125" style="61" customWidth="1"/>
    <col min="13" max="13" width="24.7265625" style="61" customWidth="1"/>
    <col min="14" max="14" width="21" style="61" customWidth="1"/>
    <col min="15" max="29" width="8.7265625" style="61"/>
    <col min="30" max="30" width="34.7265625" style="61" customWidth="1"/>
    <col min="31" max="31" width="8.7265625" style="61"/>
    <col min="32" max="32" width="38.7265625" style="61" customWidth="1"/>
    <col min="33" max="33" width="60.453125" style="61" customWidth="1"/>
    <col min="34" max="34" width="54.26953125" style="61" customWidth="1"/>
    <col min="35" max="16384" width="8.7265625" style="61"/>
  </cols>
  <sheetData>
    <row r="1" spans="1:35" ht="63" thickBot="1" x14ac:dyDescent="0.4">
      <c r="A1" s="62" t="s">
        <v>1389</v>
      </c>
      <c r="B1" s="62" t="s">
        <v>1390</v>
      </c>
      <c r="C1" s="62" t="s">
        <v>1391</v>
      </c>
      <c r="D1" s="62" t="s">
        <v>7</v>
      </c>
      <c r="E1" s="62" t="s">
        <v>8</v>
      </c>
      <c r="F1" s="62" t="s">
        <v>1210</v>
      </c>
      <c r="G1" s="62" t="s">
        <v>1211</v>
      </c>
      <c r="H1" s="62" t="s">
        <v>1395</v>
      </c>
      <c r="I1" s="62" t="s">
        <v>1213</v>
      </c>
      <c r="J1" s="62" t="s">
        <v>20</v>
      </c>
      <c r="K1" s="62" t="s">
        <v>11</v>
      </c>
      <c r="L1" s="62" t="s">
        <v>12</v>
      </c>
      <c r="M1" s="62" t="s">
        <v>13</v>
      </c>
      <c r="N1" s="62" t="s">
        <v>14</v>
      </c>
      <c r="O1" s="62" t="s">
        <v>1396</v>
      </c>
      <c r="P1" s="62" t="s">
        <v>15</v>
      </c>
      <c r="Q1" s="62" t="s">
        <v>16</v>
      </c>
      <c r="R1" s="62" t="s">
        <v>1298</v>
      </c>
      <c r="S1" s="62" t="s">
        <v>1402</v>
      </c>
      <c r="T1" s="62" t="s">
        <v>1403</v>
      </c>
      <c r="U1" s="62" t="s">
        <v>1404</v>
      </c>
      <c r="V1" s="62" t="s">
        <v>1405</v>
      </c>
      <c r="W1" s="62" t="s">
        <v>15</v>
      </c>
      <c r="X1" s="62" t="s">
        <v>16</v>
      </c>
      <c r="Y1" s="62" t="s">
        <v>1415</v>
      </c>
      <c r="Z1" s="62" t="s">
        <v>1416</v>
      </c>
      <c r="AA1" s="62" t="s">
        <v>1404</v>
      </c>
      <c r="AB1" s="62" t="s">
        <v>1405</v>
      </c>
      <c r="AC1" s="62" t="s">
        <v>2042</v>
      </c>
      <c r="AD1" s="62" t="s">
        <v>1425</v>
      </c>
      <c r="AE1" s="62" t="s">
        <v>2043</v>
      </c>
      <c r="AF1" s="62" t="s">
        <v>2044</v>
      </c>
      <c r="AG1" s="62" t="s">
        <v>2045</v>
      </c>
      <c r="AH1" s="62" t="s">
        <v>2086</v>
      </c>
      <c r="AI1" s="61" t="s">
        <v>1831</v>
      </c>
    </row>
    <row r="2" spans="1:35" ht="409.6" thickBot="1" x14ac:dyDescent="0.4">
      <c r="A2" s="64">
        <v>1</v>
      </c>
      <c r="B2" s="62" t="s">
        <v>1451</v>
      </c>
      <c r="C2" s="62" t="s">
        <v>1452</v>
      </c>
      <c r="D2" s="62" t="s">
        <v>1224</v>
      </c>
      <c r="E2" s="62" t="s">
        <v>1453</v>
      </c>
      <c r="F2" s="62"/>
      <c r="G2" s="62" t="s">
        <v>1292</v>
      </c>
      <c r="H2" s="62" t="s">
        <v>1982</v>
      </c>
      <c r="I2" s="62"/>
      <c r="J2" s="62" t="s">
        <v>1228</v>
      </c>
      <c r="K2" s="62" t="s">
        <v>1317</v>
      </c>
      <c r="L2" s="62" t="s">
        <v>1318</v>
      </c>
      <c r="M2" s="62" t="s">
        <v>1319</v>
      </c>
      <c r="N2" s="62" t="s">
        <v>1320</v>
      </c>
      <c r="O2" s="64">
        <v>2</v>
      </c>
      <c r="P2" s="64">
        <v>0.04</v>
      </c>
      <c r="Q2" s="64">
        <v>0.1</v>
      </c>
      <c r="R2" s="64">
        <v>0.8</v>
      </c>
      <c r="S2" s="64">
        <v>6.7857142999999995E-2</v>
      </c>
      <c r="T2" s="64">
        <v>8.2857142999999994E-2</v>
      </c>
      <c r="U2" s="64">
        <v>2714285.7140000002</v>
      </c>
      <c r="V2" s="64">
        <v>3314285.7140000002</v>
      </c>
      <c r="W2" s="64">
        <v>0.02</v>
      </c>
      <c r="X2" s="64">
        <v>0.05</v>
      </c>
      <c r="Y2" s="64">
        <v>3.5000000000000003E-2</v>
      </c>
      <c r="Z2" s="64">
        <v>0.172839506</v>
      </c>
      <c r="AA2" s="64">
        <v>469135.80200000003</v>
      </c>
      <c r="AB2" s="64">
        <v>572839.50600000005</v>
      </c>
      <c r="AC2" s="62" t="s">
        <v>1454</v>
      </c>
      <c r="AD2" s="62" t="s">
        <v>1455</v>
      </c>
      <c r="AE2" s="62" t="s">
        <v>2046</v>
      </c>
      <c r="AF2" s="62" t="s">
        <v>2047</v>
      </c>
      <c r="AG2" s="62" t="s">
        <v>2087</v>
      </c>
      <c r="AH2" s="62" t="s">
        <v>2088</v>
      </c>
      <c r="AI2" s="61" t="str">
        <f>CONCATENATE(G2,"_",AF2)</f>
        <v>To what extent have you explored bundling of volumes across different types of vegetable oils to maximize economies of scale?_If a large number of countries/regions (&gt;3-4) contributte to the top &gt;80% spend, then call out these countries/examples with potential for consolidation. If SKU/item level data is available, share examples of top SKUs/items that have a one-to-many mapping between plants/countries/regions-to-suppliers</v>
      </c>
    </row>
    <row r="3" spans="1:35" ht="232.5" hidden="1" thickBot="1" x14ac:dyDescent="0.4">
      <c r="A3" s="64">
        <v>1</v>
      </c>
      <c r="B3" s="62" t="s">
        <v>1451</v>
      </c>
      <c r="C3" s="62" t="s">
        <v>1452</v>
      </c>
      <c r="D3" s="62" t="s">
        <v>1224</v>
      </c>
      <c r="E3" s="62" t="s">
        <v>1453</v>
      </c>
      <c r="F3" s="62"/>
      <c r="G3" s="62" t="s">
        <v>1292</v>
      </c>
      <c r="H3" s="62" t="s">
        <v>1462</v>
      </c>
      <c r="I3" s="62"/>
      <c r="J3" s="62" t="s">
        <v>1228</v>
      </c>
      <c r="K3" s="62" t="s">
        <v>1317</v>
      </c>
      <c r="L3" s="62" t="s">
        <v>1318</v>
      </c>
      <c r="M3" s="62" t="s">
        <v>1319</v>
      </c>
      <c r="N3" s="62" t="s">
        <v>1320</v>
      </c>
      <c r="O3" s="64">
        <v>2</v>
      </c>
      <c r="P3" s="64">
        <v>0.04</v>
      </c>
      <c r="Q3" s="64">
        <v>0.1</v>
      </c>
      <c r="R3" s="64">
        <v>0.8</v>
      </c>
      <c r="S3" s="64">
        <v>6.7857142999999995E-2</v>
      </c>
      <c r="T3" s="64">
        <v>8.2857142999999994E-2</v>
      </c>
      <c r="U3" s="64">
        <v>2714285.7140000002</v>
      </c>
      <c r="V3" s="64">
        <v>3314285.7140000002</v>
      </c>
      <c r="W3" s="64">
        <v>0.02</v>
      </c>
      <c r="X3" s="64">
        <v>0.05</v>
      </c>
      <c r="Y3" s="64">
        <v>3.5000000000000003E-2</v>
      </c>
      <c r="Z3" s="64">
        <v>0.172839506</v>
      </c>
      <c r="AA3" s="64">
        <v>469135.80200000003</v>
      </c>
      <c r="AB3" s="64">
        <v>572839.50600000005</v>
      </c>
      <c r="AC3" s="62" t="s">
        <v>1463</v>
      </c>
      <c r="AD3" s="62" t="s">
        <v>1464</v>
      </c>
      <c r="AE3" s="62" t="s">
        <v>2046</v>
      </c>
      <c r="AF3" s="62"/>
      <c r="AG3" s="62" t="s">
        <v>2089</v>
      </c>
      <c r="AH3" s="62" t="s">
        <v>2088</v>
      </c>
      <c r="AI3" s="61" t="str">
        <f t="shared" ref="AI3:AI34" si="0">CONCATENATE(G3,"_",AF3)</f>
        <v>To what extent have you explored bundling of volumes across different types of vegetable oils to maximize economies of scale?_</v>
      </c>
    </row>
    <row r="4" spans="1:35" ht="409.6" thickBot="1" x14ac:dyDescent="0.4">
      <c r="A4" s="64">
        <v>1</v>
      </c>
      <c r="B4" s="62" t="s">
        <v>1451</v>
      </c>
      <c r="C4" s="62" t="s">
        <v>1452</v>
      </c>
      <c r="D4" s="62" t="s">
        <v>1224</v>
      </c>
      <c r="E4" s="62" t="s">
        <v>1453</v>
      </c>
      <c r="F4" s="62"/>
      <c r="G4" s="62" t="s">
        <v>1292</v>
      </c>
      <c r="H4" s="62" t="s">
        <v>1462</v>
      </c>
      <c r="I4" s="62"/>
      <c r="J4" s="62" t="s">
        <v>1228</v>
      </c>
      <c r="K4" s="62" t="s">
        <v>1317</v>
      </c>
      <c r="L4" s="62" t="s">
        <v>1318</v>
      </c>
      <c r="M4" s="62" t="s">
        <v>1319</v>
      </c>
      <c r="N4" s="62" t="s">
        <v>1320</v>
      </c>
      <c r="O4" s="64">
        <v>2</v>
      </c>
      <c r="P4" s="64">
        <v>0.04</v>
      </c>
      <c r="Q4" s="64">
        <v>0.1</v>
      </c>
      <c r="R4" s="64">
        <v>0.8</v>
      </c>
      <c r="S4" s="64">
        <v>6.7857142999999995E-2</v>
      </c>
      <c r="T4" s="64">
        <v>8.2857142999999994E-2</v>
      </c>
      <c r="U4" s="64">
        <v>2714285.7140000002</v>
      </c>
      <c r="V4" s="64">
        <v>3314285.7140000002</v>
      </c>
      <c r="W4" s="64">
        <v>0.02</v>
      </c>
      <c r="X4" s="64">
        <v>0.05</v>
      </c>
      <c r="Y4" s="64">
        <v>3.5000000000000003E-2</v>
      </c>
      <c r="Z4" s="64">
        <v>0.172839506</v>
      </c>
      <c r="AA4" s="64">
        <v>469135.80200000003</v>
      </c>
      <c r="AB4" s="64">
        <v>572839.50600000005</v>
      </c>
      <c r="AC4" s="62" t="s">
        <v>2090</v>
      </c>
      <c r="AD4" s="62" t="s">
        <v>2091</v>
      </c>
      <c r="AE4" s="62" t="s">
        <v>2046</v>
      </c>
      <c r="AF4" s="62" t="s">
        <v>2092</v>
      </c>
      <c r="AG4" s="62" t="s">
        <v>2093</v>
      </c>
      <c r="AH4" s="62" t="s">
        <v>2088</v>
      </c>
      <c r="AI4" s="61" t="str">
        <f t="shared" si="0"/>
        <v>To what extent have you explored bundling of volumes across different types of vegetable oils to maximize economies of scale?_If the top 20% of suppliers for a high-spend category account for less than 80% of the spend, then significant opportunities for volume consolidation and negotiation exist. Call out top suppliers as examples where consolidation may be possible</v>
      </c>
    </row>
    <row r="5" spans="1:35" ht="232.5" hidden="1" thickBot="1" x14ac:dyDescent="0.4">
      <c r="A5" s="64">
        <v>1</v>
      </c>
      <c r="B5" s="62" t="s">
        <v>1451</v>
      </c>
      <c r="C5" s="62" t="s">
        <v>1452</v>
      </c>
      <c r="D5" s="62" t="s">
        <v>1224</v>
      </c>
      <c r="E5" s="62" t="s">
        <v>1453</v>
      </c>
      <c r="F5" s="62"/>
      <c r="G5" s="62" t="s">
        <v>1292</v>
      </c>
      <c r="H5" s="62" t="s">
        <v>1462</v>
      </c>
      <c r="I5" s="62"/>
      <c r="J5" s="62" t="s">
        <v>1228</v>
      </c>
      <c r="K5" s="62" t="s">
        <v>1317</v>
      </c>
      <c r="L5" s="62" t="s">
        <v>1318</v>
      </c>
      <c r="M5" s="62" t="s">
        <v>1319</v>
      </c>
      <c r="N5" s="62" t="s">
        <v>1320</v>
      </c>
      <c r="O5" s="64">
        <v>2</v>
      </c>
      <c r="P5" s="64">
        <v>0.04</v>
      </c>
      <c r="Q5" s="64">
        <v>0.1</v>
      </c>
      <c r="R5" s="64">
        <v>0.8</v>
      </c>
      <c r="S5" s="64">
        <v>6.7857142999999995E-2</v>
      </c>
      <c r="T5" s="64">
        <v>8.2857142999999994E-2</v>
      </c>
      <c r="U5" s="64">
        <v>2714285.7140000002</v>
      </c>
      <c r="V5" s="64">
        <v>3314285.7140000002</v>
      </c>
      <c r="W5" s="64">
        <v>0.02</v>
      </c>
      <c r="X5" s="64">
        <v>0.05</v>
      </c>
      <c r="Y5" s="64">
        <v>3.5000000000000003E-2</v>
      </c>
      <c r="Z5" s="64">
        <v>0.172839506</v>
      </c>
      <c r="AA5" s="64">
        <v>469135.80200000003</v>
      </c>
      <c r="AB5" s="64">
        <v>572839.50600000005</v>
      </c>
      <c r="AC5" s="62" t="s">
        <v>2094</v>
      </c>
      <c r="AD5" s="62" t="s">
        <v>1484</v>
      </c>
      <c r="AE5" s="62" t="s">
        <v>2046</v>
      </c>
      <c r="AF5" s="62"/>
      <c r="AG5" s="62" t="s">
        <v>2095</v>
      </c>
      <c r="AH5" s="62" t="s">
        <v>2088</v>
      </c>
      <c r="AI5" s="61" t="str">
        <f t="shared" si="0"/>
        <v>To what extent have you explored bundling of volumes across different types of vegetable oils to maximize economies of scale?_</v>
      </c>
    </row>
    <row r="6" spans="1:35" ht="232.5" hidden="1" thickBot="1" x14ac:dyDescent="0.4">
      <c r="A6" s="64">
        <v>1</v>
      </c>
      <c r="B6" s="62" t="s">
        <v>1451</v>
      </c>
      <c r="C6" s="62" t="s">
        <v>1452</v>
      </c>
      <c r="D6" s="62" t="s">
        <v>1224</v>
      </c>
      <c r="E6" s="62" t="s">
        <v>1453</v>
      </c>
      <c r="F6" s="62"/>
      <c r="G6" s="62" t="s">
        <v>1292</v>
      </c>
      <c r="H6" s="62" t="s">
        <v>1462</v>
      </c>
      <c r="I6" s="62"/>
      <c r="J6" s="62" t="s">
        <v>1228</v>
      </c>
      <c r="K6" s="62" t="s">
        <v>1317</v>
      </c>
      <c r="L6" s="62" t="s">
        <v>1318</v>
      </c>
      <c r="M6" s="62" t="s">
        <v>1319</v>
      </c>
      <c r="N6" s="62" t="s">
        <v>1320</v>
      </c>
      <c r="O6" s="64">
        <v>2</v>
      </c>
      <c r="P6" s="64">
        <v>0.04</v>
      </c>
      <c r="Q6" s="64">
        <v>0.1</v>
      </c>
      <c r="R6" s="64">
        <v>0.8</v>
      </c>
      <c r="S6" s="64">
        <v>6.7857142999999995E-2</v>
      </c>
      <c r="T6" s="64">
        <v>8.2857142999999994E-2</v>
      </c>
      <c r="U6" s="64">
        <v>2714285.7140000002</v>
      </c>
      <c r="V6" s="64">
        <v>3314285.7140000002</v>
      </c>
      <c r="W6" s="64">
        <v>0.02</v>
      </c>
      <c r="X6" s="64">
        <v>0.05</v>
      </c>
      <c r="Y6" s="64">
        <v>3.5000000000000003E-2</v>
      </c>
      <c r="Z6" s="64">
        <v>0.172839506</v>
      </c>
      <c r="AA6" s="64">
        <v>469135.80200000003</v>
      </c>
      <c r="AB6" s="64">
        <v>572839.50600000005</v>
      </c>
      <c r="AC6" s="62" t="s">
        <v>2096</v>
      </c>
      <c r="AD6" s="62" t="s">
        <v>2097</v>
      </c>
      <c r="AE6" s="62" t="s">
        <v>2046</v>
      </c>
      <c r="AF6" s="62"/>
      <c r="AG6" s="62" t="s">
        <v>2095</v>
      </c>
      <c r="AH6" s="62" t="s">
        <v>2088</v>
      </c>
      <c r="AI6" s="61" t="str">
        <f t="shared" si="0"/>
        <v>To what extent have you explored bundling of volumes across different types of vegetable oils to maximize economies of scale?_</v>
      </c>
    </row>
    <row r="7" spans="1:35" ht="232.5" hidden="1" thickBot="1" x14ac:dyDescent="0.4">
      <c r="A7" s="64">
        <v>1</v>
      </c>
      <c r="B7" s="62" t="s">
        <v>1451</v>
      </c>
      <c r="C7" s="62" t="s">
        <v>1452</v>
      </c>
      <c r="D7" s="62" t="s">
        <v>1224</v>
      </c>
      <c r="E7" s="62" t="s">
        <v>1453</v>
      </c>
      <c r="F7" s="62"/>
      <c r="G7" s="62" t="s">
        <v>1292</v>
      </c>
      <c r="H7" s="62" t="s">
        <v>1462</v>
      </c>
      <c r="I7" s="62"/>
      <c r="J7" s="62" t="s">
        <v>1228</v>
      </c>
      <c r="K7" s="62" t="s">
        <v>1317</v>
      </c>
      <c r="L7" s="62" t="s">
        <v>1318</v>
      </c>
      <c r="M7" s="62" t="s">
        <v>1319</v>
      </c>
      <c r="N7" s="62" t="s">
        <v>1320</v>
      </c>
      <c r="O7" s="64">
        <v>2</v>
      </c>
      <c r="P7" s="64">
        <v>0.04</v>
      </c>
      <c r="Q7" s="64">
        <v>0.1</v>
      </c>
      <c r="R7" s="64">
        <v>0.8</v>
      </c>
      <c r="S7" s="64">
        <v>6.7857142999999995E-2</v>
      </c>
      <c r="T7" s="64">
        <v>8.2857142999999994E-2</v>
      </c>
      <c r="U7" s="64">
        <v>2714285.7140000002</v>
      </c>
      <c r="V7" s="64">
        <v>3314285.7140000002</v>
      </c>
      <c r="W7" s="64">
        <v>0.02</v>
      </c>
      <c r="X7" s="64">
        <v>0.05</v>
      </c>
      <c r="Y7" s="64">
        <v>3.5000000000000003E-2</v>
      </c>
      <c r="Z7" s="64">
        <v>0.172839506</v>
      </c>
      <c r="AA7" s="64">
        <v>469135.80200000003</v>
      </c>
      <c r="AB7" s="64">
        <v>572839.50600000005</v>
      </c>
      <c r="AC7" s="62" t="s">
        <v>1463</v>
      </c>
      <c r="AD7" s="62" t="s">
        <v>1464</v>
      </c>
      <c r="AE7" s="62" t="s">
        <v>2046</v>
      </c>
      <c r="AF7" s="62"/>
      <c r="AG7" s="62" t="s">
        <v>2089</v>
      </c>
      <c r="AH7" s="62" t="s">
        <v>2088</v>
      </c>
      <c r="AI7" s="61" t="str">
        <f t="shared" si="0"/>
        <v>To what extent have you explored bundling of volumes across different types of vegetable oils to maximize economies of scale?_</v>
      </c>
    </row>
    <row r="8" spans="1:35" ht="409.6" thickBot="1" x14ac:dyDescent="0.4">
      <c r="A8" s="64">
        <v>2</v>
      </c>
      <c r="B8" s="62" t="s">
        <v>1451</v>
      </c>
      <c r="C8" s="62" t="s">
        <v>1452</v>
      </c>
      <c r="D8" s="62" t="s">
        <v>1224</v>
      </c>
      <c r="E8" s="62" t="s">
        <v>1453</v>
      </c>
      <c r="F8" s="62"/>
      <c r="G8" s="62" t="s">
        <v>1289</v>
      </c>
      <c r="H8" s="62" t="s">
        <v>1316</v>
      </c>
      <c r="I8" s="62"/>
      <c r="J8" s="62" t="s">
        <v>1288</v>
      </c>
      <c r="K8" s="62" t="s">
        <v>1312</v>
      </c>
      <c r="L8" s="62" t="s">
        <v>1313</v>
      </c>
      <c r="M8" s="62" t="s">
        <v>1314</v>
      </c>
      <c r="N8" s="62" t="s">
        <v>1315</v>
      </c>
      <c r="O8" s="64">
        <v>3</v>
      </c>
      <c r="P8" s="64">
        <v>0.04</v>
      </c>
      <c r="Q8" s="64">
        <v>0.1</v>
      </c>
      <c r="R8" s="64">
        <v>0.8</v>
      </c>
      <c r="S8" s="64">
        <v>6.7857142999999995E-2</v>
      </c>
      <c r="T8" s="64">
        <v>8.2857142999999994E-2</v>
      </c>
      <c r="U8" s="64">
        <v>2714285.7140000002</v>
      </c>
      <c r="V8" s="64">
        <v>3314285.7140000002</v>
      </c>
      <c r="W8" s="64">
        <v>0.02</v>
      </c>
      <c r="X8" s="64">
        <v>0.05</v>
      </c>
      <c r="Y8" s="64">
        <v>2.75E-2</v>
      </c>
      <c r="Z8" s="64">
        <v>0.13580246900000001</v>
      </c>
      <c r="AA8" s="64">
        <v>368606.70199999999</v>
      </c>
      <c r="AB8" s="64">
        <v>450088.18300000002</v>
      </c>
      <c r="AC8" s="62" t="s">
        <v>2098</v>
      </c>
      <c r="AD8" s="62" t="s">
        <v>2099</v>
      </c>
      <c r="AE8" s="62" t="s">
        <v>2046</v>
      </c>
      <c r="AF8" s="62" t="s">
        <v>2100</v>
      </c>
      <c r="AG8" s="62" t="s">
        <v>2101</v>
      </c>
      <c r="AH8" s="62" t="s">
        <v>2102</v>
      </c>
      <c r="AI8" s="61" t="str">
        <f t="shared" si="0"/>
        <v>To what extent do you use should cost models to challenge and negotiate supplier pricing?_If analysis of PO/invoice line-item data for the same item/SKU reveals significant unit price variance (e.g., &gt;15%) across different suppliers or plants within the same time frame, then there's an immediate, quantifiable savings opportunity through price standardization. List down those suppliers and plants</v>
      </c>
    </row>
    <row r="9" spans="1:35" ht="174.5" hidden="1" thickBot="1" x14ac:dyDescent="0.4">
      <c r="A9" s="64">
        <v>2</v>
      </c>
      <c r="B9" s="62" t="s">
        <v>1451</v>
      </c>
      <c r="C9" s="62" t="s">
        <v>1452</v>
      </c>
      <c r="D9" s="62" t="s">
        <v>1224</v>
      </c>
      <c r="E9" s="62" t="s">
        <v>1453</v>
      </c>
      <c r="F9" s="62"/>
      <c r="G9" s="62" t="s">
        <v>1289</v>
      </c>
      <c r="H9" s="62" t="s">
        <v>1316</v>
      </c>
      <c r="I9" s="62"/>
      <c r="J9" s="62" t="s">
        <v>1288</v>
      </c>
      <c r="K9" s="62" t="s">
        <v>1312</v>
      </c>
      <c r="L9" s="62" t="s">
        <v>1313</v>
      </c>
      <c r="M9" s="62" t="s">
        <v>1314</v>
      </c>
      <c r="N9" s="62" t="s">
        <v>1315</v>
      </c>
      <c r="O9" s="64">
        <v>3</v>
      </c>
      <c r="P9" s="64">
        <v>0.04</v>
      </c>
      <c r="Q9" s="64">
        <v>0.1</v>
      </c>
      <c r="R9" s="64">
        <v>0.8</v>
      </c>
      <c r="S9" s="64">
        <v>6.7857142999999995E-2</v>
      </c>
      <c r="T9" s="64">
        <v>8.2857142999999994E-2</v>
      </c>
      <c r="U9" s="64">
        <v>2714285.7140000002</v>
      </c>
      <c r="V9" s="64">
        <v>3314285.7140000002</v>
      </c>
      <c r="W9" s="64">
        <v>0.02</v>
      </c>
      <c r="X9" s="64">
        <v>0.05</v>
      </c>
      <c r="Y9" s="64">
        <v>2.75E-2</v>
      </c>
      <c r="Z9" s="64">
        <v>0.13580246900000001</v>
      </c>
      <c r="AA9" s="64">
        <v>368606.70199999999</v>
      </c>
      <c r="AB9" s="64">
        <v>450088.18300000002</v>
      </c>
      <c r="AC9" s="62" t="s">
        <v>2103</v>
      </c>
      <c r="AD9" s="62" t="s">
        <v>2104</v>
      </c>
      <c r="AE9" s="62" t="s">
        <v>2046</v>
      </c>
      <c r="AF9" s="62"/>
      <c r="AG9" s="62" t="s">
        <v>2105</v>
      </c>
      <c r="AH9" s="62" t="s">
        <v>2102</v>
      </c>
      <c r="AI9" s="61" t="str">
        <f t="shared" si="0"/>
        <v>To what extent do you use should cost models to challenge and negotiate supplier pricing?_</v>
      </c>
    </row>
    <row r="10" spans="1:35" ht="174.5" hidden="1" thickBot="1" x14ac:dyDescent="0.4">
      <c r="A10" s="64">
        <v>2</v>
      </c>
      <c r="B10" s="62" t="s">
        <v>1451</v>
      </c>
      <c r="C10" s="62" t="s">
        <v>1452</v>
      </c>
      <c r="D10" s="62" t="s">
        <v>1224</v>
      </c>
      <c r="E10" s="62" t="s">
        <v>1453</v>
      </c>
      <c r="F10" s="62"/>
      <c r="G10" s="62" t="s">
        <v>1289</v>
      </c>
      <c r="H10" s="62" t="s">
        <v>1316</v>
      </c>
      <c r="I10" s="62"/>
      <c r="J10" s="62" t="s">
        <v>1288</v>
      </c>
      <c r="K10" s="62" t="s">
        <v>1312</v>
      </c>
      <c r="L10" s="62" t="s">
        <v>1313</v>
      </c>
      <c r="M10" s="62" t="s">
        <v>1314</v>
      </c>
      <c r="N10" s="62" t="s">
        <v>1315</v>
      </c>
      <c r="O10" s="64">
        <v>3</v>
      </c>
      <c r="P10" s="64">
        <v>0.04</v>
      </c>
      <c r="Q10" s="64">
        <v>0.1</v>
      </c>
      <c r="R10" s="64">
        <v>0.8</v>
      </c>
      <c r="S10" s="64">
        <v>6.7857142999999995E-2</v>
      </c>
      <c r="T10" s="64">
        <v>8.2857142999999994E-2</v>
      </c>
      <c r="U10" s="64">
        <v>2714285.7140000002</v>
      </c>
      <c r="V10" s="64">
        <v>3314285.7140000002</v>
      </c>
      <c r="W10" s="64">
        <v>0.02</v>
      </c>
      <c r="X10" s="64">
        <v>0.05</v>
      </c>
      <c r="Y10" s="64">
        <v>2.75E-2</v>
      </c>
      <c r="Z10" s="64">
        <v>0.13580246900000001</v>
      </c>
      <c r="AA10" s="64">
        <v>368606.70199999999</v>
      </c>
      <c r="AB10" s="64">
        <v>450088.18300000002</v>
      </c>
      <c r="AC10" s="62" t="s">
        <v>2106</v>
      </c>
      <c r="AD10" s="62" t="s">
        <v>2107</v>
      </c>
      <c r="AE10" s="62" t="s">
        <v>2046</v>
      </c>
      <c r="AF10" s="62"/>
      <c r="AG10" s="62" t="s">
        <v>2095</v>
      </c>
      <c r="AH10" s="62" t="s">
        <v>2102</v>
      </c>
      <c r="AI10" s="61" t="str">
        <f t="shared" si="0"/>
        <v>To what extent do you use should cost models to challenge and negotiate supplier pricing?_</v>
      </c>
    </row>
    <row r="11" spans="1:35" ht="174.5" hidden="1" thickBot="1" x14ac:dyDescent="0.4">
      <c r="A11" s="64">
        <v>2</v>
      </c>
      <c r="B11" s="62" t="s">
        <v>1451</v>
      </c>
      <c r="C11" s="62" t="s">
        <v>1452</v>
      </c>
      <c r="D11" s="62" t="s">
        <v>1224</v>
      </c>
      <c r="E11" s="62" t="s">
        <v>1453</v>
      </c>
      <c r="F11" s="62"/>
      <c r="G11" s="62" t="s">
        <v>1289</v>
      </c>
      <c r="H11" s="62" t="s">
        <v>1316</v>
      </c>
      <c r="I11" s="62"/>
      <c r="J11" s="62" t="s">
        <v>1288</v>
      </c>
      <c r="K11" s="62" t="s">
        <v>1312</v>
      </c>
      <c r="L11" s="62" t="s">
        <v>1313</v>
      </c>
      <c r="M11" s="62" t="s">
        <v>1314</v>
      </c>
      <c r="N11" s="62" t="s">
        <v>1315</v>
      </c>
      <c r="O11" s="64">
        <v>3</v>
      </c>
      <c r="P11" s="64">
        <v>0.04</v>
      </c>
      <c r="Q11" s="64">
        <v>0.1</v>
      </c>
      <c r="R11" s="64">
        <v>0.8</v>
      </c>
      <c r="S11" s="64">
        <v>6.7857142999999995E-2</v>
      </c>
      <c r="T11" s="64">
        <v>8.2857142999999994E-2</v>
      </c>
      <c r="U11" s="64">
        <v>2714285.7140000002</v>
      </c>
      <c r="V11" s="64">
        <v>3314285.7140000002</v>
      </c>
      <c r="W11" s="64">
        <v>0.02</v>
      </c>
      <c r="X11" s="64">
        <v>0.05</v>
      </c>
      <c r="Y11" s="64">
        <v>2.75E-2</v>
      </c>
      <c r="Z11" s="64">
        <v>0.13580246900000001</v>
      </c>
      <c r="AA11" s="64">
        <v>368606.70199999999</v>
      </c>
      <c r="AB11" s="64">
        <v>450088.18300000002</v>
      </c>
      <c r="AC11" s="62" t="s">
        <v>1500</v>
      </c>
      <c r="AD11" s="62"/>
      <c r="AE11" s="62" t="s">
        <v>1493</v>
      </c>
      <c r="AF11" s="62"/>
      <c r="AG11" s="62" t="s">
        <v>2095</v>
      </c>
      <c r="AH11" s="62" t="s">
        <v>2102</v>
      </c>
      <c r="AI11" s="61" t="str">
        <f t="shared" si="0"/>
        <v>To what extent do you use should cost models to challenge and negotiate supplier pricing?_</v>
      </c>
    </row>
    <row r="12" spans="1:35" ht="174.5" hidden="1" thickBot="1" x14ac:dyDescent="0.4">
      <c r="A12" s="64">
        <v>2</v>
      </c>
      <c r="B12" s="62" t="s">
        <v>1451</v>
      </c>
      <c r="C12" s="62" t="s">
        <v>1452</v>
      </c>
      <c r="D12" s="62" t="s">
        <v>1224</v>
      </c>
      <c r="E12" s="62" t="s">
        <v>1453</v>
      </c>
      <c r="F12" s="62"/>
      <c r="G12" s="62" t="s">
        <v>1289</v>
      </c>
      <c r="H12" s="62" t="s">
        <v>1316</v>
      </c>
      <c r="I12" s="62"/>
      <c r="J12" s="62" t="s">
        <v>1288</v>
      </c>
      <c r="K12" s="62" t="s">
        <v>1312</v>
      </c>
      <c r="L12" s="62" t="s">
        <v>1313</v>
      </c>
      <c r="M12" s="62" t="s">
        <v>1314</v>
      </c>
      <c r="N12" s="62" t="s">
        <v>1315</v>
      </c>
      <c r="O12" s="64">
        <v>3</v>
      </c>
      <c r="P12" s="64">
        <v>0.04</v>
      </c>
      <c r="Q12" s="64">
        <v>0.1</v>
      </c>
      <c r="R12" s="64">
        <v>0.8</v>
      </c>
      <c r="S12" s="64">
        <v>6.7857142999999995E-2</v>
      </c>
      <c r="T12" s="64">
        <v>8.2857142999999994E-2</v>
      </c>
      <c r="U12" s="64">
        <v>2714285.7140000002</v>
      </c>
      <c r="V12" s="64">
        <v>3314285.7140000002</v>
      </c>
      <c r="W12" s="64">
        <v>0.02</v>
      </c>
      <c r="X12" s="64">
        <v>0.05</v>
      </c>
      <c r="Y12" s="64">
        <v>2.75E-2</v>
      </c>
      <c r="Z12" s="64">
        <v>0.13580246900000001</v>
      </c>
      <c r="AA12" s="64">
        <v>368606.70199999999</v>
      </c>
      <c r="AB12" s="64">
        <v>450088.18300000002</v>
      </c>
      <c r="AC12" s="62" t="s">
        <v>1507</v>
      </c>
      <c r="AD12" s="62"/>
      <c r="AE12" s="62" t="s">
        <v>1493</v>
      </c>
      <c r="AF12" s="62"/>
      <c r="AG12" s="62" t="s">
        <v>2095</v>
      </c>
      <c r="AH12" s="62" t="s">
        <v>2102</v>
      </c>
      <c r="AI12" s="61" t="str">
        <f t="shared" si="0"/>
        <v>To what extent do you use should cost models to challenge and negotiate supplier pricing?_</v>
      </c>
    </row>
    <row r="13" spans="1:35" ht="174.5" hidden="1" thickBot="1" x14ac:dyDescent="0.4">
      <c r="A13" s="64">
        <v>2</v>
      </c>
      <c r="B13" s="62" t="s">
        <v>1451</v>
      </c>
      <c r="C13" s="62" t="s">
        <v>1452</v>
      </c>
      <c r="D13" s="62" t="s">
        <v>1224</v>
      </c>
      <c r="E13" s="62" t="s">
        <v>1453</v>
      </c>
      <c r="F13" s="62"/>
      <c r="G13" s="62" t="s">
        <v>1289</v>
      </c>
      <c r="H13" s="62" t="s">
        <v>1316</v>
      </c>
      <c r="I13" s="62"/>
      <c r="J13" s="62" t="s">
        <v>1288</v>
      </c>
      <c r="K13" s="62" t="s">
        <v>1312</v>
      </c>
      <c r="L13" s="62" t="s">
        <v>1313</v>
      </c>
      <c r="M13" s="62" t="s">
        <v>1314</v>
      </c>
      <c r="N13" s="62" t="s">
        <v>1315</v>
      </c>
      <c r="O13" s="64">
        <v>3</v>
      </c>
      <c r="P13" s="64">
        <v>0.04</v>
      </c>
      <c r="Q13" s="64">
        <v>0.1</v>
      </c>
      <c r="R13" s="64">
        <v>0.8</v>
      </c>
      <c r="S13" s="64">
        <v>6.7857142999999995E-2</v>
      </c>
      <c r="T13" s="64">
        <v>8.2857142999999994E-2</v>
      </c>
      <c r="U13" s="64">
        <v>2714285.7140000002</v>
      </c>
      <c r="V13" s="64">
        <v>3314285.7140000002</v>
      </c>
      <c r="W13" s="64">
        <v>0.02</v>
      </c>
      <c r="X13" s="64">
        <v>0.05</v>
      </c>
      <c r="Y13" s="64">
        <v>2.75E-2</v>
      </c>
      <c r="Z13" s="64">
        <v>0.13580246900000001</v>
      </c>
      <c r="AA13" s="64">
        <v>368606.70199999999</v>
      </c>
      <c r="AB13" s="64">
        <v>450088.18300000002</v>
      </c>
      <c r="AC13" s="62" t="s">
        <v>1515</v>
      </c>
      <c r="AD13" s="62"/>
      <c r="AE13" s="62" t="s">
        <v>1493</v>
      </c>
      <c r="AF13" s="62"/>
      <c r="AG13" s="62" t="s">
        <v>2095</v>
      </c>
      <c r="AH13" s="62" t="s">
        <v>2102</v>
      </c>
      <c r="AI13" s="61" t="str">
        <f t="shared" si="0"/>
        <v>To what extent do you use should cost models to challenge and negotiate supplier pricing?_</v>
      </c>
    </row>
    <row r="14" spans="1:35" ht="247" hidden="1" thickBot="1" x14ac:dyDescent="0.4">
      <c r="A14" s="64">
        <v>3</v>
      </c>
      <c r="B14" s="62" t="s">
        <v>1451</v>
      </c>
      <c r="C14" s="62" t="s">
        <v>1452</v>
      </c>
      <c r="D14" s="62" t="s">
        <v>1224</v>
      </c>
      <c r="E14" s="62" t="s">
        <v>1453</v>
      </c>
      <c r="F14" s="62"/>
      <c r="G14" s="62" t="s">
        <v>1279</v>
      </c>
      <c r="H14" s="62" t="s">
        <v>1336</v>
      </c>
      <c r="I14" s="62"/>
      <c r="J14" s="62" t="s">
        <v>1239</v>
      </c>
      <c r="K14" s="62" t="s">
        <v>1332</v>
      </c>
      <c r="L14" s="62" t="s">
        <v>1333</v>
      </c>
      <c r="M14" s="62" t="s">
        <v>1334</v>
      </c>
      <c r="N14" s="62" t="s">
        <v>1335</v>
      </c>
      <c r="O14" s="64">
        <v>2</v>
      </c>
      <c r="P14" s="64">
        <v>0.04</v>
      </c>
      <c r="Q14" s="64">
        <v>0.1</v>
      </c>
      <c r="R14" s="64">
        <v>0.8</v>
      </c>
      <c r="S14" s="64">
        <v>6.7857142999999995E-2</v>
      </c>
      <c r="T14" s="64">
        <v>8.2857142999999994E-2</v>
      </c>
      <c r="U14" s="64">
        <v>2714285.7140000002</v>
      </c>
      <c r="V14" s="64">
        <v>3314285.7140000002</v>
      </c>
      <c r="W14" s="64">
        <v>0.02</v>
      </c>
      <c r="X14" s="64">
        <v>0.03</v>
      </c>
      <c r="Y14" s="64">
        <v>2.5000000000000001E-2</v>
      </c>
      <c r="Z14" s="64">
        <v>0.12345679</v>
      </c>
      <c r="AA14" s="64">
        <v>335097.00199999998</v>
      </c>
      <c r="AB14" s="64">
        <v>409171.076</v>
      </c>
      <c r="AC14" s="62" t="s">
        <v>2108</v>
      </c>
      <c r="AD14" s="62" t="s">
        <v>2109</v>
      </c>
      <c r="AE14" s="62" t="s">
        <v>2046</v>
      </c>
      <c r="AF14" s="62"/>
      <c r="AG14" s="62" t="s">
        <v>2095</v>
      </c>
      <c r="AH14" s="62" t="s">
        <v>2110</v>
      </c>
      <c r="AI14" s="61" t="str">
        <f t="shared" si="0"/>
        <v>Do you review pack sizes and explore delivery options in bulk or flexi tanks to streamline supply chain operations and reduce costs?_</v>
      </c>
    </row>
    <row r="15" spans="1:35" ht="247" hidden="1" thickBot="1" x14ac:dyDescent="0.4">
      <c r="A15" s="64">
        <v>3</v>
      </c>
      <c r="B15" s="62" t="s">
        <v>1451</v>
      </c>
      <c r="C15" s="62" t="s">
        <v>1452</v>
      </c>
      <c r="D15" s="62" t="s">
        <v>1224</v>
      </c>
      <c r="E15" s="62" t="s">
        <v>1453</v>
      </c>
      <c r="F15" s="62"/>
      <c r="G15" s="62" t="s">
        <v>1279</v>
      </c>
      <c r="H15" s="62" t="s">
        <v>1336</v>
      </c>
      <c r="I15" s="62"/>
      <c r="J15" s="62" t="s">
        <v>1239</v>
      </c>
      <c r="K15" s="62" t="s">
        <v>1332</v>
      </c>
      <c r="L15" s="62" t="s">
        <v>1333</v>
      </c>
      <c r="M15" s="62" t="s">
        <v>1334</v>
      </c>
      <c r="N15" s="62" t="s">
        <v>1335</v>
      </c>
      <c r="O15" s="64">
        <v>2</v>
      </c>
      <c r="P15" s="64">
        <v>0.04</v>
      </c>
      <c r="Q15" s="64">
        <v>0.1</v>
      </c>
      <c r="R15" s="64">
        <v>0.8</v>
      </c>
      <c r="S15" s="64">
        <v>6.7857142999999995E-2</v>
      </c>
      <c r="T15" s="64">
        <v>8.2857142999999994E-2</v>
      </c>
      <c r="U15" s="64">
        <v>2714285.7140000002</v>
      </c>
      <c r="V15" s="64">
        <v>3314285.7140000002</v>
      </c>
      <c r="W15" s="64">
        <v>0.02</v>
      </c>
      <c r="X15" s="64">
        <v>0.03</v>
      </c>
      <c r="Y15" s="64">
        <v>2.5000000000000001E-2</v>
      </c>
      <c r="Z15" s="64">
        <v>0.12345679</v>
      </c>
      <c r="AA15" s="64">
        <v>335097.00199999998</v>
      </c>
      <c r="AB15" s="64">
        <v>409171.076</v>
      </c>
      <c r="AC15" s="62" t="s">
        <v>1503</v>
      </c>
      <c r="AD15" s="62"/>
      <c r="AE15" s="62" t="s">
        <v>1493</v>
      </c>
      <c r="AF15" s="62"/>
      <c r="AG15" s="62" t="s">
        <v>2095</v>
      </c>
      <c r="AH15" s="62" t="s">
        <v>2110</v>
      </c>
      <c r="AI15" s="61" t="str">
        <f t="shared" si="0"/>
        <v>Do you review pack sizes and explore delivery options in bulk or flexi tanks to streamline supply chain operations and reduce costs?_</v>
      </c>
    </row>
    <row r="16" spans="1:35" ht="247" hidden="1" thickBot="1" x14ac:dyDescent="0.4">
      <c r="A16" s="64">
        <v>3</v>
      </c>
      <c r="B16" s="62" t="s">
        <v>1451</v>
      </c>
      <c r="C16" s="62" t="s">
        <v>1452</v>
      </c>
      <c r="D16" s="62" t="s">
        <v>1224</v>
      </c>
      <c r="E16" s="62" t="s">
        <v>1453</v>
      </c>
      <c r="F16" s="62"/>
      <c r="G16" s="62" t="s">
        <v>1279</v>
      </c>
      <c r="H16" s="62" t="s">
        <v>1336</v>
      </c>
      <c r="I16" s="62"/>
      <c r="J16" s="62" t="s">
        <v>1239</v>
      </c>
      <c r="K16" s="62" t="s">
        <v>1332</v>
      </c>
      <c r="L16" s="62" t="s">
        <v>1333</v>
      </c>
      <c r="M16" s="62" t="s">
        <v>1334</v>
      </c>
      <c r="N16" s="62" t="s">
        <v>1335</v>
      </c>
      <c r="O16" s="64">
        <v>2</v>
      </c>
      <c r="P16" s="64">
        <v>0.04</v>
      </c>
      <c r="Q16" s="64">
        <v>0.1</v>
      </c>
      <c r="R16" s="64">
        <v>0.8</v>
      </c>
      <c r="S16" s="64">
        <v>6.7857142999999995E-2</v>
      </c>
      <c r="T16" s="64">
        <v>8.2857142999999994E-2</v>
      </c>
      <c r="U16" s="64">
        <v>2714285.7140000002</v>
      </c>
      <c r="V16" s="64">
        <v>3314285.7140000002</v>
      </c>
      <c r="W16" s="64">
        <v>0.02</v>
      </c>
      <c r="X16" s="64">
        <v>0.03</v>
      </c>
      <c r="Y16" s="64">
        <v>2.5000000000000001E-2</v>
      </c>
      <c r="Z16" s="64">
        <v>0.12345679</v>
      </c>
      <c r="AA16" s="64">
        <v>335097.00199999998</v>
      </c>
      <c r="AB16" s="64">
        <v>409171.076</v>
      </c>
      <c r="AC16" s="62" t="s">
        <v>1500</v>
      </c>
      <c r="AD16" s="62"/>
      <c r="AE16" s="62" t="s">
        <v>1493</v>
      </c>
      <c r="AF16" s="62"/>
      <c r="AG16" s="62" t="s">
        <v>2095</v>
      </c>
      <c r="AH16" s="62" t="s">
        <v>2110</v>
      </c>
      <c r="AI16" s="61" t="str">
        <f t="shared" si="0"/>
        <v>Do you review pack sizes and explore delivery options in bulk or flexi tanks to streamline supply chain operations and reduce costs?_</v>
      </c>
    </row>
    <row r="17" spans="1:35" ht="247" hidden="1" thickBot="1" x14ac:dyDescent="0.4">
      <c r="A17" s="64">
        <v>3</v>
      </c>
      <c r="B17" s="62" t="s">
        <v>1451</v>
      </c>
      <c r="C17" s="62" t="s">
        <v>1452</v>
      </c>
      <c r="D17" s="62" t="s">
        <v>1224</v>
      </c>
      <c r="E17" s="62" t="s">
        <v>1453</v>
      </c>
      <c r="F17" s="62"/>
      <c r="G17" s="62" t="s">
        <v>1279</v>
      </c>
      <c r="H17" s="62" t="s">
        <v>1336</v>
      </c>
      <c r="I17" s="62"/>
      <c r="J17" s="62" t="s">
        <v>1239</v>
      </c>
      <c r="K17" s="62" t="s">
        <v>1332</v>
      </c>
      <c r="L17" s="62" t="s">
        <v>1333</v>
      </c>
      <c r="M17" s="62" t="s">
        <v>1334</v>
      </c>
      <c r="N17" s="62" t="s">
        <v>1335</v>
      </c>
      <c r="O17" s="64">
        <v>2</v>
      </c>
      <c r="P17" s="64">
        <v>0.04</v>
      </c>
      <c r="Q17" s="64">
        <v>0.1</v>
      </c>
      <c r="R17" s="64">
        <v>0.8</v>
      </c>
      <c r="S17" s="64">
        <v>6.7857142999999995E-2</v>
      </c>
      <c r="T17" s="64">
        <v>8.2857142999999994E-2</v>
      </c>
      <c r="U17" s="64">
        <v>2714285.7140000002</v>
      </c>
      <c r="V17" s="64">
        <v>3314285.7140000002</v>
      </c>
      <c r="W17" s="64">
        <v>0.02</v>
      </c>
      <c r="X17" s="64">
        <v>0.03</v>
      </c>
      <c r="Y17" s="64">
        <v>2.5000000000000001E-2</v>
      </c>
      <c r="Z17" s="64">
        <v>0.12345679</v>
      </c>
      <c r="AA17" s="64">
        <v>335097.00199999998</v>
      </c>
      <c r="AB17" s="64">
        <v>409171.076</v>
      </c>
      <c r="AC17" s="62" t="s">
        <v>1515</v>
      </c>
      <c r="AD17" s="62"/>
      <c r="AE17" s="62" t="s">
        <v>1493</v>
      </c>
      <c r="AF17" s="62"/>
      <c r="AG17" s="62" t="s">
        <v>2095</v>
      </c>
      <c r="AH17" s="62" t="s">
        <v>2110</v>
      </c>
      <c r="AI17" s="61" t="str">
        <f t="shared" si="0"/>
        <v>Do you review pack sizes and explore delivery options in bulk or flexi tanks to streamline supply chain operations and reduce costs?_</v>
      </c>
    </row>
    <row r="18" spans="1:35" ht="409.6" thickBot="1" x14ac:dyDescent="0.4">
      <c r="A18" s="64">
        <v>4</v>
      </c>
      <c r="B18" s="62" t="s">
        <v>1451</v>
      </c>
      <c r="C18" s="62" t="s">
        <v>1452</v>
      </c>
      <c r="D18" s="62" t="s">
        <v>1224</v>
      </c>
      <c r="E18" s="62" t="s">
        <v>1453</v>
      </c>
      <c r="F18" s="62"/>
      <c r="G18" s="62" t="s">
        <v>1291</v>
      </c>
      <c r="H18" s="62" t="s">
        <v>1379</v>
      </c>
      <c r="I18" s="62"/>
      <c r="J18" s="62" t="s">
        <v>1290</v>
      </c>
      <c r="K18" s="62" t="s">
        <v>1375</v>
      </c>
      <c r="L18" s="62" t="s">
        <v>1376</v>
      </c>
      <c r="M18" s="62" t="s">
        <v>1377</v>
      </c>
      <c r="N18" s="62" t="s">
        <v>1378</v>
      </c>
      <c r="O18" s="64">
        <v>2</v>
      </c>
      <c r="P18" s="64">
        <v>0.04</v>
      </c>
      <c r="Q18" s="64">
        <v>0.1</v>
      </c>
      <c r="R18" s="64">
        <v>0.8</v>
      </c>
      <c r="S18" s="64">
        <v>6.7857142999999995E-2</v>
      </c>
      <c r="T18" s="64">
        <v>8.2857142999999994E-2</v>
      </c>
      <c r="U18" s="64">
        <v>2714285.7140000002</v>
      </c>
      <c r="V18" s="64">
        <v>3314285.7140000002</v>
      </c>
      <c r="W18" s="64">
        <v>0.02</v>
      </c>
      <c r="X18" s="64">
        <v>0.03</v>
      </c>
      <c r="Y18" s="64">
        <v>2.5000000000000001E-2</v>
      </c>
      <c r="Z18" s="64">
        <v>0.12345679</v>
      </c>
      <c r="AA18" s="64">
        <v>335097.00199999998</v>
      </c>
      <c r="AB18" s="64">
        <v>409171.076</v>
      </c>
      <c r="AC18" s="62" t="s">
        <v>2111</v>
      </c>
      <c r="AD18" s="62" t="s">
        <v>2112</v>
      </c>
      <c r="AE18" s="62" t="s">
        <v>2046</v>
      </c>
      <c r="AF18" s="62" t="s">
        <v>2066</v>
      </c>
      <c r="AG18" s="62" t="s">
        <v>2113</v>
      </c>
      <c r="AH18" s="62" t="s">
        <v>2114</v>
      </c>
      <c r="AI18" s="61" t="str">
        <f t="shared" si="0"/>
        <v>How often do you identify opportunities to simplify your portfolio of vegetable oils to enhance procurement efficiency?_If vegetable oil PO/invoice analysis reveals identical oil grades with &gt;20% price variance across suppliers, simplify portfolio by consolidating to suppliers offering consistent pricing while maintaining quality specifications that meet &gt;80% of applications. List down those potential suppliers</v>
      </c>
    </row>
    <row r="19" spans="1:35" ht="247" hidden="1" thickBot="1" x14ac:dyDescent="0.4">
      <c r="A19" s="64">
        <v>4</v>
      </c>
      <c r="B19" s="62" t="s">
        <v>1451</v>
      </c>
      <c r="C19" s="62" t="s">
        <v>1452</v>
      </c>
      <c r="D19" s="62" t="s">
        <v>1224</v>
      </c>
      <c r="E19" s="62" t="s">
        <v>1453</v>
      </c>
      <c r="F19" s="62"/>
      <c r="G19" s="62" t="s">
        <v>1291</v>
      </c>
      <c r="H19" s="62" t="s">
        <v>1379</v>
      </c>
      <c r="I19" s="62"/>
      <c r="J19" s="62" t="s">
        <v>1290</v>
      </c>
      <c r="K19" s="62" t="s">
        <v>1375</v>
      </c>
      <c r="L19" s="62" t="s">
        <v>1376</v>
      </c>
      <c r="M19" s="62" t="s">
        <v>1377</v>
      </c>
      <c r="N19" s="62" t="s">
        <v>1378</v>
      </c>
      <c r="O19" s="64">
        <v>2</v>
      </c>
      <c r="P19" s="64">
        <v>0.04</v>
      </c>
      <c r="Q19" s="64">
        <v>0.1</v>
      </c>
      <c r="R19" s="64">
        <v>0.8</v>
      </c>
      <c r="S19" s="64">
        <v>6.7857142999999995E-2</v>
      </c>
      <c r="T19" s="64">
        <v>8.2857142999999994E-2</v>
      </c>
      <c r="U19" s="64">
        <v>2714285.7140000002</v>
      </c>
      <c r="V19" s="64">
        <v>3314285.7140000002</v>
      </c>
      <c r="W19" s="64">
        <v>0.02</v>
      </c>
      <c r="X19" s="64">
        <v>0.03</v>
      </c>
      <c r="Y19" s="64">
        <v>2.5000000000000001E-2</v>
      </c>
      <c r="Z19" s="64">
        <v>0.12345679</v>
      </c>
      <c r="AA19" s="64">
        <v>335097.00199999998</v>
      </c>
      <c r="AB19" s="64">
        <v>409171.076</v>
      </c>
      <c r="AC19" s="62" t="s">
        <v>1500</v>
      </c>
      <c r="AD19" s="62"/>
      <c r="AE19" s="62" t="s">
        <v>1493</v>
      </c>
      <c r="AF19" s="62"/>
      <c r="AG19" s="62" t="s">
        <v>2095</v>
      </c>
      <c r="AH19" s="62" t="s">
        <v>2114</v>
      </c>
      <c r="AI19" s="61" t="str">
        <f t="shared" si="0"/>
        <v>How often do you identify opportunities to simplify your portfolio of vegetable oils to enhance procurement efficiency?_</v>
      </c>
    </row>
    <row r="20" spans="1:35" ht="247" hidden="1" thickBot="1" x14ac:dyDescent="0.4">
      <c r="A20" s="64">
        <v>4</v>
      </c>
      <c r="B20" s="62" t="s">
        <v>1451</v>
      </c>
      <c r="C20" s="62" t="s">
        <v>1452</v>
      </c>
      <c r="D20" s="62" t="s">
        <v>1224</v>
      </c>
      <c r="E20" s="62" t="s">
        <v>1453</v>
      </c>
      <c r="F20" s="62"/>
      <c r="G20" s="62" t="s">
        <v>1291</v>
      </c>
      <c r="H20" s="62" t="s">
        <v>1379</v>
      </c>
      <c r="I20" s="62"/>
      <c r="J20" s="62" t="s">
        <v>1290</v>
      </c>
      <c r="K20" s="62" t="s">
        <v>1375</v>
      </c>
      <c r="L20" s="62" t="s">
        <v>1376</v>
      </c>
      <c r="M20" s="62" t="s">
        <v>1377</v>
      </c>
      <c r="N20" s="62" t="s">
        <v>1378</v>
      </c>
      <c r="O20" s="64">
        <v>2</v>
      </c>
      <c r="P20" s="64">
        <v>0.04</v>
      </c>
      <c r="Q20" s="64">
        <v>0.1</v>
      </c>
      <c r="R20" s="64">
        <v>0.8</v>
      </c>
      <c r="S20" s="64">
        <v>6.7857142999999995E-2</v>
      </c>
      <c r="T20" s="64">
        <v>8.2857142999999994E-2</v>
      </c>
      <c r="U20" s="64">
        <v>2714285.7140000002</v>
      </c>
      <c r="V20" s="64">
        <v>3314285.7140000002</v>
      </c>
      <c r="W20" s="64">
        <v>0.02</v>
      </c>
      <c r="X20" s="64">
        <v>0.03</v>
      </c>
      <c r="Y20" s="64">
        <v>2.5000000000000001E-2</v>
      </c>
      <c r="Z20" s="64">
        <v>0.12345679</v>
      </c>
      <c r="AA20" s="64">
        <v>335097.00199999998</v>
      </c>
      <c r="AB20" s="64">
        <v>409171.076</v>
      </c>
      <c r="AC20" s="62" t="s">
        <v>1515</v>
      </c>
      <c r="AD20" s="62"/>
      <c r="AE20" s="62" t="s">
        <v>1493</v>
      </c>
      <c r="AF20" s="62"/>
      <c r="AG20" s="62" t="s">
        <v>2095</v>
      </c>
      <c r="AH20" s="62" t="s">
        <v>2114</v>
      </c>
      <c r="AI20" s="61" t="str">
        <f t="shared" si="0"/>
        <v>How often do you identify opportunities to simplify your portfolio of vegetable oils to enhance procurement efficiency?_</v>
      </c>
    </row>
    <row r="21" spans="1:35" ht="409.6" thickBot="1" x14ac:dyDescent="0.4">
      <c r="A21" s="64">
        <v>5</v>
      </c>
      <c r="B21" s="62" t="s">
        <v>1451</v>
      </c>
      <c r="C21" s="62" t="s">
        <v>1452</v>
      </c>
      <c r="D21" s="62" t="s">
        <v>1224</v>
      </c>
      <c r="E21" s="62" t="s">
        <v>1453</v>
      </c>
      <c r="F21" s="62"/>
      <c r="G21" s="62" t="s">
        <v>1281</v>
      </c>
      <c r="H21" s="62" t="s">
        <v>1326</v>
      </c>
      <c r="I21" s="62"/>
      <c r="J21" s="62" t="s">
        <v>1239</v>
      </c>
      <c r="K21" s="62" t="s">
        <v>1322</v>
      </c>
      <c r="L21" s="62" t="s">
        <v>1323</v>
      </c>
      <c r="M21" s="62" t="s">
        <v>1324</v>
      </c>
      <c r="N21" s="62" t="s">
        <v>1325</v>
      </c>
      <c r="O21" s="64">
        <v>4</v>
      </c>
      <c r="P21" s="64">
        <v>0.04</v>
      </c>
      <c r="Q21" s="64">
        <v>0.1</v>
      </c>
      <c r="R21" s="64">
        <v>0.8</v>
      </c>
      <c r="S21" s="64">
        <v>6.7857142999999995E-2</v>
      </c>
      <c r="T21" s="64">
        <v>8.2857142999999994E-2</v>
      </c>
      <c r="U21" s="64">
        <v>2714285.7140000002</v>
      </c>
      <c r="V21" s="64">
        <v>3314285.7140000002</v>
      </c>
      <c r="W21" s="64">
        <v>0.02</v>
      </c>
      <c r="X21" s="64">
        <v>0.03</v>
      </c>
      <c r="Y21" s="64">
        <v>0.02</v>
      </c>
      <c r="Z21" s="64">
        <v>9.8765432E-2</v>
      </c>
      <c r="AA21" s="64">
        <v>268077.60100000002</v>
      </c>
      <c r="AB21" s="64">
        <v>327336.86099999998</v>
      </c>
      <c r="AC21" s="62" t="s">
        <v>2115</v>
      </c>
      <c r="AD21" s="62" t="s">
        <v>1468</v>
      </c>
      <c r="AE21" s="62" t="s">
        <v>2046</v>
      </c>
      <c r="AF21" s="62" t="s">
        <v>2116</v>
      </c>
      <c r="AG21" s="62" t="s">
        <v>2117</v>
      </c>
      <c r="AH21" s="62" t="s">
        <v>2118</v>
      </c>
      <c r="AI21" s="61" t="str">
        <f t="shared" si="0"/>
        <v>Have you undertaken specification rationalization to enable volume bundling and reduce sourcing complexity?_If the lowest 10-20% of total spend (by value) is distributed across more than 70-80% of the total unique suppliers, then significant opportunity exists for both administrative cost reduction (managing fewer vendors) and price savings through consolidation. Call out some of the tail spend suppliers as examples</v>
      </c>
    </row>
    <row r="22" spans="1:35" ht="409.6" thickBot="1" x14ac:dyDescent="0.4">
      <c r="A22" s="64">
        <v>5</v>
      </c>
      <c r="B22" s="62" t="s">
        <v>1451</v>
      </c>
      <c r="C22" s="62" t="s">
        <v>1452</v>
      </c>
      <c r="D22" s="62" t="s">
        <v>1224</v>
      </c>
      <c r="E22" s="62" t="s">
        <v>1453</v>
      </c>
      <c r="F22" s="62"/>
      <c r="G22" s="62" t="s">
        <v>1281</v>
      </c>
      <c r="H22" s="62" t="s">
        <v>1326</v>
      </c>
      <c r="I22" s="62"/>
      <c r="J22" s="62" t="s">
        <v>1239</v>
      </c>
      <c r="K22" s="62" t="s">
        <v>1322</v>
      </c>
      <c r="L22" s="62" t="s">
        <v>1323</v>
      </c>
      <c r="M22" s="62" t="s">
        <v>1324</v>
      </c>
      <c r="N22" s="62" t="s">
        <v>1325</v>
      </c>
      <c r="O22" s="64">
        <v>4</v>
      </c>
      <c r="P22" s="64">
        <v>0.04</v>
      </c>
      <c r="Q22" s="64">
        <v>0.1</v>
      </c>
      <c r="R22" s="64">
        <v>0.8</v>
      </c>
      <c r="S22" s="64">
        <v>6.7857142999999995E-2</v>
      </c>
      <c r="T22" s="64">
        <v>8.2857142999999994E-2</v>
      </c>
      <c r="U22" s="64">
        <v>2714285.7140000002</v>
      </c>
      <c r="V22" s="64">
        <v>3314285.7140000002</v>
      </c>
      <c r="W22" s="64">
        <v>0.02</v>
      </c>
      <c r="X22" s="64">
        <v>0.03</v>
      </c>
      <c r="Y22" s="64">
        <v>0.02</v>
      </c>
      <c r="Z22" s="64">
        <v>9.8765432E-2</v>
      </c>
      <c r="AA22" s="64">
        <v>268077.60100000002</v>
      </c>
      <c r="AB22" s="64">
        <v>327336.86099999998</v>
      </c>
      <c r="AC22" s="62" t="s">
        <v>2111</v>
      </c>
      <c r="AD22" s="62" t="s">
        <v>2112</v>
      </c>
      <c r="AE22" s="62" t="s">
        <v>2046</v>
      </c>
      <c r="AF22" s="62" t="s">
        <v>2119</v>
      </c>
      <c r="AG22" s="62" t="s">
        <v>2120</v>
      </c>
      <c r="AH22" s="62" t="s">
        <v>2118</v>
      </c>
      <c r="AI22" s="61" t="str">
        <f t="shared" si="0"/>
        <v>Have you undertaken specification rationalization to enable volume bundling and reduce sourcing complexity?_If analysis of PO/invoice line-item data for similar items/SKUs (e.g., different grades of the same material) reveals significant unit prices (e.g., &gt;15% variance) in the time frame, then there's an immediate, quantifiable savings opportunity through price standardization. Highlight examples of such high price variance yet high similarilty SKUs</v>
      </c>
    </row>
    <row r="23" spans="1:35" ht="218" hidden="1" thickBot="1" x14ac:dyDescent="0.4">
      <c r="A23" s="64">
        <v>5</v>
      </c>
      <c r="B23" s="62" t="s">
        <v>1451</v>
      </c>
      <c r="C23" s="62" t="s">
        <v>1452</v>
      </c>
      <c r="D23" s="62" t="s">
        <v>1224</v>
      </c>
      <c r="E23" s="62" t="s">
        <v>1453</v>
      </c>
      <c r="F23" s="62"/>
      <c r="G23" s="62" t="s">
        <v>1281</v>
      </c>
      <c r="H23" s="62" t="s">
        <v>1326</v>
      </c>
      <c r="I23" s="62"/>
      <c r="J23" s="62" t="s">
        <v>1239</v>
      </c>
      <c r="K23" s="62" t="s">
        <v>1322</v>
      </c>
      <c r="L23" s="62" t="s">
        <v>1323</v>
      </c>
      <c r="M23" s="62" t="s">
        <v>1324</v>
      </c>
      <c r="N23" s="62" t="s">
        <v>1325</v>
      </c>
      <c r="O23" s="64">
        <v>4</v>
      </c>
      <c r="P23" s="64">
        <v>0.04</v>
      </c>
      <c r="Q23" s="64">
        <v>0.1</v>
      </c>
      <c r="R23" s="64">
        <v>0.8</v>
      </c>
      <c r="S23" s="64">
        <v>6.7857142999999995E-2</v>
      </c>
      <c r="T23" s="64">
        <v>8.2857142999999994E-2</v>
      </c>
      <c r="U23" s="64">
        <v>2714285.7140000002</v>
      </c>
      <c r="V23" s="64">
        <v>3314285.7140000002</v>
      </c>
      <c r="W23" s="64">
        <v>0.02</v>
      </c>
      <c r="X23" s="64">
        <v>0.03</v>
      </c>
      <c r="Y23" s="64">
        <v>0.02</v>
      </c>
      <c r="Z23" s="64">
        <v>9.8765432E-2</v>
      </c>
      <c r="AA23" s="64">
        <v>268077.60100000002</v>
      </c>
      <c r="AB23" s="64">
        <v>327336.86099999998</v>
      </c>
      <c r="AC23" s="62" t="s">
        <v>1507</v>
      </c>
      <c r="AD23" s="62"/>
      <c r="AE23" s="62" t="s">
        <v>1493</v>
      </c>
      <c r="AF23" s="62"/>
      <c r="AG23" s="62" t="s">
        <v>2095</v>
      </c>
      <c r="AH23" s="62" t="s">
        <v>2118</v>
      </c>
      <c r="AI23" s="61" t="str">
        <f t="shared" si="0"/>
        <v>Have you undertaken specification rationalization to enable volume bundling and reduce sourcing complexity?_</v>
      </c>
    </row>
    <row r="24" spans="1:35" ht="218" hidden="1" thickBot="1" x14ac:dyDescent="0.4">
      <c r="A24" s="64">
        <v>5</v>
      </c>
      <c r="B24" s="62" t="s">
        <v>1451</v>
      </c>
      <c r="C24" s="62" t="s">
        <v>1452</v>
      </c>
      <c r="D24" s="62" t="s">
        <v>1224</v>
      </c>
      <c r="E24" s="62" t="s">
        <v>1453</v>
      </c>
      <c r="F24" s="62"/>
      <c r="G24" s="62" t="s">
        <v>1281</v>
      </c>
      <c r="H24" s="62" t="s">
        <v>1326</v>
      </c>
      <c r="I24" s="62"/>
      <c r="J24" s="62" t="s">
        <v>1239</v>
      </c>
      <c r="K24" s="62" t="s">
        <v>1322</v>
      </c>
      <c r="L24" s="62" t="s">
        <v>1323</v>
      </c>
      <c r="M24" s="62" t="s">
        <v>1324</v>
      </c>
      <c r="N24" s="62" t="s">
        <v>1325</v>
      </c>
      <c r="O24" s="64">
        <v>4</v>
      </c>
      <c r="P24" s="64">
        <v>0.04</v>
      </c>
      <c r="Q24" s="64">
        <v>0.1</v>
      </c>
      <c r="R24" s="64">
        <v>0.8</v>
      </c>
      <c r="S24" s="64">
        <v>6.7857142999999995E-2</v>
      </c>
      <c r="T24" s="64">
        <v>8.2857142999999994E-2</v>
      </c>
      <c r="U24" s="64">
        <v>2714285.7140000002</v>
      </c>
      <c r="V24" s="64">
        <v>3314285.7140000002</v>
      </c>
      <c r="W24" s="64">
        <v>0.02</v>
      </c>
      <c r="X24" s="64">
        <v>0.03</v>
      </c>
      <c r="Y24" s="64">
        <v>0.02</v>
      </c>
      <c r="Z24" s="64">
        <v>9.8765432E-2</v>
      </c>
      <c r="AA24" s="64">
        <v>268077.60100000002</v>
      </c>
      <c r="AB24" s="64">
        <v>327336.86099999998</v>
      </c>
      <c r="AC24" s="62" t="s">
        <v>1515</v>
      </c>
      <c r="AD24" s="62"/>
      <c r="AE24" s="62" t="s">
        <v>1493</v>
      </c>
      <c r="AF24" s="62"/>
      <c r="AG24" s="62" t="s">
        <v>2095</v>
      </c>
      <c r="AH24" s="62" t="s">
        <v>2118</v>
      </c>
      <c r="AI24" s="61" t="str">
        <f t="shared" si="0"/>
        <v>Have you undertaken specification rationalization to enable volume bundling and reduce sourcing complexity?_</v>
      </c>
    </row>
    <row r="25" spans="1:35" ht="232.5" hidden="1" thickBot="1" x14ac:dyDescent="0.4">
      <c r="A25" s="64">
        <v>6</v>
      </c>
      <c r="B25" s="62" t="s">
        <v>1451</v>
      </c>
      <c r="C25" s="62" t="s">
        <v>1452</v>
      </c>
      <c r="D25" s="62" t="s">
        <v>1224</v>
      </c>
      <c r="E25" s="62" t="s">
        <v>1453</v>
      </c>
      <c r="F25" s="62"/>
      <c r="G25" s="62" t="s">
        <v>1284</v>
      </c>
      <c r="H25" s="62" t="s">
        <v>2121</v>
      </c>
      <c r="I25" s="62"/>
      <c r="J25" s="62" t="s">
        <v>1260</v>
      </c>
      <c r="K25" s="62" t="s">
        <v>1302</v>
      </c>
      <c r="L25" s="62" t="s">
        <v>1303</v>
      </c>
      <c r="M25" s="62" t="s">
        <v>1304</v>
      </c>
      <c r="N25" s="62" t="s">
        <v>1305</v>
      </c>
      <c r="O25" s="64">
        <v>1</v>
      </c>
      <c r="P25" s="64">
        <v>0.04</v>
      </c>
      <c r="Q25" s="64">
        <v>0.1</v>
      </c>
      <c r="R25" s="64">
        <v>0.8</v>
      </c>
      <c r="S25" s="64">
        <v>6.7857142999999995E-2</v>
      </c>
      <c r="T25" s="64">
        <v>8.2857142999999994E-2</v>
      </c>
      <c r="U25" s="64">
        <v>2714285.7140000002</v>
      </c>
      <c r="V25" s="64">
        <v>3314285.7140000002</v>
      </c>
      <c r="W25" s="64">
        <v>0.02</v>
      </c>
      <c r="X25" s="64">
        <v>0.05</v>
      </c>
      <c r="Y25" s="64">
        <v>4.2500000000000003E-2</v>
      </c>
      <c r="Z25" s="64">
        <v>0.209876543</v>
      </c>
      <c r="AA25" s="64">
        <v>569664.90300000005</v>
      </c>
      <c r="AB25" s="64">
        <v>695555.55599999998</v>
      </c>
      <c r="AC25" s="62" t="s">
        <v>2096</v>
      </c>
      <c r="AD25" s="62" t="s">
        <v>2097</v>
      </c>
      <c r="AE25" s="62" t="s">
        <v>2046</v>
      </c>
      <c r="AF25" s="62"/>
      <c r="AG25" s="62" t="s">
        <v>2122</v>
      </c>
      <c r="AH25" s="62" t="s">
        <v>2123</v>
      </c>
      <c r="AI25" s="61" t="str">
        <f t="shared" si="0"/>
        <v>Are financial instruments, such as hedging or long-term contracts, used to manage risks in vegetable oil procurement?_</v>
      </c>
    </row>
    <row r="26" spans="1:35" ht="232.5" hidden="1" thickBot="1" x14ac:dyDescent="0.4">
      <c r="A26" s="64">
        <v>6</v>
      </c>
      <c r="B26" s="62" t="s">
        <v>1451</v>
      </c>
      <c r="C26" s="62" t="s">
        <v>1452</v>
      </c>
      <c r="D26" s="62" t="s">
        <v>1224</v>
      </c>
      <c r="E26" s="62" t="s">
        <v>1453</v>
      </c>
      <c r="F26" s="62"/>
      <c r="G26" s="62" t="s">
        <v>1284</v>
      </c>
      <c r="H26" s="62" t="s">
        <v>2121</v>
      </c>
      <c r="I26" s="62"/>
      <c r="J26" s="62" t="s">
        <v>1260</v>
      </c>
      <c r="K26" s="62" t="s">
        <v>1302</v>
      </c>
      <c r="L26" s="62" t="s">
        <v>1303</v>
      </c>
      <c r="M26" s="62" t="s">
        <v>1304</v>
      </c>
      <c r="N26" s="62" t="s">
        <v>1305</v>
      </c>
      <c r="O26" s="64">
        <v>1</v>
      </c>
      <c r="P26" s="64">
        <v>0.04</v>
      </c>
      <c r="Q26" s="64">
        <v>0.1</v>
      </c>
      <c r="R26" s="64">
        <v>0.8</v>
      </c>
      <c r="S26" s="64">
        <v>6.7857142999999995E-2</v>
      </c>
      <c r="T26" s="64">
        <v>8.2857142999999994E-2</v>
      </c>
      <c r="U26" s="64">
        <v>2714285.7140000002</v>
      </c>
      <c r="V26" s="64">
        <v>3314285.7140000002</v>
      </c>
      <c r="W26" s="64">
        <v>0.02</v>
      </c>
      <c r="X26" s="64">
        <v>0.05</v>
      </c>
      <c r="Y26" s="64">
        <v>4.2500000000000003E-2</v>
      </c>
      <c r="Z26" s="64">
        <v>0.209876543</v>
      </c>
      <c r="AA26" s="64">
        <v>569664.90300000005</v>
      </c>
      <c r="AB26" s="64">
        <v>695555.55599999998</v>
      </c>
      <c r="AC26" s="62" t="s">
        <v>2106</v>
      </c>
      <c r="AD26" s="62" t="s">
        <v>2107</v>
      </c>
      <c r="AE26" s="62" t="s">
        <v>2046</v>
      </c>
      <c r="AF26" s="62"/>
      <c r="AG26" s="62" t="s">
        <v>2095</v>
      </c>
      <c r="AH26" s="62" t="s">
        <v>2123</v>
      </c>
      <c r="AI26" s="61" t="str">
        <f t="shared" si="0"/>
        <v>Are financial instruments, such as hedging or long-term contracts, used to manage risks in vegetable oil procurement?_</v>
      </c>
    </row>
    <row r="27" spans="1:35" ht="232.5" hidden="1" thickBot="1" x14ac:dyDescent="0.4">
      <c r="A27" s="64">
        <v>6</v>
      </c>
      <c r="B27" s="62" t="s">
        <v>1451</v>
      </c>
      <c r="C27" s="62" t="s">
        <v>1452</v>
      </c>
      <c r="D27" s="62" t="s">
        <v>1224</v>
      </c>
      <c r="E27" s="62" t="s">
        <v>1453</v>
      </c>
      <c r="F27" s="62"/>
      <c r="G27" s="62" t="s">
        <v>1284</v>
      </c>
      <c r="H27" s="62" t="s">
        <v>2121</v>
      </c>
      <c r="I27" s="62"/>
      <c r="J27" s="62" t="s">
        <v>1260</v>
      </c>
      <c r="K27" s="62" t="s">
        <v>1302</v>
      </c>
      <c r="L27" s="62" t="s">
        <v>1303</v>
      </c>
      <c r="M27" s="62" t="s">
        <v>1304</v>
      </c>
      <c r="N27" s="62" t="s">
        <v>1305</v>
      </c>
      <c r="O27" s="64">
        <v>1</v>
      </c>
      <c r="P27" s="64">
        <v>0.04</v>
      </c>
      <c r="Q27" s="64">
        <v>0.1</v>
      </c>
      <c r="R27" s="64">
        <v>0.8</v>
      </c>
      <c r="S27" s="64">
        <v>6.7857142999999995E-2</v>
      </c>
      <c r="T27" s="64">
        <v>8.2857142999999994E-2</v>
      </c>
      <c r="U27" s="64">
        <v>2714285.7140000002</v>
      </c>
      <c r="V27" s="64">
        <v>3314285.7140000002</v>
      </c>
      <c r="W27" s="64">
        <v>0.02</v>
      </c>
      <c r="X27" s="64">
        <v>0.05</v>
      </c>
      <c r="Y27" s="64">
        <v>4.2500000000000003E-2</v>
      </c>
      <c r="Z27" s="64">
        <v>0.209876543</v>
      </c>
      <c r="AA27" s="64">
        <v>569664.90300000005</v>
      </c>
      <c r="AB27" s="64">
        <v>695555.55599999998</v>
      </c>
      <c r="AC27" s="62" t="s">
        <v>1500</v>
      </c>
      <c r="AD27" s="62"/>
      <c r="AE27" s="62" t="s">
        <v>1493</v>
      </c>
      <c r="AF27" s="62"/>
      <c r="AG27" s="62" t="s">
        <v>2095</v>
      </c>
      <c r="AH27" s="62" t="s">
        <v>2123</v>
      </c>
      <c r="AI27" s="61" t="str">
        <f t="shared" si="0"/>
        <v>Are financial instruments, such as hedging or long-term contracts, used to manage risks in vegetable oil procurement?_</v>
      </c>
    </row>
    <row r="28" spans="1:35" ht="409.6" thickBot="1" x14ac:dyDescent="0.4">
      <c r="A28" s="64">
        <v>6</v>
      </c>
      <c r="B28" s="62" t="s">
        <v>1451</v>
      </c>
      <c r="C28" s="62" t="s">
        <v>1452</v>
      </c>
      <c r="D28" s="62" t="s">
        <v>1224</v>
      </c>
      <c r="E28" s="62" t="s">
        <v>1453</v>
      </c>
      <c r="F28" s="62"/>
      <c r="G28" s="62" t="s">
        <v>1284</v>
      </c>
      <c r="H28" s="62" t="s">
        <v>2121</v>
      </c>
      <c r="I28" s="62"/>
      <c r="J28" s="62" t="s">
        <v>1260</v>
      </c>
      <c r="K28" s="62" t="s">
        <v>1302</v>
      </c>
      <c r="L28" s="62" t="s">
        <v>1303</v>
      </c>
      <c r="M28" s="62" t="s">
        <v>1304</v>
      </c>
      <c r="N28" s="62" t="s">
        <v>1305</v>
      </c>
      <c r="O28" s="64">
        <v>1</v>
      </c>
      <c r="P28" s="64">
        <v>0.04</v>
      </c>
      <c r="Q28" s="64">
        <v>0.1</v>
      </c>
      <c r="R28" s="64">
        <v>0.8</v>
      </c>
      <c r="S28" s="64">
        <v>6.7857142999999995E-2</v>
      </c>
      <c r="T28" s="64">
        <v>8.2857142999999994E-2</v>
      </c>
      <c r="U28" s="64">
        <v>2714285.7140000002</v>
      </c>
      <c r="V28" s="64">
        <v>3314285.7140000002</v>
      </c>
      <c r="W28" s="64">
        <v>0.02</v>
      </c>
      <c r="X28" s="64">
        <v>0.05</v>
      </c>
      <c r="Y28" s="64">
        <v>4.2500000000000003E-2</v>
      </c>
      <c r="Z28" s="64">
        <v>0.209876543</v>
      </c>
      <c r="AA28" s="64">
        <v>569664.90300000005</v>
      </c>
      <c r="AB28" s="64">
        <v>695555.55599999998</v>
      </c>
      <c r="AC28" s="62" t="s">
        <v>1515</v>
      </c>
      <c r="AD28" s="62"/>
      <c r="AE28" s="62" t="s">
        <v>1493</v>
      </c>
      <c r="AF28" s="62" t="s">
        <v>2124</v>
      </c>
      <c r="AG28" s="62" t="s">
        <v>2089</v>
      </c>
      <c r="AH28" s="62" t="s">
        <v>2123</v>
      </c>
      <c r="AI28" s="61" t="str">
        <f t="shared" si="0"/>
        <v>Are financial instruments, such as hedging or long-term contracts, used to manage risks in vegetable oil procurement?_If a high-spend category (e.g., top 10% of total spend categories) or a critical category is supplied by only one unique supplier, then the client faces elevated supply chain and operational risk due to dependency. List down those suppliers including financially stable alternatives and emerging market suppliers</v>
      </c>
    </row>
    <row r="29" spans="1:35" ht="232.5" hidden="1" thickBot="1" x14ac:dyDescent="0.4">
      <c r="A29" s="64">
        <v>6</v>
      </c>
      <c r="B29" s="62" t="s">
        <v>1451</v>
      </c>
      <c r="C29" s="62" t="s">
        <v>1452</v>
      </c>
      <c r="D29" s="62" t="s">
        <v>1224</v>
      </c>
      <c r="E29" s="62" t="s">
        <v>1453</v>
      </c>
      <c r="F29" s="62"/>
      <c r="G29" s="62" t="s">
        <v>1284</v>
      </c>
      <c r="H29" s="62" t="s">
        <v>2121</v>
      </c>
      <c r="I29" s="62"/>
      <c r="J29" s="62" t="s">
        <v>1260</v>
      </c>
      <c r="K29" s="62" t="s">
        <v>1302</v>
      </c>
      <c r="L29" s="62" t="s">
        <v>1303</v>
      </c>
      <c r="M29" s="62" t="s">
        <v>1304</v>
      </c>
      <c r="N29" s="62" t="s">
        <v>1305</v>
      </c>
      <c r="O29" s="64">
        <v>1</v>
      </c>
      <c r="P29" s="64">
        <v>0.04</v>
      </c>
      <c r="Q29" s="64">
        <v>0.1</v>
      </c>
      <c r="R29" s="64">
        <v>0.8</v>
      </c>
      <c r="S29" s="64">
        <v>6.7857142999999995E-2</v>
      </c>
      <c r="T29" s="64">
        <v>8.2857142999999994E-2</v>
      </c>
      <c r="U29" s="64">
        <v>2714285.7140000002</v>
      </c>
      <c r="V29" s="64">
        <v>3314285.7140000002</v>
      </c>
      <c r="W29" s="64">
        <v>0.02</v>
      </c>
      <c r="X29" s="64">
        <v>0.05</v>
      </c>
      <c r="Y29" s="64">
        <v>4.2500000000000003E-2</v>
      </c>
      <c r="Z29" s="64">
        <v>0.209876543</v>
      </c>
      <c r="AA29" s="64">
        <v>569664.90300000005</v>
      </c>
      <c r="AB29" s="64">
        <v>695555.55599999998</v>
      </c>
      <c r="AC29" s="62" t="s">
        <v>2125</v>
      </c>
      <c r="AD29" s="62" t="s">
        <v>2126</v>
      </c>
      <c r="AE29" s="62" t="s">
        <v>2046</v>
      </c>
      <c r="AF29" s="62"/>
      <c r="AG29" s="62" t="s">
        <v>2095</v>
      </c>
      <c r="AH29" s="62" t="s">
        <v>2123</v>
      </c>
      <c r="AI29" s="61" t="str">
        <f t="shared" si="0"/>
        <v>Are financial instruments, such as hedging or long-term contracts, used to manage risks in vegetable oil procurement?_</v>
      </c>
    </row>
    <row r="30" spans="1:35" ht="276" hidden="1" thickBot="1" x14ac:dyDescent="0.4">
      <c r="A30" s="64">
        <v>7</v>
      </c>
      <c r="B30" s="62" t="s">
        <v>1451</v>
      </c>
      <c r="C30" s="62" t="s">
        <v>1452</v>
      </c>
      <c r="D30" s="62" t="s">
        <v>1224</v>
      </c>
      <c r="E30" s="62" t="s">
        <v>1453</v>
      </c>
      <c r="F30" s="62"/>
      <c r="G30" s="62" t="s">
        <v>1278</v>
      </c>
      <c r="H30" s="62" t="s">
        <v>1331</v>
      </c>
      <c r="I30" s="62"/>
      <c r="J30" s="62" t="s">
        <v>1277</v>
      </c>
      <c r="K30" s="62" t="s">
        <v>1327</v>
      </c>
      <c r="L30" s="62" t="s">
        <v>1328</v>
      </c>
      <c r="M30" s="62" t="s">
        <v>1329</v>
      </c>
      <c r="N30" s="62" t="s">
        <v>1330</v>
      </c>
      <c r="O30" s="64">
        <v>1</v>
      </c>
      <c r="P30" s="64">
        <v>0.04</v>
      </c>
      <c r="Q30" s="64">
        <v>0.1</v>
      </c>
      <c r="R30" s="64">
        <v>0.8</v>
      </c>
      <c r="S30" s="64">
        <v>6.7857142999999995E-2</v>
      </c>
      <c r="T30" s="64">
        <v>8.2857142999999994E-2</v>
      </c>
      <c r="U30" s="64">
        <v>2714285.7140000002</v>
      </c>
      <c r="V30" s="64">
        <v>3314285.7140000002</v>
      </c>
      <c r="W30" s="64">
        <v>0.02</v>
      </c>
      <c r="X30" s="64">
        <v>0.03</v>
      </c>
      <c r="Y30" s="64">
        <v>2.75E-2</v>
      </c>
      <c r="Z30" s="64">
        <v>0.13580246900000001</v>
      </c>
      <c r="AA30" s="64">
        <v>368606.70199999999</v>
      </c>
      <c r="AB30" s="64">
        <v>450088.18300000002</v>
      </c>
      <c r="AC30" s="62" t="s">
        <v>1454</v>
      </c>
      <c r="AD30" s="62" t="s">
        <v>1455</v>
      </c>
      <c r="AE30" s="62" t="s">
        <v>2046</v>
      </c>
      <c r="AF30" s="62"/>
      <c r="AG30" s="62" t="s">
        <v>2087</v>
      </c>
      <c r="AH30" s="62" t="s">
        <v>2127</v>
      </c>
      <c r="AI30" s="61" t="str">
        <f t="shared" si="0"/>
        <v>Have you considered shifting sourcing origins to take advantage of cost or availability benefits? If so, what challenges have you faced?_</v>
      </c>
    </row>
    <row r="31" spans="1:35" ht="276" hidden="1" thickBot="1" x14ac:dyDescent="0.4">
      <c r="A31" s="64">
        <v>7</v>
      </c>
      <c r="B31" s="62" t="s">
        <v>1451</v>
      </c>
      <c r="C31" s="62" t="s">
        <v>1452</v>
      </c>
      <c r="D31" s="62" t="s">
        <v>1224</v>
      </c>
      <c r="E31" s="62" t="s">
        <v>1453</v>
      </c>
      <c r="F31" s="62"/>
      <c r="G31" s="62" t="s">
        <v>1278</v>
      </c>
      <c r="H31" s="62" t="s">
        <v>1331</v>
      </c>
      <c r="I31" s="62"/>
      <c r="J31" s="62" t="s">
        <v>1277</v>
      </c>
      <c r="K31" s="62" t="s">
        <v>1327</v>
      </c>
      <c r="L31" s="62" t="s">
        <v>1328</v>
      </c>
      <c r="M31" s="62" t="s">
        <v>1329</v>
      </c>
      <c r="N31" s="62" t="s">
        <v>1330</v>
      </c>
      <c r="O31" s="64">
        <v>1</v>
      </c>
      <c r="P31" s="64">
        <v>0.04</v>
      </c>
      <c r="Q31" s="64">
        <v>0.1</v>
      </c>
      <c r="R31" s="64">
        <v>0.8</v>
      </c>
      <c r="S31" s="64">
        <v>6.7857142999999995E-2</v>
      </c>
      <c r="T31" s="64">
        <v>8.2857142999999994E-2</v>
      </c>
      <c r="U31" s="64">
        <v>2714285.7140000002</v>
      </c>
      <c r="V31" s="64">
        <v>3314285.7140000002</v>
      </c>
      <c r="W31" s="64">
        <v>0.02</v>
      </c>
      <c r="X31" s="64">
        <v>0.03</v>
      </c>
      <c r="Y31" s="64">
        <v>2.75E-2</v>
      </c>
      <c r="Z31" s="64">
        <v>0.13580246900000001</v>
      </c>
      <c r="AA31" s="64">
        <v>368606.70199999999</v>
      </c>
      <c r="AB31" s="64">
        <v>450088.18300000002</v>
      </c>
      <c r="AC31" s="62" t="s">
        <v>2108</v>
      </c>
      <c r="AD31" s="62" t="s">
        <v>2109</v>
      </c>
      <c r="AE31" s="62" t="s">
        <v>2046</v>
      </c>
      <c r="AF31" s="62"/>
      <c r="AG31" s="62" t="s">
        <v>2095</v>
      </c>
      <c r="AH31" s="62" t="s">
        <v>2127</v>
      </c>
      <c r="AI31" s="61" t="str">
        <f t="shared" si="0"/>
        <v>Have you considered shifting sourcing origins to take advantage of cost or availability benefits? If so, what challenges have you faced?_</v>
      </c>
    </row>
    <row r="32" spans="1:35" ht="409.6" thickBot="1" x14ac:dyDescent="0.4">
      <c r="A32" s="64">
        <v>7</v>
      </c>
      <c r="B32" s="62" t="s">
        <v>1451</v>
      </c>
      <c r="C32" s="62" t="s">
        <v>1452</v>
      </c>
      <c r="D32" s="62" t="s">
        <v>1224</v>
      </c>
      <c r="E32" s="62" t="s">
        <v>1453</v>
      </c>
      <c r="F32" s="62"/>
      <c r="G32" s="62" t="s">
        <v>1278</v>
      </c>
      <c r="H32" s="62" t="s">
        <v>1331</v>
      </c>
      <c r="I32" s="62"/>
      <c r="J32" s="62" t="s">
        <v>1277</v>
      </c>
      <c r="K32" s="62" t="s">
        <v>1327</v>
      </c>
      <c r="L32" s="62" t="s">
        <v>1328</v>
      </c>
      <c r="M32" s="62" t="s">
        <v>1329</v>
      </c>
      <c r="N32" s="62" t="s">
        <v>1330</v>
      </c>
      <c r="O32" s="64">
        <v>1</v>
      </c>
      <c r="P32" s="64">
        <v>0.04</v>
      </c>
      <c r="Q32" s="64">
        <v>0.1</v>
      </c>
      <c r="R32" s="64">
        <v>0.8</v>
      </c>
      <c r="S32" s="64">
        <v>6.7857142999999995E-2</v>
      </c>
      <c r="T32" s="64">
        <v>8.2857142999999994E-2</v>
      </c>
      <c r="U32" s="64">
        <v>2714285.7140000002</v>
      </c>
      <c r="V32" s="64">
        <v>3314285.7140000002</v>
      </c>
      <c r="W32" s="64">
        <v>0.02</v>
      </c>
      <c r="X32" s="64">
        <v>0.03</v>
      </c>
      <c r="Y32" s="64">
        <v>2.75E-2</v>
      </c>
      <c r="Z32" s="64">
        <v>0.13580246900000001</v>
      </c>
      <c r="AA32" s="64">
        <v>368606.70199999999</v>
      </c>
      <c r="AB32" s="64">
        <v>450088.18300000002</v>
      </c>
      <c r="AC32" s="62" t="s">
        <v>1504</v>
      </c>
      <c r="AD32" s="62"/>
      <c r="AE32" s="62" t="s">
        <v>1493</v>
      </c>
      <c r="AF32" s="62" t="s">
        <v>2128</v>
      </c>
      <c r="AG32" s="62" t="s">
        <v>2095</v>
      </c>
      <c r="AH32" s="62" t="s">
        <v>2127</v>
      </c>
      <c r="AI32" s="61" t="str">
        <f t="shared" si="0"/>
        <v>Have you considered shifting sourcing origins to take advantage of cost or availability benefits? If so, what challenges have you faced?_Use export data to identify top exporting-to-importing region combinations, e.g., Malaysia to China for palm oil or Argentina to India for soybean oil, to validate current sourcing routes or identify new, potentially lower-cost sourcing origins</v>
      </c>
    </row>
    <row r="33" spans="1:35" ht="276" hidden="1" thickBot="1" x14ac:dyDescent="0.4">
      <c r="A33" s="64">
        <v>7</v>
      </c>
      <c r="B33" s="62" t="s">
        <v>1451</v>
      </c>
      <c r="C33" s="62" t="s">
        <v>1452</v>
      </c>
      <c r="D33" s="62" t="s">
        <v>1224</v>
      </c>
      <c r="E33" s="62" t="s">
        <v>1453</v>
      </c>
      <c r="F33" s="62"/>
      <c r="G33" s="62" t="s">
        <v>1278</v>
      </c>
      <c r="H33" s="62" t="s">
        <v>1331</v>
      </c>
      <c r="I33" s="62"/>
      <c r="J33" s="62" t="s">
        <v>1277</v>
      </c>
      <c r="K33" s="62" t="s">
        <v>1327</v>
      </c>
      <c r="L33" s="62" t="s">
        <v>1328</v>
      </c>
      <c r="M33" s="62" t="s">
        <v>1329</v>
      </c>
      <c r="N33" s="62" t="s">
        <v>1330</v>
      </c>
      <c r="O33" s="64">
        <v>1</v>
      </c>
      <c r="P33" s="64">
        <v>0.04</v>
      </c>
      <c r="Q33" s="64">
        <v>0.1</v>
      </c>
      <c r="R33" s="64">
        <v>0.8</v>
      </c>
      <c r="S33" s="64">
        <v>6.7857142999999995E-2</v>
      </c>
      <c r="T33" s="64">
        <v>8.2857142999999994E-2</v>
      </c>
      <c r="U33" s="64">
        <v>2714285.7140000002</v>
      </c>
      <c r="V33" s="64">
        <v>3314285.7140000002</v>
      </c>
      <c r="W33" s="64">
        <v>0.02</v>
      </c>
      <c r="X33" s="64">
        <v>0.03</v>
      </c>
      <c r="Y33" s="64">
        <v>2.75E-2</v>
      </c>
      <c r="Z33" s="64">
        <v>0.13580246900000001</v>
      </c>
      <c r="AA33" s="64">
        <v>368606.70199999999</v>
      </c>
      <c r="AB33" s="64">
        <v>450088.18300000002</v>
      </c>
      <c r="AC33" s="62" t="s">
        <v>1500</v>
      </c>
      <c r="AD33" s="62"/>
      <c r="AE33" s="62" t="s">
        <v>1493</v>
      </c>
      <c r="AF33" s="62"/>
      <c r="AG33" s="62" t="s">
        <v>2095</v>
      </c>
      <c r="AH33" s="62" t="s">
        <v>2127</v>
      </c>
      <c r="AI33" s="61" t="str">
        <f t="shared" si="0"/>
        <v>Have you considered shifting sourcing origins to take advantage of cost or availability benefits? If so, what challenges have you faced?_</v>
      </c>
    </row>
    <row r="34" spans="1:35" ht="15" hidden="1" thickBot="1" x14ac:dyDescent="0.4">
      <c r="A34" s="62" t="s">
        <v>2129</v>
      </c>
      <c r="B34" s="62" t="s">
        <v>2129</v>
      </c>
      <c r="C34" s="62" t="s">
        <v>2129</v>
      </c>
      <c r="D34" s="62" t="s">
        <v>2129</v>
      </c>
      <c r="E34" s="62" t="s">
        <v>2129</v>
      </c>
      <c r="F34" s="62" t="s">
        <v>2129</v>
      </c>
      <c r="G34" s="62" t="s">
        <v>2129</v>
      </c>
      <c r="H34" s="62" t="s">
        <v>2129</v>
      </c>
      <c r="I34" s="62" t="s">
        <v>2129</v>
      </c>
      <c r="J34" s="62" t="s">
        <v>2129</v>
      </c>
      <c r="K34" s="62" t="s">
        <v>2129</v>
      </c>
      <c r="L34" s="62" t="s">
        <v>2129</v>
      </c>
      <c r="M34" s="62" t="s">
        <v>2129</v>
      </c>
      <c r="N34" s="62" t="s">
        <v>2129</v>
      </c>
      <c r="O34" s="62" t="s">
        <v>2129</v>
      </c>
      <c r="P34" s="62" t="s">
        <v>2129</v>
      </c>
      <c r="Q34" s="62" t="s">
        <v>2129</v>
      </c>
      <c r="R34" s="62" t="s">
        <v>2129</v>
      </c>
      <c r="S34" s="62" t="s">
        <v>2129</v>
      </c>
      <c r="T34" s="62" t="s">
        <v>2129</v>
      </c>
      <c r="U34" s="62" t="s">
        <v>2129</v>
      </c>
      <c r="V34" s="62" t="s">
        <v>2129</v>
      </c>
      <c r="W34" s="62" t="s">
        <v>2129</v>
      </c>
      <c r="X34" s="62" t="s">
        <v>2129</v>
      </c>
      <c r="Y34" s="62" t="s">
        <v>2129</v>
      </c>
      <c r="Z34" s="62" t="s">
        <v>2129</v>
      </c>
      <c r="AA34" s="62" t="s">
        <v>2129</v>
      </c>
      <c r="AB34" s="62" t="s">
        <v>2129</v>
      </c>
      <c r="AC34" s="62" t="s">
        <v>2129</v>
      </c>
      <c r="AD34" s="62" t="s">
        <v>2129</v>
      </c>
      <c r="AE34" s="62" t="s">
        <v>2129</v>
      </c>
      <c r="AF34" s="62" t="s">
        <v>2129</v>
      </c>
      <c r="AG34" s="62" t="s">
        <v>2129</v>
      </c>
      <c r="AH34" s="62" t="s">
        <v>2129</v>
      </c>
      <c r="AI34" s="61" t="str">
        <f t="shared" si="0"/>
        <v>..._...</v>
      </c>
    </row>
    <row r="35" spans="1:35" x14ac:dyDescent="0.35">
      <c r="AH35" s="65"/>
    </row>
    <row r="36" spans="1:35" x14ac:dyDescent="0.35">
      <c r="AH36" s="65"/>
    </row>
    <row r="37" spans="1:35" x14ac:dyDescent="0.35">
      <c r="AH37" s="65"/>
    </row>
    <row r="38" spans="1:35" x14ac:dyDescent="0.35">
      <c r="AH38" s="65"/>
    </row>
    <row r="39" spans="1:35" x14ac:dyDescent="0.35">
      <c r="AH39" s="65"/>
    </row>
    <row r="40" spans="1:35" x14ac:dyDescent="0.35">
      <c r="AH40" s="65"/>
    </row>
  </sheetData>
  <autoFilter xmlns:x14="http://schemas.microsoft.com/office/spreadsheetml/2009/9/main" ref="A1:AI34" xr:uid="{FBEAC733-D6D8-4E96-9A05-913F607BC43D}">
    <filterColumn colId="31">
      <filters>
        <mc:AlternateContent xmlns:mc="http://schemas.openxmlformats.org/markup-compatibility/2006">
          <mc:Choice Requires="x14">
            <x14:filter val="If a high-spend category (e.g., top 10% of total spend categories) or a critical category is supplied by only one unique supplier, then the client faces elevated supply chain and operational risk due to dependency. List down those suppliers including financially stable alternatives and emerging market suppliers"/>
            <x14:filter val="If a large number of countries/regions (&gt;3-4) contributte to the top &gt;80% spend, then call out these countries/examples with potential for consolidation. If SKU/item level data is available, share examples of top SKUs/items that have a one-to-many mapping between plants/countries/regions-to-suppliers"/>
            <x14:filter val="If analysis of PO/invoice line-item data for similar items/SKUs (e.g., different grades of the same material) reveals significant unit prices (e.g., &gt;15% variance) in the time frame, then there's an immediate, quantifiable savings opportunity through price standardization. Highlight examples of such high price variance yet high similarilty SKUs"/>
            <x14:filter val="If analysis of PO/invoice line-item data for the same item/SKU reveals significant unit price variance (e.g., &gt;15%) across different suppliers or plants within the same time frame, then there's an immediate, quantifiable savings opportunity through price standardization. List down those suppliers and plants"/>
            <x14:filter val="If the lowest 10-20% of total spend (by value) is distributed across more than 70-80% of the total unique suppliers, then significant opportunity exists for both administrative cost reduction (managing fewer vendors) and price savings through consolidation. Call out some of the tail spend suppliers as examples"/>
            <x14:filter val="If the top 20% of suppliers for a high-spend category account for less than 80% of the spend, then significant opportunities for volume consolidation and negotiation exist. Call out top suppliers as examples where consolidation may be possible"/>
            <x14:filter val="If vegetable oil PO/invoice analysis reveals identical oil grades with &gt;20% price variance across suppliers, simplify portfolio by consolidating to suppliers offering consistent pricing while maintaining quality specifications that meet &gt;80% of applications. List down those potential suppliers"/>
            <x14:filter val="Use export data to identify top exporting-to-importing region combinations, e.g., Malaysia to China for palm oil or Argentina to India for soybean oil, to validate current sourcing routes or identify new, potentially lower-cost sourcing origins"/>
          </mc:Choice>
          <mc:Fallback>
            <filter val="If the top 20% of suppliers for a high-spend category account for less than 80% of the spend, then significant opportunities for volume consolidation and negotiation exist. Call out top suppliers as examples where consolidation may be possible"/>
            <filter val="Use export data to identify top exporting-to-importing region combinations, e.g., Malaysia to China for palm oil or Argentina to India for soybean oil, to validate current sourcing routes or identify new, potentially lower-cost sourcing origins"/>
          </mc:Fallback>
        </mc:AlternateContent>
      </filters>
    </filterColumn>
  </autoFilter>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63108-63F7-41EA-9ECA-5221172A1005}">
  <dimension ref="A1:AI40"/>
  <sheetViews>
    <sheetView topLeftCell="X1" zoomScale="80" zoomScaleNormal="80" workbookViewId="0">
      <selection activeCell="AI1" sqref="AI1"/>
    </sheetView>
  </sheetViews>
  <sheetFormatPr defaultColWidth="8.7265625" defaultRowHeight="14.5" x14ac:dyDescent="0.35"/>
  <cols>
    <col min="1" max="6" width="8.7265625" style="58"/>
    <col min="7" max="7" width="29" style="58" customWidth="1"/>
    <col min="8" max="8" width="32.453125" style="58" customWidth="1"/>
    <col min="9" max="9" width="8.7265625" style="58"/>
    <col min="10" max="10" width="16.453125" style="58" customWidth="1"/>
    <col min="11" max="11" width="8.7265625" style="58"/>
    <col min="12" max="12" width="17.26953125" style="58" customWidth="1"/>
    <col min="13" max="13" width="24.7265625" style="58" customWidth="1"/>
    <col min="14" max="14" width="21" style="58" customWidth="1"/>
    <col min="15" max="29" width="8.7265625" style="58"/>
    <col min="30" max="30" width="34.7265625" style="58" customWidth="1"/>
    <col min="31" max="31" width="8.7265625" style="58"/>
    <col min="32" max="32" width="38.7265625" style="58" customWidth="1"/>
    <col min="33" max="33" width="8.7265625" style="58"/>
    <col min="34" max="34" width="54.26953125" style="58" customWidth="1"/>
    <col min="35" max="16384" width="8.7265625" style="58"/>
  </cols>
  <sheetData>
    <row r="1" spans="1:35" ht="145" x14ac:dyDescent="0.35">
      <c r="A1" s="56">
        <v>1</v>
      </c>
      <c r="B1" s="56" t="s">
        <v>1451</v>
      </c>
      <c r="C1" s="56" t="s">
        <v>1452</v>
      </c>
      <c r="D1" s="56" t="s">
        <v>1224</v>
      </c>
      <c r="E1" s="56" t="s">
        <v>1453</v>
      </c>
      <c r="F1" s="56"/>
      <c r="G1" s="56" t="s">
        <v>1292</v>
      </c>
      <c r="H1" s="56" t="s">
        <v>1982</v>
      </c>
      <c r="I1" s="56"/>
      <c r="J1" s="56" t="s">
        <v>1228</v>
      </c>
      <c r="K1" s="56" t="s">
        <v>1317</v>
      </c>
      <c r="L1" s="56" t="s">
        <v>1318</v>
      </c>
      <c r="M1" s="56" t="s">
        <v>1319</v>
      </c>
      <c r="N1" s="56" t="s">
        <v>1320</v>
      </c>
      <c r="O1" s="56">
        <v>2</v>
      </c>
      <c r="P1" s="56">
        <v>0.04</v>
      </c>
      <c r="Q1" s="56">
        <v>0.1</v>
      </c>
      <c r="R1" s="56">
        <v>0.8</v>
      </c>
      <c r="S1" s="56">
        <v>6.7857142999999995E-2</v>
      </c>
      <c r="T1" s="56">
        <v>8.2857142999999994E-2</v>
      </c>
      <c r="U1" s="56">
        <v>2714285.7140000002</v>
      </c>
      <c r="V1" s="56">
        <v>3314285.7140000002</v>
      </c>
      <c r="W1" s="56">
        <v>0.02</v>
      </c>
      <c r="X1" s="56">
        <v>0.05</v>
      </c>
      <c r="Y1" s="56">
        <v>3.5000000000000003E-2</v>
      </c>
      <c r="Z1" s="56">
        <v>0.172839506</v>
      </c>
      <c r="AA1" s="56">
        <v>469135.80249999999</v>
      </c>
      <c r="AB1" s="56">
        <v>572839.50619999995</v>
      </c>
      <c r="AC1" s="56" t="s">
        <v>1454</v>
      </c>
      <c r="AD1" s="56" t="s">
        <v>1455</v>
      </c>
      <c r="AE1" s="56" t="s">
        <v>2046</v>
      </c>
      <c r="AF1" s="56" t="s">
        <v>2047</v>
      </c>
      <c r="AG1" s="56"/>
      <c r="AH1" s="57" t="s">
        <v>2130</v>
      </c>
      <c r="AI1" s="58" t="str">
        <f>CONCATENATE(G1,"_",AF1)</f>
        <v>To what extent have you explored bundling of volumes across different types of vegetable oils to maximize economies of scale?_If a large number of countries/regions (&gt;3-4) contributte to the top &gt;80% spend, then call out these countries/examples with potential for consolidation. If SKU/item level data is available, share examples of top SKUs/items that have a one-to-many mapping between plants/countries/regions-to-suppliers</v>
      </c>
    </row>
    <row r="2" spans="1:35" ht="116" x14ac:dyDescent="0.35">
      <c r="A2" s="56">
        <v>1</v>
      </c>
      <c r="B2" s="56" t="s">
        <v>1451</v>
      </c>
      <c r="C2" s="56" t="s">
        <v>1452</v>
      </c>
      <c r="D2" s="56" t="s">
        <v>1224</v>
      </c>
      <c r="E2" s="56" t="s">
        <v>1453</v>
      </c>
      <c r="F2" s="56"/>
      <c r="G2" s="56" t="s">
        <v>1292</v>
      </c>
      <c r="H2" s="56" t="s">
        <v>1462</v>
      </c>
      <c r="I2" s="56"/>
      <c r="J2" s="56" t="s">
        <v>1228</v>
      </c>
      <c r="K2" s="56" t="s">
        <v>1317</v>
      </c>
      <c r="L2" s="56" t="s">
        <v>1318</v>
      </c>
      <c r="M2" s="56" t="s">
        <v>1319</v>
      </c>
      <c r="N2" s="56" t="s">
        <v>1320</v>
      </c>
      <c r="O2" s="56">
        <v>2</v>
      </c>
      <c r="P2" s="56">
        <v>0.04</v>
      </c>
      <c r="Q2" s="56">
        <v>0.1</v>
      </c>
      <c r="R2" s="56">
        <v>0.8</v>
      </c>
      <c r="S2" s="56">
        <v>6.7857142999999995E-2</v>
      </c>
      <c r="T2" s="56">
        <v>8.2857142999999994E-2</v>
      </c>
      <c r="U2" s="56">
        <v>2714285.7140000002</v>
      </c>
      <c r="V2" s="56">
        <v>3314285.7140000002</v>
      </c>
      <c r="W2" s="56">
        <v>0.02</v>
      </c>
      <c r="X2" s="56">
        <v>0.05</v>
      </c>
      <c r="Y2" s="56">
        <v>3.5000000000000003E-2</v>
      </c>
      <c r="Z2" s="56">
        <v>0.172839506</v>
      </c>
      <c r="AA2" s="56">
        <v>469135.80249999999</v>
      </c>
      <c r="AB2" s="56">
        <v>572839.50619999995</v>
      </c>
      <c r="AC2" s="56" t="s">
        <v>1463</v>
      </c>
      <c r="AD2" s="56" t="s">
        <v>1464</v>
      </c>
      <c r="AE2" s="56" t="s">
        <v>2046</v>
      </c>
      <c r="AF2" s="56"/>
      <c r="AG2" s="56"/>
      <c r="AH2" s="57" t="s">
        <v>2131</v>
      </c>
      <c r="AI2" s="58" t="str">
        <f t="shared" ref="AI2:AI40" si="0">CONCATENATE(G2,"_",AF2)</f>
        <v>To what extent have you explored bundling of volumes across different types of vegetable oils to maximize economies of scale?_</v>
      </c>
    </row>
    <row r="3" spans="1:35" ht="116" x14ac:dyDescent="0.35">
      <c r="A3" s="56">
        <v>1</v>
      </c>
      <c r="B3" s="56" t="s">
        <v>1451</v>
      </c>
      <c r="C3" s="56" t="s">
        <v>1452</v>
      </c>
      <c r="D3" s="56" t="s">
        <v>1224</v>
      </c>
      <c r="E3" s="56" t="s">
        <v>1453</v>
      </c>
      <c r="F3" s="56"/>
      <c r="G3" s="56" t="s">
        <v>1292</v>
      </c>
      <c r="H3" s="56" t="s">
        <v>1462</v>
      </c>
      <c r="I3" s="56"/>
      <c r="J3" s="56" t="s">
        <v>1228</v>
      </c>
      <c r="K3" s="56" t="s">
        <v>1317</v>
      </c>
      <c r="L3" s="56" t="s">
        <v>1318</v>
      </c>
      <c r="M3" s="56" t="s">
        <v>1319</v>
      </c>
      <c r="N3" s="56" t="s">
        <v>1320</v>
      </c>
      <c r="O3" s="56">
        <v>2</v>
      </c>
      <c r="P3" s="56">
        <v>0.04</v>
      </c>
      <c r="Q3" s="56">
        <v>0.1</v>
      </c>
      <c r="R3" s="56">
        <v>0.8</v>
      </c>
      <c r="S3" s="56">
        <v>6.7857142999999995E-2</v>
      </c>
      <c r="T3" s="56">
        <v>8.2857142999999994E-2</v>
      </c>
      <c r="U3" s="56">
        <v>2714285.7140000002</v>
      </c>
      <c r="V3" s="56">
        <v>3314285.7140000002</v>
      </c>
      <c r="W3" s="56">
        <v>0.02</v>
      </c>
      <c r="X3" s="56">
        <v>0.05</v>
      </c>
      <c r="Y3" s="56">
        <v>3.5000000000000003E-2</v>
      </c>
      <c r="Z3" s="56">
        <v>0.172839506</v>
      </c>
      <c r="AA3" s="56">
        <v>469135.80249999999</v>
      </c>
      <c r="AB3" s="56">
        <v>572839.50619999995</v>
      </c>
      <c r="AC3" s="56" t="s">
        <v>1631</v>
      </c>
      <c r="AD3" s="56" t="s">
        <v>1466</v>
      </c>
      <c r="AE3" s="56" t="s">
        <v>2046</v>
      </c>
      <c r="AF3" s="56"/>
      <c r="AG3" s="56"/>
      <c r="AH3" s="57" t="s">
        <v>2131</v>
      </c>
      <c r="AI3" s="58" t="str">
        <f t="shared" si="0"/>
        <v>To what extent have you explored bundling of volumes across different types of vegetable oils to maximize economies of scale?_</v>
      </c>
    </row>
    <row r="4" spans="1:35" ht="145" x14ac:dyDescent="0.35">
      <c r="A4" s="56">
        <v>1</v>
      </c>
      <c r="B4" s="56" t="s">
        <v>1451</v>
      </c>
      <c r="C4" s="56" t="s">
        <v>1452</v>
      </c>
      <c r="D4" s="56" t="s">
        <v>1224</v>
      </c>
      <c r="E4" s="56" t="s">
        <v>1453</v>
      </c>
      <c r="F4" s="56"/>
      <c r="G4" s="56" t="s">
        <v>1292</v>
      </c>
      <c r="H4" s="56" t="s">
        <v>1462</v>
      </c>
      <c r="I4" s="56"/>
      <c r="J4" s="56" t="s">
        <v>1228</v>
      </c>
      <c r="K4" s="56" t="s">
        <v>1317</v>
      </c>
      <c r="L4" s="56" t="s">
        <v>1318</v>
      </c>
      <c r="M4" s="56" t="s">
        <v>1319</v>
      </c>
      <c r="N4" s="56" t="s">
        <v>1320</v>
      </c>
      <c r="O4" s="56">
        <v>2</v>
      </c>
      <c r="P4" s="56">
        <v>0.04</v>
      </c>
      <c r="Q4" s="56">
        <v>0.1</v>
      </c>
      <c r="R4" s="56">
        <v>0.8</v>
      </c>
      <c r="S4" s="56">
        <v>6.7857142999999995E-2</v>
      </c>
      <c r="T4" s="56">
        <v>8.2857142999999994E-2</v>
      </c>
      <c r="U4" s="56">
        <v>2714285.7140000002</v>
      </c>
      <c r="V4" s="56">
        <v>3314285.7140000002</v>
      </c>
      <c r="W4" s="56">
        <v>0.02</v>
      </c>
      <c r="X4" s="56">
        <v>0.05</v>
      </c>
      <c r="Y4" s="56">
        <v>3.5000000000000003E-2</v>
      </c>
      <c r="Z4" s="56">
        <v>0.172839506</v>
      </c>
      <c r="AA4" s="56">
        <v>469135.80249999999</v>
      </c>
      <c r="AB4" s="56">
        <v>572839.50619999995</v>
      </c>
      <c r="AC4" s="56" t="s">
        <v>2132</v>
      </c>
      <c r="AD4" s="56" t="s">
        <v>2133</v>
      </c>
      <c r="AE4" s="56" t="s">
        <v>2046</v>
      </c>
      <c r="AF4" s="56"/>
      <c r="AG4" s="56"/>
      <c r="AH4" s="57" t="s">
        <v>2131</v>
      </c>
      <c r="AI4" s="58" t="str">
        <f t="shared" si="0"/>
        <v>To what extent have you explored bundling of volumes across different types of vegetable oils to maximize economies of scale?_</v>
      </c>
    </row>
    <row r="5" spans="1:35" ht="159.5" x14ac:dyDescent="0.35">
      <c r="A5" s="56">
        <v>1</v>
      </c>
      <c r="B5" s="56" t="s">
        <v>1451</v>
      </c>
      <c r="C5" s="56" t="s">
        <v>1452</v>
      </c>
      <c r="D5" s="56" t="s">
        <v>1224</v>
      </c>
      <c r="E5" s="56" t="s">
        <v>1453</v>
      </c>
      <c r="F5" s="56"/>
      <c r="G5" s="56" t="s">
        <v>1292</v>
      </c>
      <c r="H5" s="56" t="s">
        <v>1462</v>
      </c>
      <c r="I5" s="56"/>
      <c r="J5" s="56" t="s">
        <v>1228</v>
      </c>
      <c r="K5" s="56" t="s">
        <v>1317</v>
      </c>
      <c r="L5" s="56" t="s">
        <v>1318</v>
      </c>
      <c r="M5" s="56" t="s">
        <v>1319</v>
      </c>
      <c r="N5" s="56" t="s">
        <v>1320</v>
      </c>
      <c r="O5" s="56">
        <v>2</v>
      </c>
      <c r="P5" s="56">
        <v>0.04</v>
      </c>
      <c r="Q5" s="56">
        <v>0.1</v>
      </c>
      <c r="R5" s="56">
        <v>0.8</v>
      </c>
      <c r="S5" s="56">
        <v>6.7857142999999995E-2</v>
      </c>
      <c r="T5" s="56">
        <v>8.2857142999999994E-2</v>
      </c>
      <c r="U5" s="56">
        <v>2714285.7140000002</v>
      </c>
      <c r="V5" s="56">
        <v>3314285.7140000002</v>
      </c>
      <c r="W5" s="56">
        <v>0.02</v>
      </c>
      <c r="X5" s="56">
        <v>0.05</v>
      </c>
      <c r="Y5" s="56">
        <v>3.5000000000000003E-2</v>
      </c>
      <c r="Z5" s="56">
        <v>0.172839506</v>
      </c>
      <c r="AA5" s="56">
        <v>469135.80249999999</v>
      </c>
      <c r="AB5" s="56">
        <v>572839.50619999995</v>
      </c>
      <c r="AC5" s="56" t="s">
        <v>1467</v>
      </c>
      <c r="AD5" s="56" t="s">
        <v>1468</v>
      </c>
      <c r="AE5" s="56" t="s">
        <v>2046</v>
      </c>
      <c r="AF5" s="56"/>
      <c r="AG5" s="56"/>
      <c r="AH5" s="57" t="s">
        <v>2131</v>
      </c>
      <c r="AI5" s="58" t="str">
        <f t="shared" si="0"/>
        <v>To what extent have you explored bundling of volumes across different types of vegetable oils to maximize economies of scale?_</v>
      </c>
    </row>
    <row r="6" spans="1:35" ht="145" x14ac:dyDescent="0.35">
      <c r="A6" s="56">
        <v>1</v>
      </c>
      <c r="B6" s="56" t="s">
        <v>1451</v>
      </c>
      <c r="C6" s="56" t="s">
        <v>1452</v>
      </c>
      <c r="D6" s="56" t="s">
        <v>1224</v>
      </c>
      <c r="E6" s="56" t="s">
        <v>1453</v>
      </c>
      <c r="F6" s="56"/>
      <c r="G6" s="56" t="s">
        <v>1292</v>
      </c>
      <c r="H6" s="56" t="s">
        <v>1462</v>
      </c>
      <c r="I6" s="56"/>
      <c r="J6" s="56" t="s">
        <v>1228</v>
      </c>
      <c r="K6" s="56" t="s">
        <v>1317</v>
      </c>
      <c r="L6" s="56" t="s">
        <v>1318</v>
      </c>
      <c r="M6" s="56" t="s">
        <v>1319</v>
      </c>
      <c r="N6" s="56" t="s">
        <v>1320</v>
      </c>
      <c r="O6" s="56">
        <v>2</v>
      </c>
      <c r="P6" s="56">
        <v>0.04</v>
      </c>
      <c r="Q6" s="56">
        <v>0.1</v>
      </c>
      <c r="R6" s="56">
        <v>0.8</v>
      </c>
      <c r="S6" s="56">
        <v>6.7857142999999995E-2</v>
      </c>
      <c r="T6" s="56">
        <v>8.2857142999999994E-2</v>
      </c>
      <c r="U6" s="56">
        <v>2714285.7140000002</v>
      </c>
      <c r="V6" s="56">
        <v>3314285.7140000002</v>
      </c>
      <c r="W6" s="56">
        <v>0.02</v>
      </c>
      <c r="X6" s="56">
        <v>0.05</v>
      </c>
      <c r="Y6" s="56">
        <v>3.5000000000000003E-2</v>
      </c>
      <c r="Z6" s="56">
        <v>0.172839506</v>
      </c>
      <c r="AA6" s="56">
        <v>469135.80249999999</v>
      </c>
      <c r="AB6" s="56">
        <v>572839.50619999995</v>
      </c>
      <c r="AC6" s="56" t="s">
        <v>1483</v>
      </c>
      <c r="AD6" s="56" t="s">
        <v>2134</v>
      </c>
      <c r="AE6" s="56" t="s">
        <v>2046</v>
      </c>
      <c r="AF6" s="56"/>
      <c r="AG6" s="56"/>
      <c r="AH6" s="57" t="s">
        <v>2131</v>
      </c>
      <c r="AI6" s="58" t="str">
        <f t="shared" si="0"/>
        <v>To what extent have you explored bundling of volumes across different types of vegetable oils to maximize economies of scale?_</v>
      </c>
    </row>
    <row r="7" spans="1:35" ht="116" x14ac:dyDescent="0.35">
      <c r="A7" s="56">
        <v>1</v>
      </c>
      <c r="B7" s="56" t="s">
        <v>1451</v>
      </c>
      <c r="C7" s="56" t="s">
        <v>1452</v>
      </c>
      <c r="D7" s="56" t="s">
        <v>1224</v>
      </c>
      <c r="E7" s="56" t="s">
        <v>1453</v>
      </c>
      <c r="F7" s="56"/>
      <c r="G7" s="56" t="s">
        <v>1292</v>
      </c>
      <c r="H7" s="56" t="s">
        <v>1462</v>
      </c>
      <c r="I7" s="56"/>
      <c r="J7" s="56" t="s">
        <v>1228</v>
      </c>
      <c r="K7" s="56" t="s">
        <v>1317</v>
      </c>
      <c r="L7" s="56" t="s">
        <v>1318</v>
      </c>
      <c r="M7" s="56" t="s">
        <v>1319</v>
      </c>
      <c r="N7" s="56" t="s">
        <v>1320</v>
      </c>
      <c r="O7" s="56">
        <v>2</v>
      </c>
      <c r="P7" s="56">
        <v>0.04</v>
      </c>
      <c r="Q7" s="56">
        <v>0.1</v>
      </c>
      <c r="R7" s="56">
        <v>0.8</v>
      </c>
      <c r="S7" s="56">
        <v>6.7857142999999995E-2</v>
      </c>
      <c r="T7" s="56">
        <v>8.2857142999999994E-2</v>
      </c>
      <c r="U7" s="56">
        <v>2714285.7140000002</v>
      </c>
      <c r="V7" s="56">
        <v>3314285.7140000002</v>
      </c>
      <c r="W7" s="56">
        <v>0.02</v>
      </c>
      <c r="X7" s="56">
        <v>0.05</v>
      </c>
      <c r="Y7" s="56">
        <v>3.5000000000000003E-2</v>
      </c>
      <c r="Z7" s="56">
        <v>0.172839506</v>
      </c>
      <c r="AA7" s="56">
        <v>469135.80249999999</v>
      </c>
      <c r="AB7" s="56">
        <v>572839.50619999995</v>
      </c>
      <c r="AC7" s="56" t="s">
        <v>1495</v>
      </c>
      <c r="AD7" s="56"/>
      <c r="AE7" s="56" t="s">
        <v>1493</v>
      </c>
      <c r="AF7" s="56"/>
      <c r="AG7" s="56"/>
      <c r="AH7" s="57" t="s">
        <v>2131</v>
      </c>
      <c r="AI7" s="58" t="str">
        <f t="shared" si="0"/>
        <v>To what extent have you explored bundling of volumes across different types of vegetable oils to maximize economies of scale?_</v>
      </c>
    </row>
    <row r="8" spans="1:35" ht="116" x14ac:dyDescent="0.35">
      <c r="A8" s="56">
        <v>1</v>
      </c>
      <c r="B8" s="56" t="s">
        <v>1451</v>
      </c>
      <c r="C8" s="56" t="s">
        <v>1452</v>
      </c>
      <c r="D8" s="56" t="s">
        <v>1224</v>
      </c>
      <c r="E8" s="56" t="s">
        <v>1453</v>
      </c>
      <c r="F8" s="56"/>
      <c r="G8" s="56" t="s">
        <v>1292</v>
      </c>
      <c r="H8" s="56" t="s">
        <v>1462</v>
      </c>
      <c r="I8" s="56"/>
      <c r="J8" s="56" t="s">
        <v>1228</v>
      </c>
      <c r="K8" s="56" t="s">
        <v>1317</v>
      </c>
      <c r="L8" s="56" t="s">
        <v>1318</v>
      </c>
      <c r="M8" s="56" t="s">
        <v>1319</v>
      </c>
      <c r="N8" s="56" t="s">
        <v>1320</v>
      </c>
      <c r="O8" s="56">
        <v>2</v>
      </c>
      <c r="P8" s="56">
        <v>0.04</v>
      </c>
      <c r="Q8" s="56">
        <v>0.1</v>
      </c>
      <c r="R8" s="56">
        <v>0.8</v>
      </c>
      <c r="S8" s="56">
        <v>6.7857142999999995E-2</v>
      </c>
      <c r="T8" s="56">
        <v>8.2857142999999994E-2</v>
      </c>
      <c r="U8" s="56">
        <v>2714285.7140000002</v>
      </c>
      <c r="V8" s="56">
        <v>3314285.7140000002</v>
      </c>
      <c r="W8" s="56">
        <v>0.02</v>
      </c>
      <c r="X8" s="56">
        <v>0.05</v>
      </c>
      <c r="Y8" s="56">
        <v>3.5000000000000003E-2</v>
      </c>
      <c r="Z8" s="56">
        <v>0.172839506</v>
      </c>
      <c r="AA8" s="56">
        <v>469135.80249999999</v>
      </c>
      <c r="AB8" s="56">
        <v>572839.50619999995</v>
      </c>
      <c r="AC8" s="56" t="s">
        <v>1503</v>
      </c>
      <c r="AD8" s="56"/>
      <c r="AE8" s="56" t="s">
        <v>1493</v>
      </c>
      <c r="AF8" s="56"/>
      <c r="AG8" s="56"/>
      <c r="AH8" s="57" t="s">
        <v>2131</v>
      </c>
      <c r="AI8" s="58" t="str">
        <f t="shared" si="0"/>
        <v>To what extent have you explored bundling of volumes across different types of vegetable oils to maximize economies of scale?_</v>
      </c>
    </row>
    <row r="9" spans="1:35" ht="116" x14ac:dyDescent="0.35">
      <c r="A9" s="56">
        <v>1</v>
      </c>
      <c r="B9" s="56" t="s">
        <v>1451</v>
      </c>
      <c r="C9" s="56" t="s">
        <v>1452</v>
      </c>
      <c r="D9" s="56" t="s">
        <v>1224</v>
      </c>
      <c r="E9" s="56" t="s">
        <v>1453</v>
      </c>
      <c r="F9" s="56"/>
      <c r="G9" s="56" t="s">
        <v>1292</v>
      </c>
      <c r="H9" s="56" t="s">
        <v>1462</v>
      </c>
      <c r="I9" s="56"/>
      <c r="J9" s="56" t="s">
        <v>1228</v>
      </c>
      <c r="K9" s="56" t="s">
        <v>1317</v>
      </c>
      <c r="L9" s="56" t="s">
        <v>1318</v>
      </c>
      <c r="M9" s="56" t="s">
        <v>1319</v>
      </c>
      <c r="N9" s="56" t="s">
        <v>1320</v>
      </c>
      <c r="O9" s="56">
        <v>2</v>
      </c>
      <c r="P9" s="56">
        <v>0.04</v>
      </c>
      <c r="Q9" s="56">
        <v>0.1</v>
      </c>
      <c r="R9" s="56">
        <v>0.8</v>
      </c>
      <c r="S9" s="56">
        <v>6.7857142999999995E-2</v>
      </c>
      <c r="T9" s="56">
        <v>8.2857142999999994E-2</v>
      </c>
      <c r="U9" s="56">
        <v>2714285.7140000002</v>
      </c>
      <c r="V9" s="56">
        <v>3314285.7140000002</v>
      </c>
      <c r="W9" s="56">
        <v>0.02</v>
      </c>
      <c r="X9" s="56">
        <v>0.05</v>
      </c>
      <c r="Y9" s="56">
        <v>3.5000000000000003E-2</v>
      </c>
      <c r="Z9" s="56">
        <v>0.172839506</v>
      </c>
      <c r="AA9" s="56">
        <v>469135.80249999999</v>
      </c>
      <c r="AB9" s="56">
        <v>572839.50619999995</v>
      </c>
      <c r="AC9" s="56" t="s">
        <v>1504</v>
      </c>
      <c r="AD9" s="56"/>
      <c r="AE9" s="56" t="s">
        <v>1493</v>
      </c>
      <c r="AF9" s="56"/>
      <c r="AG9" s="56"/>
      <c r="AH9" s="57" t="s">
        <v>2131</v>
      </c>
      <c r="AI9" s="58" t="str">
        <f t="shared" si="0"/>
        <v>To what extent have you explored bundling of volumes across different types of vegetable oils to maximize economies of scale?_</v>
      </c>
    </row>
    <row r="10" spans="1:35" ht="116" x14ac:dyDescent="0.35">
      <c r="A10" s="56">
        <v>1</v>
      </c>
      <c r="B10" s="56" t="s">
        <v>1451</v>
      </c>
      <c r="C10" s="56" t="s">
        <v>1452</v>
      </c>
      <c r="D10" s="56" t="s">
        <v>1224</v>
      </c>
      <c r="E10" s="56" t="s">
        <v>1453</v>
      </c>
      <c r="F10" s="56"/>
      <c r="G10" s="56" t="s">
        <v>1292</v>
      </c>
      <c r="H10" s="56" t="s">
        <v>1462</v>
      </c>
      <c r="I10" s="56"/>
      <c r="J10" s="56" t="s">
        <v>1228</v>
      </c>
      <c r="K10" s="56" t="s">
        <v>1317</v>
      </c>
      <c r="L10" s="56" t="s">
        <v>1318</v>
      </c>
      <c r="M10" s="56" t="s">
        <v>1319</v>
      </c>
      <c r="N10" s="56" t="s">
        <v>1320</v>
      </c>
      <c r="O10" s="56">
        <v>2</v>
      </c>
      <c r="P10" s="56">
        <v>0.04</v>
      </c>
      <c r="Q10" s="56">
        <v>0.1</v>
      </c>
      <c r="R10" s="56">
        <v>0.8</v>
      </c>
      <c r="S10" s="56">
        <v>6.7857142999999995E-2</v>
      </c>
      <c r="T10" s="56">
        <v>8.2857142999999994E-2</v>
      </c>
      <c r="U10" s="56">
        <v>2714285.7140000002</v>
      </c>
      <c r="V10" s="56">
        <v>3314285.7140000002</v>
      </c>
      <c r="W10" s="56">
        <v>0.02</v>
      </c>
      <c r="X10" s="56">
        <v>0.05</v>
      </c>
      <c r="Y10" s="56">
        <v>3.5000000000000003E-2</v>
      </c>
      <c r="Z10" s="56">
        <v>0.172839506</v>
      </c>
      <c r="AA10" s="56">
        <v>469135.80249999999</v>
      </c>
      <c r="AB10" s="56">
        <v>572839.50619999995</v>
      </c>
      <c r="AC10" s="56" t="s">
        <v>1509</v>
      </c>
      <c r="AD10" s="56"/>
      <c r="AE10" s="56" t="s">
        <v>1493</v>
      </c>
      <c r="AF10" s="56"/>
      <c r="AG10" s="56"/>
      <c r="AH10" s="57" t="s">
        <v>2131</v>
      </c>
      <c r="AI10" s="58" t="str">
        <f t="shared" si="0"/>
        <v>To what extent have you explored bundling of volumes across different types of vegetable oils to maximize economies of scale?_</v>
      </c>
    </row>
    <row r="11" spans="1:35" ht="116" x14ac:dyDescent="0.35">
      <c r="A11" s="56">
        <v>1</v>
      </c>
      <c r="B11" s="56" t="s">
        <v>1451</v>
      </c>
      <c r="C11" s="56" t="s">
        <v>1452</v>
      </c>
      <c r="D11" s="56" t="s">
        <v>1224</v>
      </c>
      <c r="E11" s="56" t="s">
        <v>1453</v>
      </c>
      <c r="F11" s="56"/>
      <c r="G11" s="56" t="s">
        <v>1292</v>
      </c>
      <c r="H11" s="56" t="s">
        <v>1462</v>
      </c>
      <c r="I11" s="56"/>
      <c r="J11" s="56" t="s">
        <v>1228</v>
      </c>
      <c r="K11" s="56" t="s">
        <v>1317</v>
      </c>
      <c r="L11" s="56" t="s">
        <v>1318</v>
      </c>
      <c r="M11" s="56" t="s">
        <v>1319</v>
      </c>
      <c r="N11" s="56" t="s">
        <v>1320</v>
      </c>
      <c r="O11" s="56">
        <v>2</v>
      </c>
      <c r="P11" s="56">
        <v>0.04</v>
      </c>
      <c r="Q11" s="56">
        <v>0.1</v>
      </c>
      <c r="R11" s="56">
        <v>0.8</v>
      </c>
      <c r="S11" s="56">
        <v>6.7857142999999995E-2</v>
      </c>
      <c r="T11" s="56">
        <v>8.2857142999999994E-2</v>
      </c>
      <c r="U11" s="56">
        <v>2714285.7140000002</v>
      </c>
      <c r="V11" s="56">
        <v>3314285.7140000002</v>
      </c>
      <c r="W11" s="56">
        <v>0.02</v>
      </c>
      <c r="X11" s="56">
        <v>0.05</v>
      </c>
      <c r="Y11" s="56">
        <v>3.5000000000000003E-2</v>
      </c>
      <c r="Z11" s="56">
        <v>0.172839506</v>
      </c>
      <c r="AA11" s="56">
        <v>469135.80249999999</v>
      </c>
      <c r="AB11" s="56">
        <v>572839.50619999995</v>
      </c>
      <c r="AC11" s="56" t="s">
        <v>1515</v>
      </c>
      <c r="AD11" s="56"/>
      <c r="AE11" s="56" t="s">
        <v>1493</v>
      </c>
      <c r="AF11" s="56"/>
      <c r="AG11" s="56"/>
      <c r="AH11" s="57" t="s">
        <v>2131</v>
      </c>
      <c r="AI11" s="58" t="str">
        <f t="shared" si="0"/>
        <v>To what extent have you explored bundling of volumes across different types of vegetable oils to maximize economies of scale?_</v>
      </c>
    </row>
    <row r="12" spans="1:35" ht="116" x14ac:dyDescent="0.35">
      <c r="A12" s="56">
        <v>1</v>
      </c>
      <c r="B12" s="56" t="s">
        <v>1451</v>
      </c>
      <c r="C12" s="56" t="s">
        <v>1452</v>
      </c>
      <c r="D12" s="56" t="s">
        <v>1224</v>
      </c>
      <c r="E12" s="56" t="s">
        <v>1453</v>
      </c>
      <c r="F12" s="56"/>
      <c r="G12" s="56" t="s">
        <v>1292</v>
      </c>
      <c r="H12" s="56" t="s">
        <v>1462</v>
      </c>
      <c r="I12" s="56"/>
      <c r="J12" s="56" t="s">
        <v>1228</v>
      </c>
      <c r="K12" s="56" t="s">
        <v>1317</v>
      </c>
      <c r="L12" s="56" t="s">
        <v>1318</v>
      </c>
      <c r="M12" s="56" t="s">
        <v>1319</v>
      </c>
      <c r="N12" s="56" t="s">
        <v>1320</v>
      </c>
      <c r="O12" s="56">
        <v>2</v>
      </c>
      <c r="P12" s="56">
        <v>0.04</v>
      </c>
      <c r="Q12" s="56">
        <v>0.1</v>
      </c>
      <c r="R12" s="56">
        <v>0.8</v>
      </c>
      <c r="S12" s="56">
        <v>6.7857142999999995E-2</v>
      </c>
      <c r="T12" s="56">
        <v>8.2857142999999994E-2</v>
      </c>
      <c r="U12" s="56">
        <v>2714285.7140000002</v>
      </c>
      <c r="V12" s="56">
        <v>3314285.7140000002</v>
      </c>
      <c r="W12" s="56">
        <v>0.02</v>
      </c>
      <c r="X12" s="56">
        <v>0.05</v>
      </c>
      <c r="Y12" s="56">
        <v>3.5000000000000003E-2</v>
      </c>
      <c r="Z12" s="56">
        <v>0.172839506</v>
      </c>
      <c r="AA12" s="56">
        <v>469135.80249999999</v>
      </c>
      <c r="AB12" s="56">
        <v>572839.50619999995</v>
      </c>
      <c r="AC12" s="56" t="s">
        <v>1530</v>
      </c>
      <c r="AD12" s="56"/>
      <c r="AE12" s="56" t="s">
        <v>1493</v>
      </c>
      <c r="AF12" s="56"/>
      <c r="AG12" s="56"/>
      <c r="AH12" s="57" t="s">
        <v>2131</v>
      </c>
      <c r="AI12" s="58" t="str">
        <f t="shared" si="0"/>
        <v>To what extent have you explored bundling of volumes across different types of vegetable oils to maximize economies of scale?_</v>
      </c>
    </row>
    <row r="13" spans="1:35" ht="101.5" x14ac:dyDescent="0.35">
      <c r="A13" s="56">
        <v>2</v>
      </c>
      <c r="B13" s="56" t="s">
        <v>1451</v>
      </c>
      <c r="C13" s="56" t="s">
        <v>1452</v>
      </c>
      <c r="D13" s="56" t="s">
        <v>1224</v>
      </c>
      <c r="E13" s="56" t="s">
        <v>1453</v>
      </c>
      <c r="F13" s="56"/>
      <c r="G13" s="56" t="s">
        <v>1289</v>
      </c>
      <c r="H13" s="56" t="s">
        <v>1316</v>
      </c>
      <c r="I13" s="56"/>
      <c r="J13" s="56" t="s">
        <v>1288</v>
      </c>
      <c r="K13" s="56" t="s">
        <v>1312</v>
      </c>
      <c r="L13" s="56" t="s">
        <v>1313</v>
      </c>
      <c r="M13" s="56" t="s">
        <v>1314</v>
      </c>
      <c r="N13" s="56" t="s">
        <v>1315</v>
      </c>
      <c r="O13" s="56">
        <v>3</v>
      </c>
      <c r="P13" s="56">
        <v>0.04</v>
      </c>
      <c r="Q13" s="56">
        <v>0.1</v>
      </c>
      <c r="R13" s="56">
        <v>0.8</v>
      </c>
      <c r="S13" s="56">
        <v>6.7857142999999995E-2</v>
      </c>
      <c r="T13" s="56">
        <v>8.2857142999999994E-2</v>
      </c>
      <c r="U13" s="56">
        <v>2714285.7140000002</v>
      </c>
      <c r="V13" s="56">
        <v>3314285.7140000002</v>
      </c>
      <c r="W13" s="56">
        <v>0.02</v>
      </c>
      <c r="X13" s="56">
        <v>0.05</v>
      </c>
      <c r="Y13" s="56">
        <v>2.75E-2</v>
      </c>
      <c r="Z13" s="56">
        <v>0.13580246900000001</v>
      </c>
      <c r="AA13" s="56">
        <v>368606.70189999999</v>
      </c>
      <c r="AB13" s="56">
        <v>450088.18339999998</v>
      </c>
      <c r="AC13" s="56" t="s">
        <v>1496</v>
      </c>
      <c r="AD13" s="56"/>
      <c r="AE13" s="56" t="s">
        <v>1493</v>
      </c>
      <c r="AF13" s="56"/>
      <c r="AG13" s="56"/>
      <c r="AH13" s="57" t="s">
        <v>2135</v>
      </c>
      <c r="AI13" s="58" t="str">
        <f t="shared" si="0"/>
        <v>To what extent do you use should cost models to challenge and negotiate supplier pricing?_</v>
      </c>
    </row>
    <row r="14" spans="1:35" ht="101.5" x14ac:dyDescent="0.35">
      <c r="A14" s="56">
        <v>2</v>
      </c>
      <c r="B14" s="56" t="s">
        <v>1451</v>
      </c>
      <c r="C14" s="56" t="s">
        <v>1452</v>
      </c>
      <c r="D14" s="56" t="s">
        <v>1224</v>
      </c>
      <c r="E14" s="56" t="s">
        <v>1453</v>
      </c>
      <c r="F14" s="56"/>
      <c r="G14" s="56" t="s">
        <v>1289</v>
      </c>
      <c r="H14" s="56" t="s">
        <v>1316</v>
      </c>
      <c r="I14" s="56"/>
      <c r="J14" s="56" t="s">
        <v>1288</v>
      </c>
      <c r="K14" s="56" t="s">
        <v>1312</v>
      </c>
      <c r="L14" s="56" t="s">
        <v>1313</v>
      </c>
      <c r="M14" s="56" t="s">
        <v>1314</v>
      </c>
      <c r="N14" s="56" t="s">
        <v>1315</v>
      </c>
      <c r="O14" s="56">
        <v>3</v>
      </c>
      <c r="P14" s="56">
        <v>0.04</v>
      </c>
      <c r="Q14" s="56">
        <v>0.1</v>
      </c>
      <c r="R14" s="56">
        <v>0.8</v>
      </c>
      <c r="S14" s="56">
        <v>6.7857142999999995E-2</v>
      </c>
      <c r="T14" s="56">
        <v>8.2857142999999994E-2</v>
      </c>
      <c r="U14" s="56">
        <v>2714285.7140000002</v>
      </c>
      <c r="V14" s="56">
        <v>3314285.7140000002</v>
      </c>
      <c r="W14" s="56">
        <v>0.02</v>
      </c>
      <c r="X14" s="56">
        <v>0.05</v>
      </c>
      <c r="Y14" s="56">
        <v>2.75E-2</v>
      </c>
      <c r="Z14" s="56">
        <v>0.13580246900000001</v>
      </c>
      <c r="AA14" s="56">
        <v>368606.70189999999</v>
      </c>
      <c r="AB14" s="56">
        <v>450088.18339999998</v>
      </c>
      <c r="AC14" s="56" t="s">
        <v>1507</v>
      </c>
      <c r="AD14" s="56"/>
      <c r="AE14" s="56" t="s">
        <v>1493</v>
      </c>
      <c r="AF14" s="56"/>
      <c r="AG14" s="56"/>
      <c r="AH14" s="57" t="s">
        <v>2135</v>
      </c>
      <c r="AI14" s="58" t="str">
        <f t="shared" si="0"/>
        <v>To what extent do you use should cost models to challenge and negotiate supplier pricing?_</v>
      </c>
    </row>
    <row r="15" spans="1:35" ht="101.5" x14ac:dyDescent="0.35">
      <c r="A15" s="56">
        <v>2</v>
      </c>
      <c r="B15" s="56" t="s">
        <v>1451</v>
      </c>
      <c r="C15" s="56" t="s">
        <v>1452</v>
      </c>
      <c r="D15" s="56" t="s">
        <v>1224</v>
      </c>
      <c r="E15" s="56" t="s">
        <v>1453</v>
      </c>
      <c r="F15" s="56"/>
      <c r="G15" s="56" t="s">
        <v>1289</v>
      </c>
      <c r="H15" s="56" t="s">
        <v>1316</v>
      </c>
      <c r="I15" s="56"/>
      <c r="J15" s="56" t="s">
        <v>1288</v>
      </c>
      <c r="K15" s="56" t="s">
        <v>1312</v>
      </c>
      <c r="L15" s="56" t="s">
        <v>1313</v>
      </c>
      <c r="M15" s="56" t="s">
        <v>1314</v>
      </c>
      <c r="N15" s="56" t="s">
        <v>1315</v>
      </c>
      <c r="O15" s="56">
        <v>3</v>
      </c>
      <c r="P15" s="56">
        <v>0.04</v>
      </c>
      <c r="Q15" s="56">
        <v>0.1</v>
      </c>
      <c r="R15" s="56">
        <v>0.8</v>
      </c>
      <c r="S15" s="56">
        <v>6.7857142999999995E-2</v>
      </c>
      <c r="T15" s="56">
        <v>8.2857142999999994E-2</v>
      </c>
      <c r="U15" s="56">
        <v>2714285.7140000002</v>
      </c>
      <c r="V15" s="56">
        <v>3314285.7140000002</v>
      </c>
      <c r="W15" s="56">
        <v>0.02</v>
      </c>
      <c r="X15" s="56">
        <v>0.05</v>
      </c>
      <c r="Y15" s="56">
        <v>2.75E-2</v>
      </c>
      <c r="Z15" s="56">
        <v>0.13580246900000001</v>
      </c>
      <c r="AA15" s="56">
        <v>368606.70189999999</v>
      </c>
      <c r="AB15" s="56">
        <v>450088.18339999998</v>
      </c>
      <c r="AC15" s="56" t="s">
        <v>1512</v>
      </c>
      <c r="AD15" s="56"/>
      <c r="AE15" s="56" t="s">
        <v>1493</v>
      </c>
      <c r="AF15" s="56"/>
      <c r="AG15" s="56"/>
      <c r="AH15" s="57" t="s">
        <v>2135</v>
      </c>
      <c r="AI15" s="58" t="str">
        <f t="shared" si="0"/>
        <v>To what extent do you use should cost models to challenge and negotiate supplier pricing?_</v>
      </c>
    </row>
    <row r="16" spans="1:35" ht="101.5" x14ac:dyDescent="0.35">
      <c r="A16" s="56">
        <v>2</v>
      </c>
      <c r="B16" s="56" t="s">
        <v>1451</v>
      </c>
      <c r="C16" s="56" t="s">
        <v>1452</v>
      </c>
      <c r="D16" s="56" t="s">
        <v>1224</v>
      </c>
      <c r="E16" s="56" t="s">
        <v>1453</v>
      </c>
      <c r="F16" s="56"/>
      <c r="G16" s="56" t="s">
        <v>1289</v>
      </c>
      <c r="H16" s="56" t="s">
        <v>1316</v>
      </c>
      <c r="I16" s="56"/>
      <c r="J16" s="56" t="s">
        <v>1288</v>
      </c>
      <c r="K16" s="56" t="s">
        <v>1312</v>
      </c>
      <c r="L16" s="56" t="s">
        <v>1313</v>
      </c>
      <c r="M16" s="56" t="s">
        <v>1314</v>
      </c>
      <c r="N16" s="56" t="s">
        <v>1315</v>
      </c>
      <c r="O16" s="56">
        <v>3</v>
      </c>
      <c r="P16" s="56">
        <v>0.04</v>
      </c>
      <c r="Q16" s="56">
        <v>0.1</v>
      </c>
      <c r="R16" s="56">
        <v>0.8</v>
      </c>
      <c r="S16" s="56">
        <v>6.7857142999999995E-2</v>
      </c>
      <c r="T16" s="56">
        <v>8.2857142999999994E-2</v>
      </c>
      <c r="U16" s="56">
        <v>2714285.7140000002</v>
      </c>
      <c r="V16" s="56">
        <v>3314285.7140000002</v>
      </c>
      <c r="W16" s="56">
        <v>0.02</v>
      </c>
      <c r="X16" s="56">
        <v>0.05</v>
      </c>
      <c r="Y16" s="56">
        <v>2.75E-2</v>
      </c>
      <c r="Z16" s="56">
        <v>0.13580246900000001</v>
      </c>
      <c r="AA16" s="56">
        <v>368606.70189999999</v>
      </c>
      <c r="AB16" s="56">
        <v>450088.18339999998</v>
      </c>
      <c r="AC16" s="56" t="s">
        <v>1516</v>
      </c>
      <c r="AD16" s="56"/>
      <c r="AE16" s="56" t="s">
        <v>1493</v>
      </c>
      <c r="AF16" s="56"/>
      <c r="AG16" s="56"/>
      <c r="AH16" s="57" t="s">
        <v>2135</v>
      </c>
      <c r="AI16" s="58" t="str">
        <f t="shared" si="0"/>
        <v>To what extent do you use should cost models to challenge and negotiate supplier pricing?_</v>
      </c>
    </row>
    <row r="17" spans="1:35" ht="101.5" x14ac:dyDescent="0.35">
      <c r="A17" s="56">
        <v>2</v>
      </c>
      <c r="B17" s="56" t="s">
        <v>1451</v>
      </c>
      <c r="C17" s="56" t="s">
        <v>1452</v>
      </c>
      <c r="D17" s="56" t="s">
        <v>1224</v>
      </c>
      <c r="E17" s="56" t="s">
        <v>1453</v>
      </c>
      <c r="F17" s="56"/>
      <c r="G17" s="56" t="s">
        <v>1289</v>
      </c>
      <c r="H17" s="56" t="s">
        <v>1316</v>
      </c>
      <c r="I17" s="56"/>
      <c r="J17" s="56" t="s">
        <v>1288</v>
      </c>
      <c r="K17" s="56" t="s">
        <v>1312</v>
      </c>
      <c r="L17" s="56" t="s">
        <v>1313</v>
      </c>
      <c r="M17" s="56" t="s">
        <v>1314</v>
      </c>
      <c r="N17" s="56" t="s">
        <v>1315</v>
      </c>
      <c r="O17" s="56">
        <v>3</v>
      </c>
      <c r="P17" s="56">
        <v>0.04</v>
      </c>
      <c r="Q17" s="56">
        <v>0.1</v>
      </c>
      <c r="R17" s="56">
        <v>0.8</v>
      </c>
      <c r="S17" s="56">
        <v>6.7857142999999995E-2</v>
      </c>
      <c r="T17" s="56">
        <v>8.2857142999999994E-2</v>
      </c>
      <c r="U17" s="56">
        <v>2714285.7140000002</v>
      </c>
      <c r="V17" s="56">
        <v>3314285.7140000002</v>
      </c>
      <c r="W17" s="56">
        <v>0.02</v>
      </c>
      <c r="X17" s="56">
        <v>0.05</v>
      </c>
      <c r="Y17" s="56">
        <v>2.75E-2</v>
      </c>
      <c r="Z17" s="56">
        <v>0.13580246900000001</v>
      </c>
      <c r="AA17" s="56">
        <v>368606.70189999999</v>
      </c>
      <c r="AB17" s="56">
        <v>450088.18339999998</v>
      </c>
      <c r="AC17" s="56" t="s">
        <v>1530</v>
      </c>
      <c r="AD17" s="56"/>
      <c r="AE17" s="56" t="s">
        <v>1493</v>
      </c>
      <c r="AF17" s="56"/>
      <c r="AG17" s="56"/>
      <c r="AH17" s="57" t="s">
        <v>2135</v>
      </c>
      <c r="AI17" s="58" t="str">
        <f t="shared" si="0"/>
        <v>To what extent do you use should cost models to challenge and negotiate supplier pricing?_</v>
      </c>
    </row>
    <row r="18" spans="1:35" ht="116" x14ac:dyDescent="0.35">
      <c r="A18" s="56">
        <v>3</v>
      </c>
      <c r="B18" s="56" t="s">
        <v>1451</v>
      </c>
      <c r="C18" s="56" t="s">
        <v>1452</v>
      </c>
      <c r="D18" s="56" t="s">
        <v>1224</v>
      </c>
      <c r="E18" s="56" t="s">
        <v>1453</v>
      </c>
      <c r="F18" s="56"/>
      <c r="G18" s="56" t="s">
        <v>1279</v>
      </c>
      <c r="H18" s="56" t="s">
        <v>1336</v>
      </c>
      <c r="I18" s="56"/>
      <c r="J18" s="56" t="s">
        <v>1239</v>
      </c>
      <c r="K18" s="56" t="s">
        <v>1332</v>
      </c>
      <c r="L18" s="56" t="s">
        <v>1333</v>
      </c>
      <c r="M18" s="56" t="s">
        <v>1334</v>
      </c>
      <c r="N18" s="56" t="s">
        <v>1335</v>
      </c>
      <c r="O18" s="56">
        <v>2</v>
      </c>
      <c r="P18" s="56">
        <v>0.04</v>
      </c>
      <c r="Q18" s="56">
        <v>0.1</v>
      </c>
      <c r="R18" s="56">
        <v>0.8</v>
      </c>
      <c r="S18" s="56">
        <v>6.7857142999999995E-2</v>
      </c>
      <c r="T18" s="56">
        <v>8.2857142999999994E-2</v>
      </c>
      <c r="U18" s="56">
        <v>2714285.7140000002</v>
      </c>
      <c r="V18" s="56">
        <v>3314285.7140000002</v>
      </c>
      <c r="W18" s="56">
        <v>0.02</v>
      </c>
      <c r="X18" s="56">
        <v>0.03</v>
      </c>
      <c r="Y18" s="56">
        <v>2.5000000000000001E-2</v>
      </c>
      <c r="Z18" s="56">
        <v>0.12345679</v>
      </c>
      <c r="AA18" s="56">
        <v>335097.00180000003</v>
      </c>
      <c r="AB18" s="56">
        <v>409171.07579999999</v>
      </c>
      <c r="AC18" s="56" t="s">
        <v>1631</v>
      </c>
      <c r="AD18" s="56" t="s">
        <v>1466</v>
      </c>
      <c r="AE18" s="56" t="s">
        <v>2046</v>
      </c>
      <c r="AF18" s="56"/>
      <c r="AG18" s="56"/>
      <c r="AH18" s="57" t="s">
        <v>2136</v>
      </c>
      <c r="AI18" s="58" t="str">
        <f t="shared" si="0"/>
        <v>Do you review pack sizes and explore delivery options in bulk or flexi tanks to streamline supply chain operations and reduce costs?_</v>
      </c>
    </row>
    <row r="19" spans="1:35" ht="72.5" x14ac:dyDescent="0.35">
      <c r="A19" s="56">
        <v>3</v>
      </c>
      <c r="B19" s="56" t="s">
        <v>1451</v>
      </c>
      <c r="C19" s="56" t="s">
        <v>1452</v>
      </c>
      <c r="D19" s="56" t="s">
        <v>1224</v>
      </c>
      <c r="E19" s="56" t="s">
        <v>1453</v>
      </c>
      <c r="F19" s="56"/>
      <c r="G19" s="56" t="s">
        <v>1279</v>
      </c>
      <c r="H19" s="56" t="s">
        <v>1336</v>
      </c>
      <c r="I19" s="56"/>
      <c r="J19" s="56" t="s">
        <v>1239</v>
      </c>
      <c r="K19" s="56" t="s">
        <v>1332</v>
      </c>
      <c r="L19" s="56" t="s">
        <v>1333</v>
      </c>
      <c r="M19" s="56" t="s">
        <v>1334</v>
      </c>
      <c r="N19" s="56" t="s">
        <v>1335</v>
      </c>
      <c r="O19" s="56">
        <v>2</v>
      </c>
      <c r="P19" s="56">
        <v>0.04</v>
      </c>
      <c r="Q19" s="56">
        <v>0.1</v>
      </c>
      <c r="R19" s="56">
        <v>0.8</v>
      </c>
      <c r="S19" s="56">
        <v>6.7857142999999995E-2</v>
      </c>
      <c r="T19" s="56">
        <v>8.2857142999999994E-2</v>
      </c>
      <c r="U19" s="56">
        <v>2714285.7140000002</v>
      </c>
      <c r="V19" s="56">
        <v>3314285.7140000002</v>
      </c>
      <c r="W19" s="56">
        <v>0.02</v>
      </c>
      <c r="X19" s="56">
        <v>0.03</v>
      </c>
      <c r="Y19" s="56">
        <v>2.5000000000000001E-2</v>
      </c>
      <c r="Z19" s="56">
        <v>0.12345679</v>
      </c>
      <c r="AA19" s="56">
        <v>335097.00180000003</v>
      </c>
      <c r="AB19" s="56">
        <v>409171.07579999999</v>
      </c>
      <c r="AC19" s="56" t="s">
        <v>1503</v>
      </c>
      <c r="AD19" s="56"/>
      <c r="AE19" s="56" t="s">
        <v>1493</v>
      </c>
      <c r="AF19" s="56"/>
      <c r="AG19" s="56"/>
      <c r="AH19" s="57" t="s">
        <v>2136</v>
      </c>
      <c r="AI19" s="58" t="str">
        <f t="shared" si="0"/>
        <v>Do you review pack sizes and explore delivery options in bulk or flexi tanks to streamline supply chain operations and reduce costs?_</v>
      </c>
    </row>
    <row r="20" spans="1:35" ht="72.5" x14ac:dyDescent="0.35">
      <c r="A20" s="56">
        <v>3</v>
      </c>
      <c r="B20" s="56" t="s">
        <v>1451</v>
      </c>
      <c r="C20" s="56" t="s">
        <v>1452</v>
      </c>
      <c r="D20" s="56" t="s">
        <v>1224</v>
      </c>
      <c r="E20" s="56" t="s">
        <v>1453</v>
      </c>
      <c r="F20" s="56"/>
      <c r="G20" s="56" t="s">
        <v>1279</v>
      </c>
      <c r="H20" s="56" t="s">
        <v>1336</v>
      </c>
      <c r="I20" s="56"/>
      <c r="J20" s="56" t="s">
        <v>1239</v>
      </c>
      <c r="K20" s="56" t="s">
        <v>1332</v>
      </c>
      <c r="L20" s="56" t="s">
        <v>1333</v>
      </c>
      <c r="M20" s="56" t="s">
        <v>1334</v>
      </c>
      <c r="N20" s="56" t="s">
        <v>1335</v>
      </c>
      <c r="O20" s="56">
        <v>2</v>
      </c>
      <c r="P20" s="56">
        <v>0.04</v>
      </c>
      <c r="Q20" s="56">
        <v>0.1</v>
      </c>
      <c r="R20" s="56">
        <v>0.8</v>
      </c>
      <c r="S20" s="56">
        <v>6.7857142999999995E-2</v>
      </c>
      <c r="T20" s="56">
        <v>8.2857142999999994E-2</v>
      </c>
      <c r="U20" s="56">
        <v>2714285.7140000002</v>
      </c>
      <c r="V20" s="56">
        <v>3314285.7140000002</v>
      </c>
      <c r="W20" s="56">
        <v>0.02</v>
      </c>
      <c r="X20" s="56">
        <v>0.03</v>
      </c>
      <c r="Y20" s="56">
        <v>2.5000000000000001E-2</v>
      </c>
      <c r="Z20" s="56">
        <v>0.12345679</v>
      </c>
      <c r="AA20" s="56">
        <v>335097.00180000003</v>
      </c>
      <c r="AB20" s="56">
        <v>409171.07579999999</v>
      </c>
      <c r="AC20" s="56" t="s">
        <v>1531</v>
      </c>
      <c r="AD20" s="56"/>
      <c r="AE20" s="56" t="s">
        <v>1493</v>
      </c>
      <c r="AF20" s="56"/>
      <c r="AG20" s="56"/>
      <c r="AH20" s="57" t="s">
        <v>2136</v>
      </c>
      <c r="AI20" s="58" t="str">
        <f t="shared" si="0"/>
        <v>Do you review pack sizes and explore delivery options in bulk or flexi tanks to streamline supply chain operations and reduce costs?_</v>
      </c>
    </row>
    <row r="21" spans="1:35" ht="72.5" x14ac:dyDescent="0.35">
      <c r="A21" s="56">
        <v>3</v>
      </c>
      <c r="B21" s="56" t="s">
        <v>1451</v>
      </c>
      <c r="C21" s="56" t="s">
        <v>1452</v>
      </c>
      <c r="D21" s="56" t="s">
        <v>1224</v>
      </c>
      <c r="E21" s="56" t="s">
        <v>1453</v>
      </c>
      <c r="F21" s="56"/>
      <c r="G21" s="56" t="s">
        <v>1279</v>
      </c>
      <c r="H21" s="56" t="s">
        <v>1336</v>
      </c>
      <c r="I21" s="56"/>
      <c r="J21" s="56" t="s">
        <v>1239</v>
      </c>
      <c r="K21" s="56" t="s">
        <v>1332</v>
      </c>
      <c r="L21" s="56" t="s">
        <v>1333</v>
      </c>
      <c r="M21" s="56" t="s">
        <v>1334</v>
      </c>
      <c r="N21" s="56" t="s">
        <v>1335</v>
      </c>
      <c r="O21" s="56">
        <v>2</v>
      </c>
      <c r="P21" s="56">
        <v>0.04</v>
      </c>
      <c r="Q21" s="56">
        <v>0.1</v>
      </c>
      <c r="R21" s="56">
        <v>0.8</v>
      </c>
      <c r="S21" s="56">
        <v>6.7857142999999995E-2</v>
      </c>
      <c r="T21" s="56">
        <v>8.2857142999999994E-2</v>
      </c>
      <c r="U21" s="56">
        <v>2714285.7140000002</v>
      </c>
      <c r="V21" s="56">
        <v>3314285.7140000002</v>
      </c>
      <c r="W21" s="56">
        <v>0.02</v>
      </c>
      <c r="X21" s="56">
        <v>0.03</v>
      </c>
      <c r="Y21" s="56">
        <v>2.5000000000000001E-2</v>
      </c>
      <c r="Z21" s="56">
        <v>0.12345679</v>
      </c>
      <c r="AA21" s="56">
        <v>335097.00180000003</v>
      </c>
      <c r="AB21" s="56">
        <v>409171.07579999999</v>
      </c>
      <c r="AC21" s="56" t="s">
        <v>1496</v>
      </c>
      <c r="AD21" s="56"/>
      <c r="AE21" s="56" t="s">
        <v>1493</v>
      </c>
      <c r="AF21" s="56"/>
      <c r="AG21" s="56"/>
      <c r="AH21" s="57" t="s">
        <v>2136</v>
      </c>
      <c r="AI21" s="58" t="str">
        <f t="shared" si="0"/>
        <v>Do you review pack sizes and explore delivery options in bulk or flexi tanks to streamline supply chain operations and reduce costs?_</v>
      </c>
    </row>
    <row r="22" spans="1:35" ht="72.5" x14ac:dyDescent="0.35">
      <c r="A22" s="56">
        <v>3</v>
      </c>
      <c r="B22" s="56" t="s">
        <v>1451</v>
      </c>
      <c r="C22" s="56" t="s">
        <v>1452</v>
      </c>
      <c r="D22" s="56" t="s">
        <v>1224</v>
      </c>
      <c r="E22" s="56" t="s">
        <v>1453</v>
      </c>
      <c r="F22" s="56"/>
      <c r="G22" s="56" t="s">
        <v>1279</v>
      </c>
      <c r="H22" s="56" t="s">
        <v>1336</v>
      </c>
      <c r="I22" s="56"/>
      <c r="J22" s="56" t="s">
        <v>1239</v>
      </c>
      <c r="K22" s="56" t="s">
        <v>1332</v>
      </c>
      <c r="L22" s="56" t="s">
        <v>1333</v>
      </c>
      <c r="M22" s="56" t="s">
        <v>1334</v>
      </c>
      <c r="N22" s="56" t="s">
        <v>1335</v>
      </c>
      <c r="O22" s="56">
        <v>2</v>
      </c>
      <c r="P22" s="56">
        <v>0.04</v>
      </c>
      <c r="Q22" s="56">
        <v>0.1</v>
      </c>
      <c r="R22" s="56">
        <v>0.8</v>
      </c>
      <c r="S22" s="56">
        <v>6.7857142999999995E-2</v>
      </c>
      <c r="T22" s="56">
        <v>8.2857142999999994E-2</v>
      </c>
      <c r="U22" s="56">
        <v>2714285.7140000002</v>
      </c>
      <c r="V22" s="56">
        <v>3314285.7140000002</v>
      </c>
      <c r="W22" s="56">
        <v>0.02</v>
      </c>
      <c r="X22" s="56">
        <v>0.03</v>
      </c>
      <c r="Y22" s="56">
        <v>2.5000000000000001E-2</v>
      </c>
      <c r="Z22" s="56">
        <v>0.12345679</v>
      </c>
      <c r="AA22" s="56">
        <v>335097.00180000003</v>
      </c>
      <c r="AB22" s="56">
        <v>409171.07579999999</v>
      </c>
      <c r="AC22" s="56" t="s">
        <v>1495</v>
      </c>
      <c r="AD22" s="56"/>
      <c r="AE22" s="56" t="s">
        <v>1493</v>
      </c>
      <c r="AF22" s="56"/>
      <c r="AG22" s="56"/>
      <c r="AH22" s="57" t="s">
        <v>2136</v>
      </c>
      <c r="AI22" s="58" t="str">
        <f t="shared" si="0"/>
        <v>Do you review pack sizes and explore delivery options in bulk or flexi tanks to streamline supply chain operations and reduce costs?_</v>
      </c>
    </row>
    <row r="23" spans="1:35" ht="72.5" x14ac:dyDescent="0.35">
      <c r="A23" s="56">
        <v>3</v>
      </c>
      <c r="B23" s="56" t="s">
        <v>1451</v>
      </c>
      <c r="C23" s="56" t="s">
        <v>1452</v>
      </c>
      <c r="D23" s="56" t="s">
        <v>1224</v>
      </c>
      <c r="E23" s="56" t="s">
        <v>1453</v>
      </c>
      <c r="F23" s="56"/>
      <c r="G23" s="56" t="s">
        <v>1279</v>
      </c>
      <c r="H23" s="56" t="s">
        <v>1336</v>
      </c>
      <c r="I23" s="56"/>
      <c r="J23" s="56" t="s">
        <v>1239</v>
      </c>
      <c r="K23" s="56" t="s">
        <v>1332</v>
      </c>
      <c r="L23" s="56" t="s">
        <v>1333</v>
      </c>
      <c r="M23" s="56" t="s">
        <v>1334</v>
      </c>
      <c r="N23" s="56" t="s">
        <v>1335</v>
      </c>
      <c r="O23" s="56">
        <v>2</v>
      </c>
      <c r="P23" s="56">
        <v>0.04</v>
      </c>
      <c r="Q23" s="56">
        <v>0.1</v>
      </c>
      <c r="R23" s="56">
        <v>0.8</v>
      </c>
      <c r="S23" s="56">
        <v>6.7857142999999995E-2</v>
      </c>
      <c r="T23" s="56">
        <v>8.2857142999999994E-2</v>
      </c>
      <c r="U23" s="56">
        <v>2714285.7140000002</v>
      </c>
      <c r="V23" s="56">
        <v>3314285.7140000002</v>
      </c>
      <c r="W23" s="56">
        <v>0.02</v>
      </c>
      <c r="X23" s="56">
        <v>0.03</v>
      </c>
      <c r="Y23" s="56">
        <v>2.5000000000000001E-2</v>
      </c>
      <c r="Z23" s="56">
        <v>0.12345679</v>
      </c>
      <c r="AA23" s="56">
        <v>335097.00180000003</v>
      </c>
      <c r="AB23" s="56">
        <v>409171.07579999999</v>
      </c>
      <c r="AC23" s="56" t="s">
        <v>1509</v>
      </c>
      <c r="AD23" s="56"/>
      <c r="AE23" s="56" t="s">
        <v>1493</v>
      </c>
      <c r="AF23" s="56"/>
      <c r="AG23" s="56"/>
      <c r="AH23" s="57" t="s">
        <v>2136</v>
      </c>
      <c r="AI23" s="58" t="str">
        <f t="shared" si="0"/>
        <v>Do you review pack sizes and explore delivery options in bulk or flexi tanks to streamline supply chain operations and reduce costs?_</v>
      </c>
    </row>
    <row r="24" spans="1:35" ht="72.5" x14ac:dyDescent="0.35">
      <c r="A24" s="56">
        <v>3</v>
      </c>
      <c r="B24" s="56" t="s">
        <v>1451</v>
      </c>
      <c r="C24" s="56" t="s">
        <v>1452</v>
      </c>
      <c r="D24" s="56" t="s">
        <v>1224</v>
      </c>
      <c r="E24" s="56" t="s">
        <v>1453</v>
      </c>
      <c r="F24" s="56"/>
      <c r="G24" s="56" t="s">
        <v>1279</v>
      </c>
      <c r="H24" s="56" t="s">
        <v>1336</v>
      </c>
      <c r="I24" s="56"/>
      <c r="J24" s="56" t="s">
        <v>1239</v>
      </c>
      <c r="K24" s="56" t="s">
        <v>1332</v>
      </c>
      <c r="L24" s="56" t="s">
        <v>1333</v>
      </c>
      <c r="M24" s="56" t="s">
        <v>1334</v>
      </c>
      <c r="N24" s="56" t="s">
        <v>1335</v>
      </c>
      <c r="O24" s="56">
        <v>2</v>
      </c>
      <c r="P24" s="56">
        <v>0.04</v>
      </c>
      <c r="Q24" s="56">
        <v>0.1</v>
      </c>
      <c r="R24" s="56">
        <v>0.8</v>
      </c>
      <c r="S24" s="56">
        <v>6.7857142999999995E-2</v>
      </c>
      <c r="T24" s="56">
        <v>8.2857142999999994E-2</v>
      </c>
      <c r="U24" s="56">
        <v>2714285.7140000002</v>
      </c>
      <c r="V24" s="56">
        <v>3314285.7140000002</v>
      </c>
      <c r="W24" s="56">
        <v>0.02</v>
      </c>
      <c r="X24" s="56">
        <v>0.03</v>
      </c>
      <c r="Y24" s="56">
        <v>2.5000000000000001E-2</v>
      </c>
      <c r="Z24" s="56">
        <v>0.12345679</v>
      </c>
      <c r="AA24" s="56">
        <v>335097.00180000003</v>
      </c>
      <c r="AB24" s="56">
        <v>409171.07579999999</v>
      </c>
      <c r="AC24" s="56" t="s">
        <v>1516</v>
      </c>
      <c r="AD24" s="56"/>
      <c r="AE24" s="56" t="s">
        <v>1493</v>
      </c>
      <c r="AF24" s="56"/>
      <c r="AG24" s="56"/>
      <c r="AH24" s="57" t="s">
        <v>2136</v>
      </c>
      <c r="AI24" s="58" t="str">
        <f t="shared" si="0"/>
        <v>Do you review pack sizes and explore delivery options in bulk or flexi tanks to streamline supply chain operations and reduce costs?_</v>
      </c>
    </row>
    <row r="25" spans="1:35" ht="145" x14ac:dyDescent="0.35">
      <c r="A25" s="56">
        <v>4</v>
      </c>
      <c r="B25" s="56" t="s">
        <v>1451</v>
      </c>
      <c r="C25" s="56" t="s">
        <v>1452</v>
      </c>
      <c r="D25" s="56" t="s">
        <v>1224</v>
      </c>
      <c r="E25" s="56" t="s">
        <v>1453</v>
      </c>
      <c r="F25" s="56"/>
      <c r="G25" s="56" t="s">
        <v>1291</v>
      </c>
      <c r="H25" s="56" t="s">
        <v>1379</v>
      </c>
      <c r="I25" s="56"/>
      <c r="J25" s="56" t="s">
        <v>1290</v>
      </c>
      <c r="K25" s="56" t="s">
        <v>1375</v>
      </c>
      <c r="L25" s="56" t="s">
        <v>1376</v>
      </c>
      <c r="M25" s="56" t="s">
        <v>1377</v>
      </c>
      <c r="N25" s="56" t="s">
        <v>1378</v>
      </c>
      <c r="O25" s="56">
        <v>2</v>
      </c>
      <c r="P25" s="56">
        <v>0.04</v>
      </c>
      <c r="Q25" s="56">
        <v>0.1</v>
      </c>
      <c r="R25" s="56">
        <v>0.8</v>
      </c>
      <c r="S25" s="56">
        <v>6.7857142999999995E-2</v>
      </c>
      <c r="T25" s="56">
        <v>8.2857142999999994E-2</v>
      </c>
      <c r="U25" s="56">
        <v>2714285.7140000002</v>
      </c>
      <c r="V25" s="56">
        <v>3314285.7140000002</v>
      </c>
      <c r="W25" s="56">
        <v>0.02</v>
      </c>
      <c r="X25" s="56">
        <v>0.03</v>
      </c>
      <c r="Y25" s="56">
        <v>2.5000000000000001E-2</v>
      </c>
      <c r="Z25" s="56">
        <v>0.12345679</v>
      </c>
      <c r="AA25" s="56">
        <v>335097.00180000003</v>
      </c>
      <c r="AB25" s="56">
        <v>409171.07579999999</v>
      </c>
      <c r="AC25" s="56" t="s">
        <v>2137</v>
      </c>
      <c r="AD25" s="56" t="s">
        <v>2138</v>
      </c>
      <c r="AE25" s="56" t="s">
        <v>2046</v>
      </c>
      <c r="AF25" s="56" t="s">
        <v>2066</v>
      </c>
      <c r="AG25" s="56"/>
      <c r="AH25" s="57" t="s">
        <v>2139</v>
      </c>
      <c r="AI25" s="58" t="str">
        <f t="shared" si="0"/>
        <v>How often do you identify opportunities to simplify your portfolio of vegetable oils to enhance procurement efficiency?_If vegetable oil PO/invoice analysis reveals identical oil grades with &gt;20% price variance across suppliers, simplify portfolio by consolidating to suppliers offering consistent pricing while maintaining quality specifications that meet &gt;80% of applications. List down those potential suppliers</v>
      </c>
    </row>
    <row r="26" spans="1:35" ht="72.5" x14ac:dyDescent="0.35">
      <c r="A26" s="56">
        <v>4</v>
      </c>
      <c r="B26" s="56" t="s">
        <v>1451</v>
      </c>
      <c r="C26" s="56" t="s">
        <v>1452</v>
      </c>
      <c r="D26" s="56" t="s">
        <v>1224</v>
      </c>
      <c r="E26" s="56" t="s">
        <v>1453</v>
      </c>
      <c r="F26" s="56"/>
      <c r="G26" s="56" t="s">
        <v>1291</v>
      </c>
      <c r="H26" s="56" t="s">
        <v>1379</v>
      </c>
      <c r="I26" s="56"/>
      <c r="J26" s="56" t="s">
        <v>1290</v>
      </c>
      <c r="K26" s="56" t="s">
        <v>1375</v>
      </c>
      <c r="L26" s="56" t="s">
        <v>1376</v>
      </c>
      <c r="M26" s="56" t="s">
        <v>1377</v>
      </c>
      <c r="N26" s="56" t="s">
        <v>1378</v>
      </c>
      <c r="O26" s="56">
        <v>2</v>
      </c>
      <c r="P26" s="56">
        <v>0.04</v>
      </c>
      <c r="Q26" s="56">
        <v>0.1</v>
      </c>
      <c r="R26" s="56">
        <v>0.8</v>
      </c>
      <c r="S26" s="56">
        <v>6.7857142999999995E-2</v>
      </c>
      <c r="T26" s="56">
        <v>8.2857142999999994E-2</v>
      </c>
      <c r="U26" s="56">
        <v>2714285.7140000002</v>
      </c>
      <c r="V26" s="56">
        <v>3314285.7140000002</v>
      </c>
      <c r="W26" s="56">
        <v>0.02</v>
      </c>
      <c r="X26" s="56">
        <v>0.03</v>
      </c>
      <c r="Y26" s="56">
        <v>2.5000000000000001E-2</v>
      </c>
      <c r="Z26" s="56">
        <v>0.12345679</v>
      </c>
      <c r="AA26" s="56">
        <v>335097.00180000003</v>
      </c>
      <c r="AB26" s="56">
        <v>409171.07579999999</v>
      </c>
      <c r="AC26" s="56" t="s">
        <v>1500</v>
      </c>
      <c r="AD26" s="56"/>
      <c r="AE26" s="56" t="s">
        <v>1493</v>
      </c>
      <c r="AF26" s="56"/>
      <c r="AG26" s="56"/>
      <c r="AH26" s="57" t="s">
        <v>2140</v>
      </c>
      <c r="AI26" s="58" t="str">
        <f t="shared" si="0"/>
        <v>How often do you identify opportunities to simplify your portfolio of vegetable oils to enhance procurement efficiency?_</v>
      </c>
    </row>
    <row r="27" spans="1:35" ht="72.5" x14ac:dyDescent="0.35">
      <c r="A27" s="56">
        <v>4</v>
      </c>
      <c r="B27" s="56" t="s">
        <v>1451</v>
      </c>
      <c r="C27" s="56" t="s">
        <v>1452</v>
      </c>
      <c r="D27" s="56" t="s">
        <v>1224</v>
      </c>
      <c r="E27" s="56" t="s">
        <v>1453</v>
      </c>
      <c r="F27" s="56"/>
      <c r="G27" s="56" t="s">
        <v>1291</v>
      </c>
      <c r="H27" s="56" t="s">
        <v>1379</v>
      </c>
      <c r="I27" s="56"/>
      <c r="J27" s="56" t="s">
        <v>1290</v>
      </c>
      <c r="K27" s="56" t="s">
        <v>1375</v>
      </c>
      <c r="L27" s="56" t="s">
        <v>1376</v>
      </c>
      <c r="M27" s="56" t="s">
        <v>1377</v>
      </c>
      <c r="N27" s="56" t="s">
        <v>1378</v>
      </c>
      <c r="O27" s="56">
        <v>2</v>
      </c>
      <c r="P27" s="56">
        <v>0.04</v>
      </c>
      <c r="Q27" s="56">
        <v>0.1</v>
      </c>
      <c r="R27" s="56">
        <v>0.8</v>
      </c>
      <c r="S27" s="56">
        <v>6.7857142999999995E-2</v>
      </c>
      <c r="T27" s="56">
        <v>8.2857142999999994E-2</v>
      </c>
      <c r="U27" s="56">
        <v>2714285.7140000002</v>
      </c>
      <c r="V27" s="56">
        <v>3314285.7140000002</v>
      </c>
      <c r="W27" s="56">
        <v>0.02</v>
      </c>
      <c r="X27" s="56">
        <v>0.03</v>
      </c>
      <c r="Y27" s="56">
        <v>2.5000000000000001E-2</v>
      </c>
      <c r="Z27" s="56">
        <v>0.12345679</v>
      </c>
      <c r="AA27" s="56">
        <v>335097.00180000003</v>
      </c>
      <c r="AB27" s="56">
        <v>409171.07579999999</v>
      </c>
      <c r="AC27" s="56" t="s">
        <v>1507</v>
      </c>
      <c r="AD27" s="56"/>
      <c r="AE27" s="56" t="s">
        <v>1493</v>
      </c>
      <c r="AF27" s="56"/>
      <c r="AG27" s="56"/>
      <c r="AH27" s="57" t="s">
        <v>2140</v>
      </c>
      <c r="AI27" s="58" t="str">
        <f t="shared" si="0"/>
        <v>How often do you identify opportunities to simplify your portfolio of vegetable oils to enhance procurement efficiency?_</v>
      </c>
    </row>
    <row r="28" spans="1:35" ht="72.5" x14ac:dyDescent="0.35">
      <c r="A28" s="56">
        <v>4</v>
      </c>
      <c r="B28" s="56" t="s">
        <v>1451</v>
      </c>
      <c r="C28" s="56" t="s">
        <v>1452</v>
      </c>
      <c r="D28" s="56" t="s">
        <v>1224</v>
      </c>
      <c r="E28" s="56" t="s">
        <v>1453</v>
      </c>
      <c r="F28" s="56"/>
      <c r="G28" s="56" t="s">
        <v>1291</v>
      </c>
      <c r="H28" s="56" t="s">
        <v>1379</v>
      </c>
      <c r="I28" s="56"/>
      <c r="J28" s="56" t="s">
        <v>1290</v>
      </c>
      <c r="K28" s="56" t="s">
        <v>1375</v>
      </c>
      <c r="L28" s="56" t="s">
        <v>1376</v>
      </c>
      <c r="M28" s="56" t="s">
        <v>1377</v>
      </c>
      <c r="N28" s="56" t="s">
        <v>1378</v>
      </c>
      <c r="O28" s="56">
        <v>2</v>
      </c>
      <c r="P28" s="56">
        <v>0.04</v>
      </c>
      <c r="Q28" s="56">
        <v>0.1</v>
      </c>
      <c r="R28" s="56">
        <v>0.8</v>
      </c>
      <c r="S28" s="56">
        <v>6.7857142999999995E-2</v>
      </c>
      <c r="T28" s="56">
        <v>8.2857142999999994E-2</v>
      </c>
      <c r="U28" s="56">
        <v>2714285.7140000002</v>
      </c>
      <c r="V28" s="56">
        <v>3314285.7140000002</v>
      </c>
      <c r="W28" s="56">
        <v>0.02</v>
      </c>
      <c r="X28" s="56">
        <v>0.03</v>
      </c>
      <c r="Y28" s="56">
        <v>2.5000000000000001E-2</v>
      </c>
      <c r="Z28" s="56">
        <v>0.12345679</v>
      </c>
      <c r="AA28" s="56">
        <v>335097.00180000003</v>
      </c>
      <c r="AB28" s="56">
        <v>409171.07579999999</v>
      </c>
      <c r="AC28" s="56" t="s">
        <v>1532</v>
      </c>
      <c r="AD28" s="56"/>
      <c r="AE28" s="56" t="s">
        <v>1493</v>
      </c>
      <c r="AF28" s="56"/>
      <c r="AG28" s="56"/>
      <c r="AH28" s="57" t="s">
        <v>2140</v>
      </c>
      <c r="AI28" s="58" t="str">
        <f t="shared" si="0"/>
        <v>How often do you identify opportunities to simplify your portfolio of vegetable oils to enhance procurement efficiency?_</v>
      </c>
    </row>
    <row r="29" spans="1:35" ht="72.5" x14ac:dyDescent="0.35">
      <c r="A29" s="56">
        <v>4</v>
      </c>
      <c r="B29" s="56" t="s">
        <v>1451</v>
      </c>
      <c r="C29" s="56" t="s">
        <v>1452</v>
      </c>
      <c r="D29" s="56" t="s">
        <v>1224</v>
      </c>
      <c r="E29" s="56" t="s">
        <v>1453</v>
      </c>
      <c r="F29" s="56"/>
      <c r="G29" s="56" t="s">
        <v>1291</v>
      </c>
      <c r="H29" s="56" t="s">
        <v>1379</v>
      </c>
      <c r="I29" s="56"/>
      <c r="J29" s="56" t="s">
        <v>1290</v>
      </c>
      <c r="K29" s="56" t="s">
        <v>1375</v>
      </c>
      <c r="L29" s="56" t="s">
        <v>1376</v>
      </c>
      <c r="M29" s="56" t="s">
        <v>1377</v>
      </c>
      <c r="N29" s="56" t="s">
        <v>1378</v>
      </c>
      <c r="O29" s="56">
        <v>2</v>
      </c>
      <c r="P29" s="56">
        <v>0.04</v>
      </c>
      <c r="Q29" s="56">
        <v>0.1</v>
      </c>
      <c r="R29" s="56">
        <v>0.8</v>
      </c>
      <c r="S29" s="56">
        <v>6.7857142999999995E-2</v>
      </c>
      <c r="T29" s="56">
        <v>8.2857142999999994E-2</v>
      </c>
      <c r="U29" s="56">
        <v>2714285.7140000002</v>
      </c>
      <c r="V29" s="56">
        <v>3314285.7140000002</v>
      </c>
      <c r="W29" s="56">
        <v>0.02</v>
      </c>
      <c r="X29" s="56">
        <v>0.03</v>
      </c>
      <c r="Y29" s="56">
        <v>2.5000000000000001E-2</v>
      </c>
      <c r="Z29" s="56">
        <v>0.12345679</v>
      </c>
      <c r="AA29" s="56">
        <v>335097.00180000003</v>
      </c>
      <c r="AB29" s="56">
        <v>409171.07579999999</v>
      </c>
      <c r="AC29" s="56" t="s">
        <v>1515</v>
      </c>
      <c r="AD29" s="56"/>
      <c r="AE29" s="56" t="s">
        <v>1493</v>
      </c>
      <c r="AF29" s="56"/>
      <c r="AG29" s="56"/>
      <c r="AH29" s="57" t="s">
        <v>2140</v>
      </c>
      <c r="AI29" s="58" t="str">
        <f t="shared" si="0"/>
        <v>How often do you identify opportunities to simplify your portfolio of vegetable oils to enhance procurement efficiency?_</v>
      </c>
    </row>
    <row r="30" spans="1:35" ht="145" x14ac:dyDescent="0.35">
      <c r="A30" s="56">
        <v>5</v>
      </c>
      <c r="B30" s="56" t="s">
        <v>1451</v>
      </c>
      <c r="C30" s="56" t="s">
        <v>1452</v>
      </c>
      <c r="D30" s="56" t="s">
        <v>1224</v>
      </c>
      <c r="E30" s="56" t="s">
        <v>1453</v>
      </c>
      <c r="F30" s="56"/>
      <c r="G30" s="56" t="s">
        <v>1281</v>
      </c>
      <c r="H30" s="56" t="s">
        <v>1326</v>
      </c>
      <c r="I30" s="56"/>
      <c r="J30" s="56" t="s">
        <v>1239</v>
      </c>
      <c r="K30" s="56" t="s">
        <v>1322</v>
      </c>
      <c r="L30" s="56" t="s">
        <v>1323</v>
      </c>
      <c r="M30" s="56" t="s">
        <v>1324</v>
      </c>
      <c r="N30" s="56" t="s">
        <v>1325</v>
      </c>
      <c r="O30" s="56">
        <v>4</v>
      </c>
      <c r="P30" s="56">
        <v>0.04</v>
      </c>
      <c r="Q30" s="56">
        <v>0.1</v>
      </c>
      <c r="R30" s="56">
        <v>0.8</v>
      </c>
      <c r="S30" s="56">
        <v>6.7857142999999995E-2</v>
      </c>
      <c r="T30" s="56">
        <v>8.2857142999999994E-2</v>
      </c>
      <c r="U30" s="56">
        <v>2714285.7140000002</v>
      </c>
      <c r="V30" s="56">
        <v>3314285.7140000002</v>
      </c>
      <c r="W30" s="56">
        <v>0.02</v>
      </c>
      <c r="X30" s="56">
        <v>0.03</v>
      </c>
      <c r="Y30" s="56">
        <v>0.02</v>
      </c>
      <c r="Z30" s="56">
        <v>9.8765432E-2</v>
      </c>
      <c r="AA30" s="56">
        <v>268077.60139999999</v>
      </c>
      <c r="AB30" s="56">
        <v>327336.86070000002</v>
      </c>
      <c r="AC30" s="56" t="s">
        <v>2137</v>
      </c>
      <c r="AD30" s="56" t="s">
        <v>2138</v>
      </c>
      <c r="AE30" s="56" t="s">
        <v>2046</v>
      </c>
      <c r="AF30" s="56" t="s">
        <v>2141</v>
      </c>
      <c r="AG30" s="56"/>
      <c r="AH30" s="57" t="s">
        <v>2142</v>
      </c>
      <c r="AI30" s="58" t="str">
        <f t="shared" si="0"/>
        <v>Have you undertaken specification rationalization to enable volume bundling and reduce sourcing complexity?_If spend data for key vegetable oils (e.g., Sunflower, Palm etc) spend data shows &gt;5-10% price variance across multiple SKUs with similar descriptions, highlight examples of such high price variance yet high similarilty SKUs</v>
      </c>
    </row>
    <row r="31" spans="1:35" ht="72.5" x14ac:dyDescent="0.35">
      <c r="A31" s="56">
        <v>5</v>
      </c>
      <c r="B31" s="56" t="s">
        <v>1451</v>
      </c>
      <c r="C31" s="56" t="s">
        <v>1452</v>
      </c>
      <c r="D31" s="56" t="s">
        <v>1224</v>
      </c>
      <c r="E31" s="56" t="s">
        <v>1453</v>
      </c>
      <c r="F31" s="56"/>
      <c r="G31" s="56" t="s">
        <v>1281</v>
      </c>
      <c r="H31" s="56" t="s">
        <v>1326</v>
      </c>
      <c r="I31" s="56"/>
      <c r="J31" s="56" t="s">
        <v>1239</v>
      </c>
      <c r="K31" s="56" t="s">
        <v>1322</v>
      </c>
      <c r="L31" s="56" t="s">
        <v>1323</v>
      </c>
      <c r="M31" s="56" t="s">
        <v>1324</v>
      </c>
      <c r="N31" s="56" t="s">
        <v>1325</v>
      </c>
      <c r="O31" s="56">
        <v>4</v>
      </c>
      <c r="P31" s="56">
        <v>0.04</v>
      </c>
      <c r="Q31" s="56">
        <v>0.1</v>
      </c>
      <c r="R31" s="56">
        <v>0.8</v>
      </c>
      <c r="S31" s="56">
        <v>6.7857142999999995E-2</v>
      </c>
      <c r="T31" s="56">
        <v>8.2857142999999994E-2</v>
      </c>
      <c r="U31" s="56">
        <v>2714285.7140000002</v>
      </c>
      <c r="V31" s="56">
        <v>3314285.7140000002</v>
      </c>
      <c r="W31" s="56">
        <v>0.02</v>
      </c>
      <c r="X31" s="56">
        <v>0.03</v>
      </c>
      <c r="Y31" s="56">
        <v>0.02</v>
      </c>
      <c r="Z31" s="56">
        <v>9.8765432E-2</v>
      </c>
      <c r="AA31" s="56">
        <v>268077.60139999999</v>
      </c>
      <c r="AB31" s="56">
        <v>327336.86070000002</v>
      </c>
      <c r="AC31" s="56" t="s">
        <v>1531</v>
      </c>
      <c r="AD31" s="56"/>
      <c r="AE31" s="56" t="s">
        <v>1493</v>
      </c>
      <c r="AF31" s="56"/>
      <c r="AG31" s="56"/>
      <c r="AH31" s="57" t="s">
        <v>2143</v>
      </c>
      <c r="AI31" s="58" t="str">
        <f t="shared" si="0"/>
        <v>Have you undertaken specification rationalization to enable volume bundling and reduce sourcing complexity?_</v>
      </c>
    </row>
    <row r="32" spans="1:35" ht="72.5" x14ac:dyDescent="0.35">
      <c r="A32" s="56">
        <v>5</v>
      </c>
      <c r="B32" s="56" t="s">
        <v>1451</v>
      </c>
      <c r="C32" s="56" t="s">
        <v>1452</v>
      </c>
      <c r="D32" s="56" t="s">
        <v>1224</v>
      </c>
      <c r="E32" s="56" t="s">
        <v>1453</v>
      </c>
      <c r="F32" s="56"/>
      <c r="G32" s="56" t="s">
        <v>1281</v>
      </c>
      <c r="H32" s="56" t="s">
        <v>1326</v>
      </c>
      <c r="I32" s="56"/>
      <c r="J32" s="56" t="s">
        <v>1239</v>
      </c>
      <c r="K32" s="56" t="s">
        <v>1322</v>
      </c>
      <c r="L32" s="56" t="s">
        <v>1323</v>
      </c>
      <c r="M32" s="56" t="s">
        <v>1324</v>
      </c>
      <c r="N32" s="56" t="s">
        <v>1325</v>
      </c>
      <c r="O32" s="56">
        <v>4</v>
      </c>
      <c r="P32" s="56">
        <v>0.04</v>
      </c>
      <c r="Q32" s="56">
        <v>0.1</v>
      </c>
      <c r="R32" s="56">
        <v>0.8</v>
      </c>
      <c r="S32" s="56">
        <v>6.7857142999999995E-2</v>
      </c>
      <c r="T32" s="56">
        <v>8.2857142999999994E-2</v>
      </c>
      <c r="U32" s="56">
        <v>2714285.7140000002</v>
      </c>
      <c r="V32" s="56">
        <v>3314285.7140000002</v>
      </c>
      <c r="W32" s="56">
        <v>0.02</v>
      </c>
      <c r="X32" s="56">
        <v>0.03</v>
      </c>
      <c r="Y32" s="56">
        <v>0.02</v>
      </c>
      <c r="Z32" s="56">
        <v>9.8765432E-2</v>
      </c>
      <c r="AA32" s="56">
        <v>268077.60139999999</v>
      </c>
      <c r="AB32" s="56">
        <v>327336.86070000002</v>
      </c>
      <c r="AC32" s="56" t="s">
        <v>1500</v>
      </c>
      <c r="AD32" s="56"/>
      <c r="AE32" s="56" t="s">
        <v>1493</v>
      </c>
      <c r="AF32" s="56"/>
      <c r="AG32" s="56"/>
      <c r="AH32" s="57" t="s">
        <v>2143</v>
      </c>
      <c r="AI32" s="58" t="str">
        <f t="shared" si="0"/>
        <v>Have you undertaken specification rationalization to enable volume bundling and reduce sourcing complexity?_</v>
      </c>
    </row>
    <row r="33" spans="1:35" ht="72.5" x14ac:dyDescent="0.35">
      <c r="A33" s="56">
        <v>5</v>
      </c>
      <c r="B33" s="56" t="s">
        <v>1451</v>
      </c>
      <c r="C33" s="56" t="s">
        <v>1452</v>
      </c>
      <c r="D33" s="56" t="s">
        <v>1224</v>
      </c>
      <c r="E33" s="56" t="s">
        <v>1453</v>
      </c>
      <c r="F33" s="56"/>
      <c r="G33" s="56" t="s">
        <v>1281</v>
      </c>
      <c r="H33" s="56" t="s">
        <v>1326</v>
      </c>
      <c r="I33" s="56"/>
      <c r="J33" s="56" t="s">
        <v>1239</v>
      </c>
      <c r="K33" s="56" t="s">
        <v>1322</v>
      </c>
      <c r="L33" s="56" t="s">
        <v>1323</v>
      </c>
      <c r="M33" s="56" t="s">
        <v>1324</v>
      </c>
      <c r="N33" s="56" t="s">
        <v>1325</v>
      </c>
      <c r="O33" s="56">
        <v>4</v>
      </c>
      <c r="P33" s="56">
        <v>0.04</v>
      </c>
      <c r="Q33" s="56">
        <v>0.1</v>
      </c>
      <c r="R33" s="56">
        <v>0.8</v>
      </c>
      <c r="S33" s="56">
        <v>6.7857142999999995E-2</v>
      </c>
      <c r="T33" s="56">
        <v>8.2857142999999994E-2</v>
      </c>
      <c r="U33" s="56">
        <v>2714285.7140000002</v>
      </c>
      <c r="V33" s="56">
        <v>3314285.7140000002</v>
      </c>
      <c r="W33" s="56">
        <v>0.02</v>
      </c>
      <c r="X33" s="56">
        <v>0.03</v>
      </c>
      <c r="Y33" s="56">
        <v>0.02</v>
      </c>
      <c r="Z33" s="56">
        <v>9.8765432E-2</v>
      </c>
      <c r="AA33" s="56">
        <v>268077.60139999999</v>
      </c>
      <c r="AB33" s="56">
        <v>327336.86070000002</v>
      </c>
      <c r="AC33" s="56" t="s">
        <v>1507</v>
      </c>
      <c r="AD33" s="56"/>
      <c r="AE33" s="56" t="s">
        <v>1493</v>
      </c>
      <c r="AF33" s="56"/>
      <c r="AG33" s="56"/>
      <c r="AH33" s="57" t="s">
        <v>2143</v>
      </c>
      <c r="AI33" s="58" t="str">
        <f t="shared" si="0"/>
        <v>Have you undertaken specification rationalization to enable volume bundling and reduce sourcing complexity?_</v>
      </c>
    </row>
    <row r="34" spans="1:35" ht="130.5" x14ac:dyDescent="0.35">
      <c r="A34" s="56">
        <v>6</v>
      </c>
      <c r="B34" s="56" t="s">
        <v>1451</v>
      </c>
      <c r="C34" s="56" t="s">
        <v>1452</v>
      </c>
      <c r="D34" s="56" t="s">
        <v>1224</v>
      </c>
      <c r="E34" s="56" t="s">
        <v>1453</v>
      </c>
      <c r="F34" s="56"/>
      <c r="G34" s="56" t="s">
        <v>1284</v>
      </c>
      <c r="H34" s="56" t="s">
        <v>2121</v>
      </c>
      <c r="I34" s="56"/>
      <c r="J34" s="56" t="s">
        <v>1260</v>
      </c>
      <c r="K34" s="56" t="s">
        <v>1302</v>
      </c>
      <c r="L34" s="56" t="s">
        <v>1303</v>
      </c>
      <c r="M34" s="56" t="s">
        <v>1304</v>
      </c>
      <c r="N34" s="56" t="s">
        <v>1305</v>
      </c>
      <c r="O34" s="56">
        <v>1</v>
      </c>
      <c r="P34" s="56">
        <v>0.04</v>
      </c>
      <c r="Q34" s="56">
        <v>0.1</v>
      </c>
      <c r="R34" s="56">
        <v>0.8</v>
      </c>
      <c r="S34" s="56">
        <v>6.7857142999999995E-2</v>
      </c>
      <c r="T34" s="56">
        <v>8.2857142999999994E-2</v>
      </c>
      <c r="U34" s="56">
        <v>2714285.7140000002</v>
      </c>
      <c r="V34" s="56">
        <v>3314285.7140000002</v>
      </c>
      <c r="W34" s="56">
        <v>0.02</v>
      </c>
      <c r="X34" s="56">
        <v>0.05</v>
      </c>
      <c r="Y34" s="56">
        <v>4.2500000000000003E-2</v>
      </c>
      <c r="Z34" s="56">
        <v>0.209876543</v>
      </c>
      <c r="AA34" s="56">
        <v>569664.90300000005</v>
      </c>
      <c r="AB34" s="56">
        <v>695590.82889999996</v>
      </c>
      <c r="AC34" s="56" t="s">
        <v>2144</v>
      </c>
      <c r="AD34" s="56" t="s">
        <v>1482</v>
      </c>
      <c r="AE34" s="56" t="s">
        <v>2046</v>
      </c>
      <c r="AF34" s="56"/>
      <c r="AG34" s="56"/>
      <c r="AH34" s="57" t="s">
        <v>2145</v>
      </c>
      <c r="AI34" s="58" t="str">
        <f t="shared" si="0"/>
        <v>Are financial instruments, such as hedging or long-term contracts, used to manage risks in vegetable oil procurement?_</v>
      </c>
    </row>
    <row r="35" spans="1:35" ht="130.5" x14ac:dyDescent="0.35">
      <c r="A35" s="56">
        <v>6</v>
      </c>
      <c r="B35" s="56" t="s">
        <v>1451</v>
      </c>
      <c r="C35" s="56" t="s">
        <v>1452</v>
      </c>
      <c r="D35" s="56" t="s">
        <v>1224</v>
      </c>
      <c r="E35" s="56" t="s">
        <v>1453</v>
      </c>
      <c r="F35" s="56"/>
      <c r="G35" s="56" t="s">
        <v>1284</v>
      </c>
      <c r="H35" s="56" t="s">
        <v>2121</v>
      </c>
      <c r="I35" s="56"/>
      <c r="J35" s="56" t="s">
        <v>1260</v>
      </c>
      <c r="K35" s="56" t="s">
        <v>1302</v>
      </c>
      <c r="L35" s="56" t="s">
        <v>1303</v>
      </c>
      <c r="M35" s="56" t="s">
        <v>1304</v>
      </c>
      <c r="N35" s="56" t="s">
        <v>1305</v>
      </c>
      <c r="O35" s="56">
        <v>1</v>
      </c>
      <c r="P35" s="56">
        <v>0.04</v>
      </c>
      <c r="Q35" s="56">
        <v>0.1</v>
      </c>
      <c r="R35" s="56">
        <v>0.8</v>
      </c>
      <c r="S35" s="56">
        <v>6.7857142999999995E-2</v>
      </c>
      <c r="T35" s="56">
        <v>8.2857142999999994E-2</v>
      </c>
      <c r="U35" s="56">
        <v>2714285.7140000002</v>
      </c>
      <c r="V35" s="56">
        <v>3314285.7140000002</v>
      </c>
      <c r="W35" s="56">
        <v>0.02</v>
      </c>
      <c r="X35" s="56">
        <v>0.05</v>
      </c>
      <c r="Y35" s="56">
        <v>4.2500000000000003E-2</v>
      </c>
      <c r="Z35" s="56">
        <v>0.209876543</v>
      </c>
      <c r="AA35" s="56">
        <v>569664.90300000005</v>
      </c>
      <c r="AB35" s="56">
        <v>695590.82889999996</v>
      </c>
      <c r="AC35" s="56" t="s">
        <v>1495</v>
      </c>
      <c r="AD35" s="56"/>
      <c r="AE35" s="56" t="s">
        <v>1493</v>
      </c>
      <c r="AF35" s="56"/>
      <c r="AG35" s="56"/>
      <c r="AH35" s="57" t="s">
        <v>2145</v>
      </c>
      <c r="AI35" s="58" t="str">
        <f t="shared" si="0"/>
        <v>Are financial instruments, such as hedging or long-term contracts, used to manage risks in vegetable oil procurement?_</v>
      </c>
    </row>
    <row r="36" spans="1:35" ht="72.5" x14ac:dyDescent="0.35">
      <c r="A36" s="56">
        <v>7</v>
      </c>
      <c r="B36" s="56" t="s">
        <v>1451</v>
      </c>
      <c r="C36" s="56" t="s">
        <v>1452</v>
      </c>
      <c r="D36" s="56" t="s">
        <v>1224</v>
      </c>
      <c r="E36" s="56" t="s">
        <v>1453</v>
      </c>
      <c r="F36" s="56"/>
      <c r="G36" s="56" t="s">
        <v>1278</v>
      </c>
      <c r="H36" s="56" t="s">
        <v>1331</v>
      </c>
      <c r="I36" s="56"/>
      <c r="J36" s="56" t="s">
        <v>1277</v>
      </c>
      <c r="K36" s="56" t="s">
        <v>1327</v>
      </c>
      <c r="L36" s="56" t="s">
        <v>1328</v>
      </c>
      <c r="M36" s="56" t="s">
        <v>1329</v>
      </c>
      <c r="N36" s="56" t="s">
        <v>1330</v>
      </c>
      <c r="O36" s="56">
        <v>1</v>
      </c>
      <c r="P36" s="56">
        <v>0.04</v>
      </c>
      <c r="Q36" s="56">
        <v>0.1</v>
      </c>
      <c r="R36" s="56">
        <v>0.8</v>
      </c>
      <c r="S36" s="56">
        <v>6.7857142999999995E-2</v>
      </c>
      <c r="T36" s="56">
        <v>8.2857142999999994E-2</v>
      </c>
      <c r="U36" s="56">
        <v>2714285.7140000002</v>
      </c>
      <c r="V36" s="56">
        <v>3314285.7140000002</v>
      </c>
      <c r="W36" s="56">
        <v>0.02</v>
      </c>
      <c r="X36" s="56">
        <v>0.03</v>
      </c>
      <c r="Y36" s="56">
        <v>2.75E-2</v>
      </c>
      <c r="Z36" s="56">
        <v>0.13580246900000001</v>
      </c>
      <c r="AA36" s="56">
        <v>368606.70189999999</v>
      </c>
      <c r="AB36" s="56">
        <v>450088.18339999998</v>
      </c>
      <c r="AC36" s="56" t="s">
        <v>1496</v>
      </c>
      <c r="AD36" s="56"/>
      <c r="AE36" s="56" t="s">
        <v>1493</v>
      </c>
      <c r="AF36" s="56"/>
      <c r="AG36" s="56"/>
      <c r="AH36" s="57" t="s">
        <v>2146</v>
      </c>
      <c r="AI36" s="58" t="str">
        <f t="shared" si="0"/>
        <v>Have you considered shifting sourcing origins to take advantage of cost or availability benefits? If so, what challenges have you faced?_</v>
      </c>
    </row>
    <row r="37" spans="1:35" ht="130.5" x14ac:dyDescent="0.35">
      <c r="A37" s="56">
        <v>7</v>
      </c>
      <c r="B37" s="56" t="s">
        <v>1451</v>
      </c>
      <c r="C37" s="56" t="s">
        <v>1452</v>
      </c>
      <c r="D37" s="56" t="s">
        <v>1224</v>
      </c>
      <c r="E37" s="56" t="s">
        <v>1453</v>
      </c>
      <c r="F37" s="56"/>
      <c r="G37" s="56" t="s">
        <v>1278</v>
      </c>
      <c r="H37" s="56" t="s">
        <v>1331</v>
      </c>
      <c r="I37" s="56"/>
      <c r="J37" s="56" t="s">
        <v>1277</v>
      </c>
      <c r="K37" s="56" t="s">
        <v>1327</v>
      </c>
      <c r="L37" s="56" t="s">
        <v>1328</v>
      </c>
      <c r="M37" s="56" t="s">
        <v>1329</v>
      </c>
      <c r="N37" s="56" t="s">
        <v>1330</v>
      </c>
      <c r="O37" s="56">
        <v>1</v>
      </c>
      <c r="P37" s="56">
        <v>0.04</v>
      </c>
      <c r="Q37" s="56">
        <v>0.1</v>
      </c>
      <c r="R37" s="56">
        <v>0.8</v>
      </c>
      <c r="S37" s="56">
        <v>6.7857142999999995E-2</v>
      </c>
      <c r="T37" s="56">
        <v>8.2857142999999994E-2</v>
      </c>
      <c r="U37" s="56">
        <v>2714285.7140000002</v>
      </c>
      <c r="V37" s="56">
        <v>3314285.7140000002</v>
      </c>
      <c r="W37" s="56">
        <v>0.02</v>
      </c>
      <c r="X37" s="56">
        <v>0.03</v>
      </c>
      <c r="Y37" s="56">
        <v>2.75E-2</v>
      </c>
      <c r="Z37" s="56">
        <v>0.13580246900000001</v>
      </c>
      <c r="AA37" s="56">
        <v>368606.70189999999</v>
      </c>
      <c r="AB37" s="56">
        <v>450088.18339999998</v>
      </c>
      <c r="AC37" s="56" t="s">
        <v>1504</v>
      </c>
      <c r="AD37" s="56"/>
      <c r="AE37" s="56" t="s">
        <v>1493</v>
      </c>
      <c r="AF37" s="56" t="s">
        <v>2147</v>
      </c>
      <c r="AG37" s="56"/>
      <c r="AH37" s="57" t="s">
        <v>2148</v>
      </c>
      <c r="AI37" s="58" t="str">
        <f t="shared" si="0"/>
        <v>Have you considered shifting sourcing origins to take advantage of cost or availability benefits? If so, what challenges have you faced?_Use export data to identify top exporting-to-importing region combinations, call these out and position this as a market view on sourcing geography trends</v>
      </c>
    </row>
    <row r="38" spans="1:35" ht="72.5" x14ac:dyDescent="0.35">
      <c r="A38" s="56">
        <v>7</v>
      </c>
      <c r="B38" s="56" t="s">
        <v>1451</v>
      </c>
      <c r="C38" s="56" t="s">
        <v>1452</v>
      </c>
      <c r="D38" s="56" t="s">
        <v>1224</v>
      </c>
      <c r="E38" s="56" t="s">
        <v>1453</v>
      </c>
      <c r="F38" s="56"/>
      <c r="G38" s="56" t="s">
        <v>1278</v>
      </c>
      <c r="H38" s="56" t="s">
        <v>1331</v>
      </c>
      <c r="I38" s="56"/>
      <c r="J38" s="56" t="s">
        <v>1277</v>
      </c>
      <c r="K38" s="56" t="s">
        <v>1327</v>
      </c>
      <c r="L38" s="56" t="s">
        <v>1328</v>
      </c>
      <c r="M38" s="56" t="s">
        <v>1329</v>
      </c>
      <c r="N38" s="56" t="s">
        <v>1330</v>
      </c>
      <c r="O38" s="56">
        <v>1</v>
      </c>
      <c r="P38" s="56">
        <v>0.04</v>
      </c>
      <c r="Q38" s="56">
        <v>0.1</v>
      </c>
      <c r="R38" s="56">
        <v>0.8</v>
      </c>
      <c r="S38" s="56">
        <v>6.7857142999999995E-2</v>
      </c>
      <c r="T38" s="56">
        <v>8.2857142999999994E-2</v>
      </c>
      <c r="U38" s="56">
        <v>2714285.7140000002</v>
      </c>
      <c r="V38" s="56">
        <v>3314285.7140000002</v>
      </c>
      <c r="W38" s="56">
        <v>0.02</v>
      </c>
      <c r="X38" s="56">
        <v>0.03</v>
      </c>
      <c r="Y38" s="56">
        <v>2.75E-2</v>
      </c>
      <c r="Z38" s="56">
        <v>0.13580246900000001</v>
      </c>
      <c r="AA38" s="56">
        <v>368606.70189999999</v>
      </c>
      <c r="AB38" s="56">
        <v>450088.18339999998</v>
      </c>
      <c r="AC38" s="56" t="s">
        <v>1509</v>
      </c>
      <c r="AD38" s="56"/>
      <c r="AE38" s="56" t="s">
        <v>1493</v>
      </c>
      <c r="AF38" s="56"/>
      <c r="AG38" s="56"/>
      <c r="AH38" s="57" t="s">
        <v>2146</v>
      </c>
      <c r="AI38" s="58" t="str">
        <f t="shared" si="0"/>
        <v>Have you considered shifting sourcing origins to take advantage of cost or availability benefits? If so, what challenges have you faced?_</v>
      </c>
    </row>
    <row r="39" spans="1:35" ht="72.5" x14ac:dyDescent="0.35">
      <c r="A39" s="56">
        <v>7</v>
      </c>
      <c r="B39" s="56" t="s">
        <v>1451</v>
      </c>
      <c r="C39" s="56" t="s">
        <v>1452</v>
      </c>
      <c r="D39" s="56" t="s">
        <v>1224</v>
      </c>
      <c r="E39" s="56" t="s">
        <v>1453</v>
      </c>
      <c r="F39" s="56"/>
      <c r="G39" s="56" t="s">
        <v>1278</v>
      </c>
      <c r="H39" s="56" t="s">
        <v>1331</v>
      </c>
      <c r="I39" s="56"/>
      <c r="J39" s="56" t="s">
        <v>1277</v>
      </c>
      <c r="K39" s="56" t="s">
        <v>1327</v>
      </c>
      <c r="L39" s="56" t="s">
        <v>1328</v>
      </c>
      <c r="M39" s="56" t="s">
        <v>1329</v>
      </c>
      <c r="N39" s="56" t="s">
        <v>1330</v>
      </c>
      <c r="O39" s="56">
        <v>1</v>
      </c>
      <c r="P39" s="56">
        <v>0.04</v>
      </c>
      <c r="Q39" s="56">
        <v>0.1</v>
      </c>
      <c r="R39" s="56">
        <v>0.8</v>
      </c>
      <c r="S39" s="56">
        <v>6.7857142999999995E-2</v>
      </c>
      <c r="T39" s="56">
        <v>8.2857142999999994E-2</v>
      </c>
      <c r="U39" s="56">
        <v>2714285.7140000002</v>
      </c>
      <c r="V39" s="56">
        <v>3314285.7140000002</v>
      </c>
      <c r="W39" s="56">
        <v>0.02</v>
      </c>
      <c r="X39" s="56">
        <v>0.03</v>
      </c>
      <c r="Y39" s="56">
        <v>2.75E-2</v>
      </c>
      <c r="Z39" s="56">
        <v>0.13580246900000001</v>
      </c>
      <c r="AA39" s="56">
        <v>368606.70189999999</v>
      </c>
      <c r="AB39" s="56">
        <v>450088.18339999998</v>
      </c>
      <c r="AC39" s="56" t="s">
        <v>1515</v>
      </c>
      <c r="AD39" s="56"/>
      <c r="AE39" s="56" t="s">
        <v>1493</v>
      </c>
      <c r="AF39" s="56"/>
      <c r="AG39" s="56"/>
      <c r="AH39" s="57" t="s">
        <v>2146</v>
      </c>
      <c r="AI39" s="58" t="str">
        <f t="shared" si="0"/>
        <v>Have you considered shifting sourcing origins to take advantage of cost or availability benefits? If so, what challenges have you faced?_</v>
      </c>
    </row>
    <row r="40" spans="1:35" ht="145" x14ac:dyDescent="0.35">
      <c r="A40" s="56">
        <v>8</v>
      </c>
      <c r="B40" s="56" t="s">
        <v>1451</v>
      </c>
      <c r="C40" s="56" t="s">
        <v>1452</v>
      </c>
      <c r="D40" s="56" t="s">
        <v>1224</v>
      </c>
      <c r="E40" s="56" t="s">
        <v>1225</v>
      </c>
      <c r="F40" s="56"/>
      <c r="G40" s="56" t="s">
        <v>1226</v>
      </c>
      <c r="H40" s="56" t="s">
        <v>1227</v>
      </c>
      <c r="I40" s="56"/>
      <c r="J40" s="56" t="s">
        <v>1228</v>
      </c>
      <c r="K40" s="56" t="s">
        <v>1317</v>
      </c>
      <c r="L40" s="56" t="s">
        <v>1318</v>
      </c>
      <c r="M40" s="56" t="s">
        <v>1319</v>
      </c>
      <c r="N40" s="56" t="s">
        <v>1320</v>
      </c>
      <c r="O40" s="56">
        <v>2</v>
      </c>
      <c r="P40" s="56">
        <v>0.01</v>
      </c>
      <c r="Q40" s="56">
        <v>0.02</v>
      </c>
      <c r="R40" s="56">
        <v>0.8</v>
      </c>
      <c r="S40" s="56">
        <v>1.7857142999999999E-2</v>
      </c>
      <c r="T40" s="56">
        <v>2.2857143E-2</v>
      </c>
      <c r="U40" s="56">
        <v>714285.71429999999</v>
      </c>
      <c r="V40" s="56">
        <v>914285.71429999999</v>
      </c>
      <c r="W40" s="56">
        <v>0.02</v>
      </c>
      <c r="X40" s="56">
        <v>0.05</v>
      </c>
      <c r="Y40" s="56">
        <v>3.5000000000000003E-2</v>
      </c>
      <c r="Z40" s="56">
        <v>0.172839506</v>
      </c>
      <c r="AA40" s="56">
        <v>123456.7901</v>
      </c>
      <c r="AB40" s="56">
        <v>158024.69140000001</v>
      </c>
      <c r="AC40" s="56" t="s">
        <v>1483</v>
      </c>
      <c r="AD40" s="56" t="s">
        <v>2134</v>
      </c>
      <c r="AE40" s="56" t="s">
        <v>2046</v>
      </c>
      <c r="AF40" s="56" t="s">
        <v>2149</v>
      </c>
      <c r="AG40" s="56"/>
      <c r="AH40" s="57" t="s">
        <v>2150</v>
      </c>
      <c r="AI40" s="58" t="str">
        <f t="shared" si="0"/>
        <v>Are you leveraging by-product opportunities, such as combo buying (e.g., bran and wheat flour), to reduce costs?_1. Calculate 'category spend / # of unique suppliers' 2. If value &lt; benchmark, then this category is relatively fragmented compare to peers i.e., there is a potential for consolidation</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8254E-7373-4E88-BC22-6FE67773048A}">
  <dimension ref="A1:AI288"/>
  <sheetViews>
    <sheetView topLeftCell="AF7" zoomScale="70" zoomScaleNormal="70" workbookViewId="0">
      <selection activeCell="AH8" sqref="AH8"/>
    </sheetView>
  </sheetViews>
  <sheetFormatPr defaultColWidth="8.7265625" defaultRowHeight="14.5" x14ac:dyDescent="0.35"/>
  <cols>
    <col min="1" max="6" width="8.7265625" style="56"/>
    <col min="7" max="8" width="17.81640625" style="56" customWidth="1"/>
    <col min="9" max="10" width="8.7265625" style="56"/>
    <col min="11" max="14" width="27" style="56" customWidth="1"/>
    <col min="15" max="28" width="8.7265625" style="56"/>
    <col min="29" max="29" width="29.1796875" style="56" customWidth="1"/>
    <col min="30" max="30" width="38.7265625" style="56" customWidth="1"/>
    <col min="31" max="32" width="30.54296875" style="56" customWidth="1"/>
    <col min="33" max="33" width="62.1796875" style="56" customWidth="1"/>
    <col min="34" max="34" width="69.7265625" style="56" customWidth="1"/>
    <col min="35" max="35" width="85.81640625" style="56" customWidth="1"/>
    <col min="36" max="16384" width="8.7265625" style="56"/>
  </cols>
  <sheetData>
    <row r="1" spans="1:35" ht="72.5" x14ac:dyDescent="0.35">
      <c r="A1" s="59" t="s">
        <v>1389</v>
      </c>
      <c r="B1" s="59" t="s">
        <v>1390</v>
      </c>
      <c r="C1" s="59" t="s">
        <v>1391</v>
      </c>
      <c r="D1" s="59" t="s">
        <v>7</v>
      </c>
      <c r="E1" s="59" t="s">
        <v>8</v>
      </c>
      <c r="F1" s="59" t="s">
        <v>1210</v>
      </c>
      <c r="G1" s="59" t="s">
        <v>1211</v>
      </c>
      <c r="H1" s="59" t="s">
        <v>1395</v>
      </c>
      <c r="I1" s="59" t="s">
        <v>1213</v>
      </c>
      <c r="J1" s="59" t="s">
        <v>20</v>
      </c>
      <c r="K1" s="59" t="s">
        <v>11</v>
      </c>
      <c r="L1" s="59" t="s">
        <v>12</v>
      </c>
      <c r="M1" s="59" t="s">
        <v>13</v>
      </c>
      <c r="N1" s="59" t="s">
        <v>14</v>
      </c>
      <c r="O1" s="59" t="s">
        <v>1396</v>
      </c>
      <c r="P1" s="59" t="s">
        <v>15</v>
      </c>
      <c r="Q1" s="59" t="s">
        <v>16</v>
      </c>
      <c r="R1" s="59" t="s">
        <v>1298</v>
      </c>
      <c r="S1" s="59" t="s">
        <v>1402</v>
      </c>
      <c r="T1" s="59" t="s">
        <v>1403</v>
      </c>
      <c r="U1" s="59" t="s">
        <v>1404</v>
      </c>
      <c r="V1" s="59" t="s">
        <v>1405</v>
      </c>
      <c r="W1" s="59" t="s">
        <v>2038</v>
      </c>
      <c r="X1" s="59" t="s">
        <v>2039</v>
      </c>
      <c r="Y1" s="59" t="s">
        <v>1415</v>
      </c>
      <c r="Z1" s="59" t="s">
        <v>1416</v>
      </c>
      <c r="AA1" s="59" t="s">
        <v>2040</v>
      </c>
      <c r="AB1" s="59" t="s">
        <v>2041</v>
      </c>
      <c r="AC1" s="59" t="s">
        <v>2042</v>
      </c>
      <c r="AD1" s="59" t="s">
        <v>1425</v>
      </c>
      <c r="AE1" s="59" t="s">
        <v>2043</v>
      </c>
      <c r="AF1" s="59" t="s">
        <v>2044</v>
      </c>
      <c r="AG1" s="59" t="s">
        <v>2151</v>
      </c>
      <c r="AH1" s="59" t="s">
        <v>2045</v>
      </c>
      <c r="AI1" s="59" t="s">
        <v>2086</v>
      </c>
    </row>
    <row r="2" spans="1:35" ht="290" x14ac:dyDescent="0.35">
      <c r="A2" s="56" t="s">
        <v>1203</v>
      </c>
      <c r="B2" s="56" t="s">
        <v>1451</v>
      </c>
      <c r="C2" s="56" t="s">
        <v>1452</v>
      </c>
      <c r="D2" s="56" t="s">
        <v>1224</v>
      </c>
      <c r="E2" s="56" t="s">
        <v>1453</v>
      </c>
      <c r="G2" s="56" t="s">
        <v>1292</v>
      </c>
      <c r="H2" s="56" t="s">
        <v>1321</v>
      </c>
      <c r="J2" s="56" t="s">
        <v>1228</v>
      </c>
      <c r="K2" s="56" t="s">
        <v>1317</v>
      </c>
      <c r="L2" s="56" t="s">
        <v>1318</v>
      </c>
      <c r="M2" s="56" t="s">
        <v>1319</v>
      </c>
      <c r="N2" s="56" t="s">
        <v>1320</v>
      </c>
      <c r="O2" s="56" t="s">
        <v>2152</v>
      </c>
      <c r="P2" s="56" t="s">
        <v>2153</v>
      </c>
      <c r="Q2" s="56" t="s">
        <v>2154</v>
      </c>
      <c r="R2" s="56" t="s">
        <v>2155</v>
      </c>
      <c r="S2" s="56" t="s">
        <v>2156</v>
      </c>
      <c r="T2" s="56" t="s">
        <v>2157</v>
      </c>
      <c r="U2" s="56" t="s">
        <v>2158</v>
      </c>
      <c r="V2" s="56" t="s">
        <v>2159</v>
      </c>
      <c r="W2" s="56" t="s">
        <v>2160</v>
      </c>
      <c r="X2" s="56" t="s">
        <v>2161</v>
      </c>
      <c r="Y2" s="56" t="s">
        <v>2162</v>
      </c>
      <c r="Z2" s="56" t="s">
        <v>2163</v>
      </c>
      <c r="AA2" s="56" t="s">
        <v>2164</v>
      </c>
      <c r="AB2" s="56" t="s">
        <v>2165</v>
      </c>
      <c r="AC2" s="56" t="s">
        <v>1454</v>
      </c>
      <c r="AD2" s="56" t="s">
        <v>1455</v>
      </c>
      <c r="AE2" s="56" t="s">
        <v>2046</v>
      </c>
      <c r="AF2" s="56" t="s">
        <v>2047</v>
      </c>
      <c r="AG2" s="56" t="s">
        <v>2166</v>
      </c>
      <c r="AH2" s="56" t="s">
        <v>2167</v>
      </c>
      <c r="AI2" s="56" t="s">
        <v>2168</v>
      </c>
    </row>
    <row r="3" spans="1:35" ht="174" x14ac:dyDescent="0.35">
      <c r="A3" s="56" t="s">
        <v>1203</v>
      </c>
      <c r="B3" s="56" t="s">
        <v>1451</v>
      </c>
      <c r="C3" s="56" t="s">
        <v>1452</v>
      </c>
      <c r="D3" s="56" t="s">
        <v>1224</v>
      </c>
      <c r="E3" s="56" t="s">
        <v>1453</v>
      </c>
      <c r="G3" s="56" t="s">
        <v>1292</v>
      </c>
      <c r="H3" s="56" t="s">
        <v>1462</v>
      </c>
      <c r="J3" s="56" t="s">
        <v>1228</v>
      </c>
      <c r="K3" s="56" t="s">
        <v>1317</v>
      </c>
      <c r="L3" s="56" t="s">
        <v>1318</v>
      </c>
      <c r="M3" s="56" t="s">
        <v>1319</v>
      </c>
      <c r="N3" s="56" t="s">
        <v>1320</v>
      </c>
      <c r="O3" s="56" t="s">
        <v>2152</v>
      </c>
      <c r="P3" s="56" t="s">
        <v>2153</v>
      </c>
      <c r="Q3" s="56" t="s">
        <v>2154</v>
      </c>
      <c r="R3" s="56" t="s">
        <v>2155</v>
      </c>
      <c r="S3" s="56" t="s">
        <v>2156</v>
      </c>
      <c r="T3" s="56" t="s">
        <v>2157</v>
      </c>
      <c r="U3" s="56" t="s">
        <v>2158</v>
      </c>
      <c r="V3" s="56" t="s">
        <v>2159</v>
      </c>
      <c r="W3" s="56" t="s">
        <v>2160</v>
      </c>
      <c r="X3" s="56" t="s">
        <v>2161</v>
      </c>
      <c r="Y3" s="56" t="s">
        <v>2162</v>
      </c>
      <c r="Z3" s="56" t="s">
        <v>2163</v>
      </c>
      <c r="AA3" s="56" t="s">
        <v>2164</v>
      </c>
      <c r="AB3" s="56" t="s">
        <v>2165</v>
      </c>
      <c r="AC3" s="56" t="s">
        <v>1463</v>
      </c>
      <c r="AD3" s="56" t="s">
        <v>1464</v>
      </c>
      <c r="AE3" s="56" t="s">
        <v>2046</v>
      </c>
      <c r="AI3" s="56" t="s">
        <v>2168</v>
      </c>
    </row>
    <row r="4" spans="1:35" ht="174" x14ac:dyDescent="0.35">
      <c r="A4" s="56" t="s">
        <v>1203</v>
      </c>
      <c r="B4" s="56" t="s">
        <v>1451</v>
      </c>
      <c r="C4" s="56" t="s">
        <v>1452</v>
      </c>
      <c r="D4" s="56" t="s">
        <v>1224</v>
      </c>
      <c r="E4" s="56" t="s">
        <v>1453</v>
      </c>
      <c r="G4" s="56" t="s">
        <v>1292</v>
      </c>
      <c r="H4" s="56" t="s">
        <v>1462</v>
      </c>
      <c r="J4" s="56" t="s">
        <v>1228</v>
      </c>
      <c r="K4" s="56" t="s">
        <v>1317</v>
      </c>
      <c r="L4" s="56" t="s">
        <v>1318</v>
      </c>
      <c r="M4" s="56" t="s">
        <v>1319</v>
      </c>
      <c r="N4" s="56" t="s">
        <v>1320</v>
      </c>
      <c r="O4" s="56" t="s">
        <v>2152</v>
      </c>
      <c r="P4" s="56" t="s">
        <v>2153</v>
      </c>
      <c r="Q4" s="56" t="s">
        <v>2154</v>
      </c>
      <c r="R4" s="56" t="s">
        <v>2155</v>
      </c>
      <c r="S4" s="56" t="s">
        <v>2156</v>
      </c>
      <c r="T4" s="56" t="s">
        <v>2157</v>
      </c>
      <c r="U4" s="56" t="s">
        <v>2158</v>
      </c>
      <c r="V4" s="56" t="s">
        <v>2159</v>
      </c>
      <c r="W4" s="56" t="s">
        <v>2160</v>
      </c>
      <c r="X4" s="56" t="s">
        <v>2161</v>
      </c>
      <c r="Y4" s="56" t="s">
        <v>2162</v>
      </c>
      <c r="Z4" s="56" t="s">
        <v>2163</v>
      </c>
      <c r="AA4" s="56" t="s">
        <v>2164</v>
      </c>
      <c r="AB4" s="56" t="s">
        <v>2165</v>
      </c>
      <c r="AC4" s="56" t="s">
        <v>1465</v>
      </c>
      <c r="AD4" s="56" t="s">
        <v>1466</v>
      </c>
      <c r="AE4" s="56" t="s">
        <v>2046</v>
      </c>
      <c r="AI4" s="56" t="s">
        <v>2168</v>
      </c>
    </row>
    <row r="5" spans="1:35" ht="261" x14ac:dyDescent="0.35">
      <c r="A5" s="56" t="s">
        <v>1203</v>
      </c>
      <c r="B5" s="56" t="s">
        <v>1451</v>
      </c>
      <c r="C5" s="56" t="s">
        <v>1452</v>
      </c>
      <c r="D5" s="56" t="s">
        <v>1224</v>
      </c>
      <c r="E5" s="56" t="s">
        <v>1453</v>
      </c>
      <c r="G5" s="56" t="s">
        <v>1292</v>
      </c>
      <c r="H5" s="56" t="s">
        <v>1462</v>
      </c>
      <c r="J5" s="56" t="s">
        <v>1228</v>
      </c>
      <c r="K5" s="56" t="s">
        <v>1317</v>
      </c>
      <c r="L5" s="56" t="s">
        <v>1318</v>
      </c>
      <c r="M5" s="56" t="s">
        <v>1319</v>
      </c>
      <c r="N5" s="56" t="s">
        <v>1320</v>
      </c>
      <c r="O5" s="56" t="s">
        <v>2152</v>
      </c>
      <c r="P5" s="56" t="s">
        <v>2153</v>
      </c>
      <c r="Q5" s="56" t="s">
        <v>2154</v>
      </c>
      <c r="R5" s="56" t="s">
        <v>2155</v>
      </c>
      <c r="S5" s="56" t="s">
        <v>2156</v>
      </c>
      <c r="T5" s="56" t="s">
        <v>2157</v>
      </c>
      <c r="U5" s="56" t="s">
        <v>2158</v>
      </c>
      <c r="V5" s="56" t="s">
        <v>2159</v>
      </c>
      <c r="W5" s="56" t="s">
        <v>2160</v>
      </c>
      <c r="X5" s="56" t="s">
        <v>2161</v>
      </c>
      <c r="Y5" s="56" t="s">
        <v>2162</v>
      </c>
      <c r="Z5" s="56" t="s">
        <v>2163</v>
      </c>
      <c r="AA5" s="56" t="s">
        <v>2164</v>
      </c>
      <c r="AB5" s="56" t="s">
        <v>2165</v>
      </c>
      <c r="AC5" s="56" t="s">
        <v>1467</v>
      </c>
      <c r="AD5" s="56" t="s">
        <v>1468</v>
      </c>
      <c r="AE5" s="56" t="s">
        <v>2046</v>
      </c>
      <c r="AF5" s="56" t="s">
        <v>1469</v>
      </c>
      <c r="AG5" s="56" t="s">
        <v>2169</v>
      </c>
      <c r="AH5" s="56" t="s">
        <v>2170</v>
      </c>
      <c r="AI5" s="56" t="s">
        <v>2168</v>
      </c>
    </row>
    <row r="6" spans="1:35" ht="261" x14ac:dyDescent="0.35">
      <c r="A6" s="56" t="s">
        <v>1203</v>
      </c>
      <c r="B6" s="56" t="s">
        <v>1451</v>
      </c>
      <c r="C6" s="56" t="s">
        <v>1452</v>
      </c>
      <c r="D6" s="56" t="s">
        <v>1224</v>
      </c>
      <c r="E6" s="56" t="s">
        <v>1453</v>
      </c>
      <c r="G6" s="56" t="s">
        <v>1292</v>
      </c>
      <c r="H6" s="56" t="s">
        <v>1462</v>
      </c>
      <c r="J6" s="56" t="s">
        <v>1228</v>
      </c>
      <c r="K6" s="56" t="s">
        <v>1317</v>
      </c>
      <c r="L6" s="56" t="s">
        <v>1318</v>
      </c>
      <c r="M6" s="56" t="s">
        <v>1319</v>
      </c>
      <c r="N6" s="56" t="s">
        <v>1320</v>
      </c>
      <c r="O6" s="56" t="s">
        <v>2152</v>
      </c>
      <c r="P6" s="56" t="s">
        <v>2153</v>
      </c>
      <c r="Q6" s="56" t="s">
        <v>2154</v>
      </c>
      <c r="R6" s="56" t="s">
        <v>2155</v>
      </c>
      <c r="S6" s="56" t="s">
        <v>2156</v>
      </c>
      <c r="T6" s="56" t="s">
        <v>2157</v>
      </c>
      <c r="U6" s="56" t="s">
        <v>2158</v>
      </c>
      <c r="V6" s="56" t="s">
        <v>2159</v>
      </c>
      <c r="W6" s="56" t="s">
        <v>2160</v>
      </c>
      <c r="X6" s="56" t="s">
        <v>2161</v>
      </c>
      <c r="Y6" s="56" t="s">
        <v>2162</v>
      </c>
      <c r="Z6" s="56" t="s">
        <v>2163</v>
      </c>
      <c r="AA6" s="56" t="s">
        <v>2164</v>
      </c>
      <c r="AB6" s="56" t="s">
        <v>2165</v>
      </c>
      <c r="AC6" s="56" t="s">
        <v>1471</v>
      </c>
      <c r="AD6" s="56" t="s">
        <v>1472</v>
      </c>
      <c r="AE6" s="56" t="s">
        <v>2046</v>
      </c>
      <c r="AF6" s="56" t="s">
        <v>1473</v>
      </c>
      <c r="AG6" s="56" t="s">
        <v>2171</v>
      </c>
      <c r="AH6" s="56" t="s">
        <v>2172</v>
      </c>
      <c r="AI6" s="56" t="s">
        <v>2168</v>
      </c>
    </row>
    <row r="7" spans="1:35" ht="174" x14ac:dyDescent="0.35">
      <c r="A7" s="56" t="s">
        <v>1203</v>
      </c>
      <c r="B7" s="56" t="s">
        <v>1451</v>
      </c>
      <c r="C7" s="56" t="s">
        <v>1452</v>
      </c>
      <c r="D7" s="56" t="s">
        <v>1224</v>
      </c>
      <c r="E7" s="56" t="s">
        <v>1453</v>
      </c>
      <c r="G7" s="56" t="s">
        <v>1292</v>
      </c>
      <c r="H7" s="56" t="s">
        <v>1462</v>
      </c>
      <c r="J7" s="56" t="s">
        <v>1228</v>
      </c>
      <c r="K7" s="56" t="s">
        <v>1317</v>
      </c>
      <c r="L7" s="56" t="s">
        <v>1318</v>
      </c>
      <c r="M7" s="56" t="s">
        <v>1319</v>
      </c>
      <c r="N7" s="56" t="s">
        <v>1320</v>
      </c>
      <c r="O7" s="56" t="s">
        <v>2152</v>
      </c>
      <c r="P7" s="56" t="s">
        <v>2153</v>
      </c>
      <c r="Q7" s="56" t="s">
        <v>2154</v>
      </c>
      <c r="R7" s="56" t="s">
        <v>2155</v>
      </c>
      <c r="S7" s="56" t="s">
        <v>2156</v>
      </c>
      <c r="T7" s="56" t="s">
        <v>2157</v>
      </c>
      <c r="U7" s="56" t="s">
        <v>2158</v>
      </c>
      <c r="V7" s="56" t="s">
        <v>2159</v>
      </c>
      <c r="W7" s="56" t="s">
        <v>2160</v>
      </c>
      <c r="X7" s="56" t="s">
        <v>2161</v>
      </c>
      <c r="Y7" s="56" t="s">
        <v>2162</v>
      </c>
      <c r="Z7" s="56" t="s">
        <v>2163</v>
      </c>
      <c r="AA7" s="56" t="s">
        <v>2164</v>
      </c>
      <c r="AB7" s="56" t="s">
        <v>2165</v>
      </c>
      <c r="AC7" s="56" t="s">
        <v>1475</v>
      </c>
      <c r="AD7" s="56" t="s">
        <v>1476</v>
      </c>
      <c r="AE7" s="56" t="s">
        <v>2046</v>
      </c>
      <c r="AI7" s="56" t="s">
        <v>2168</v>
      </c>
    </row>
    <row r="8" spans="1:35" ht="246.5" x14ac:dyDescent="0.35">
      <c r="A8" s="56" t="s">
        <v>1203</v>
      </c>
      <c r="B8" s="56" t="s">
        <v>1451</v>
      </c>
      <c r="C8" s="56" t="s">
        <v>1452</v>
      </c>
      <c r="D8" s="56" t="s">
        <v>1224</v>
      </c>
      <c r="E8" s="56" t="s">
        <v>1453</v>
      </c>
      <c r="G8" s="56" t="s">
        <v>1292</v>
      </c>
      <c r="H8" s="56" t="s">
        <v>1462</v>
      </c>
      <c r="J8" s="56" t="s">
        <v>1228</v>
      </c>
      <c r="K8" s="56" t="s">
        <v>1317</v>
      </c>
      <c r="L8" s="56" t="s">
        <v>1318</v>
      </c>
      <c r="M8" s="56" t="s">
        <v>1319</v>
      </c>
      <c r="N8" s="56" t="s">
        <v>1320</v>
      </c>
      <c r="O8" s="56" t="s">
        <v>2152</v>
      </c>
      <c r="P8" s="56" t="s">
        <v>2153</v>
      </c>
      <c r="Q8" s="56" t="s">
        <v>2154</v>
      </c>
      <c r="R8" s="56" t="s">
        <v>2155</v>
      </c>
      <c r="S8" s="56" t="s">
        <v>2156</v>
      </c>
      <c r="T8" s="56" t="s">
        <v>2157</v>
      </c>
      <c r="U8" s="56" t="s">
        <v>2158</v>
      </c>
      <c r="V8" s="56" t="s">
        <v>2159</v>
      </c>
      <c r="W8" s="56" t="s">
        <v>2160</v>
      </c>
      <c r="X8" s="56" t="s">
        <v>2161</v>
      </c>
      <c r="Y8" s="56" t="s">
        <v>2162</v>
      </c>
      <c r="Z8" s="56" t="s">
        <v>2163</v>
      </c>
      <c r="AA8" s="56" t="s">
        <v>2164</v>
      </c>
      <c r="AB8" s="56" t="s">
        <v>2165</v>
      </c>
      <c r="AC8" s="56" t="s">
        <v>1477</v>
      </c>
      <c r="AD8" s="56" t="s">
        <v>1478</v>
      </c>
      <c r="AE8" s="56" t="s">
        <v>2046</v>
      </c>
      <c r="AF8" s="56" t="s">
        <v>2051</v>
      </c>
      <c r="AG8" s="56" t="s">
        <v>2173</v>
      </c>
      <c r="AH8" s="56" t="s">
        <v>2174</v>
      </c>
      <c r="AI8" s="56" t="s">
        <v>2168</v>
      </c>
    </row>
    <row r="9" spans="1:35" ht="174" x14ac:dyDescent="0.35">
      <c r="A9" s="56" t="s">
        <v>1203</v>
      </c>
      <c r="B9" s="56" t="s">
        <v>1451</v>
      </c>
      <c r="C9" s="56" t="s">
        <v>1452</v>
      </c>
      <c r="D9" s="56" t="s">
        <v>1224</v>
      </c>
      <c r="E9" s="56" t="s">
        <v>1453</v>
      </c>
      <c r="G9" s="56" t="s">
        <v>1292</v>
      </c>
      <c r="H9" s="56" t="s">
        <v>1462</v>
      </c>
      <c r="J9" s="56" t="s">
        <v>1228</v>
      </c>
      <c r="K9" s="56" t="s">
        <v>1317</v>
      </c>
      <c r="L9" s="56" t="s">
        <v>1318</v>
      </c>
      <c r="M9" s="56" t="s">
        <v>1319</v>
      </c>
      <c r="N9" s="56" t="s">
        <v>1320</v>
      </c>
      <c r="O9" s="56" t="s">
        <v>2152</v>
      </c>
      <c r="P9" s="56" t="s">
        <v>2153</v>
      </c>
      <c r="Q9" s="56" t="s">
        <v>2154</v>
      </c>
      <c r="R9" s="56" t="s">
        <v>2155</v>
      </c>
      <c r="S9" s="56" t="s">
        <v>2156</v>
      </c>
      <c r="T9" s="56" t="s">
        <v>2157</v>
      </c>
      <c r="U9" s="56" t="s">
        <v>2158</v>
      </c>
      <c r="V9" s="56" t="s">
        <v>2159</v>
      </c>
      <c r="W9" s="56" t="s">
        <v>2160</v>
      </c>
      <c r="X9" s="56" t="s">
        <v>2161</v>
      </c>
      <c r="Y9" s="56" t="s">
        <v>2162</v>
      </c>
      <c r="Z9" s="56" t="s">
        <v>2163</v>
      </c>
      <c r="AA9" s="56" t="s">
        <v>2164</v>
      </c>
      <c r="AB9" s="56" t="s">
        <v>2165</v>
      </c>
      <c r="AC9" s="56" t="s">
        <v>1481</v>
      </c>
      <c r="AD9" s="56" t="s">
        <v>1482</v>
      </c>
      <c r="AE9" s="56" t="s">
        <v>2046</v>
      </c>
      <c r="AI9" s="56" t="s">
        <v>2168</v>
      </c>
    </row>
    <row r="10" spans="1:35" ht="174" x14ac:dyDescent="0.35">
      <c r="A10" s="56" t="s">
        <v>1203</v>
      </c>
      <c r="B10" s="56" t="s">
        <v>1451</v>
      </c>
      <c r="C10" s="56" t="s">
        <v>1452</v>
      </c>
      <c r="D10" s="56" t="s">
        <v>1224</v>
      </c>
      <c r="E10" s="56" t="s">
        <v>1453</v>
      </c>
      <c r="G10" s="56" t="s">
        <v>1292</v>
      </c>
      <c r="H10" s="56" t="s">
        <v>1462</v>
      </c>
      <c r="J10" s="56" t="s">
        <v>1228</v>
      </c>
      <c r="K10" s="56" t="s">
        <v>1317</v>
      </c>
      <c r="L10" s="56" t="s">
        <v>1318</v>
      </c>
      <c r="M10" s="56" t="s">
        <v>1319</v>
      </c>
      <c r="N10" s="56" t="s">
        <v>1320</v>
      </c>
      <c r="O10" s="56" t="s">
        <v>2152</v>
      </c>
      <c r="P10" s="56" t="s">
        <v>2153</v>
      </c>
      <c r="Q10" s="56" t="s">
        <v>2154</v>
      </c>
      <c r="R10" s="56" t="s">
        <v>2155</v>
      </c>
      <c r="S10" s="56" t="s">
        <v>2156</v>
      </c>
      <c r="T10" s="56" t="s">
        <v>2157</v>
      </c>
      <c r="U10" s="56" t="s">
        <v>2158</v>
      </c>
      <c r="V10" s="56" t="s">
        <v>2159</v>
      </c>
      <c r="W10" s="56" t="s">
        <v>2160</v>
      </c>
      <c r="X10" s="56" t="s">
        <v>2161</v>
      </c>
      <c r="Y10" s="56" t="s">
        <v>2162</v>
      </c>
      <c r="Z10" s="56" t="s">
        <v>2163</v>
      </c>
      <c r="AA10" s="56" t="s">
        <v>2164</v>
      </c>
      <c r="AB10" s="56" t="s">
        <v>2165</v>
      </c>
      <c r="AC10" s="56" t="s">
        <v>1483</v>
      </c>
      <c r="AD10" s="56" t="s">
        <v>1484</v>
      </c>
      <c r="AE10" s="56" t="s">
        <v>2046</v>
      </c>
      <c r="AI10" s="56" t="s">
        <v>2168</v>
      </c>
    </row>
    <row r="11" spans="1:35" ht="174" x14ac:dyDescent="0.35">
      <c r="A11" s="56" t="s">
        <v>1203</v>
      </c>
      <c r="B11" s="56" t="s">
        <v>1451</v>
      </c>
      <c r="C11" s="56" t="s">
        <v>1452</v>
      </c>
      <c r="D11" s="56" t="s">
        <v>1224</v>
      </c>
      <c r="E11" s="56" t="s">
        <v>1453</v>
      </c>
      <c r="G11" s="56" t="s">
        <v>1292</v>
      </c>
      <c r="H11" s="56" t="s">
        <v>1462</v>
      </c>
      <c r="J11" s="56" t="s">
        <v>1228</v>
      </c>
      <c r="K11" s="56" t="s">
        <v>1317</v>
      </c>
      <c r="L11" s="56" t="s">
        <v>1318</v>
      </c>
      <c r="M11" s="56" t="s">
        <v>1319</v>
      </c>
      <c r="N11" s="56" t="s">
        <v>1320</v>
      </c>
      <c r="O11" s="56" t="s">
        <v>2152</v>
      </c>
      <c r="P11" s="56" t="s">
        <v>2153</v>
      </c>
      <c r="Q11" s="56" t="s">
        <v>2154</v>
      </c>
      <c r="R11" s="56" t="s">
        <v>2155</v>
      </c>
      <c r="S11" s="56" t="s">
        <v>2156</v>
      </c>
      <c r="T11" s="56" t="s">
        <v>2157</v>
      </c>
      <c r="U11" s="56" t="s">
        <v>2158</v>
      </c>
      <c r="V11" s="56" t="s">
        <v>2159</v>
      </c>
      <c r="W11" s="56" t="s">
        <v>2160</v>
      </c>
      <c r="X11" s="56" t="s">
        <v>2161</v>
      </c>
      <c r="Y11" s="56" t="s">
        <v>2162</v>
      </c>
      <c r="Z11" s="56" t="s">
        <v>2163</v>
      </c>
      <c r="AA11" s="56" t="s">
        <v>2164</v>
      </c>
      <c r="AB11" s="56" t="s">
        <v>2165</v>
      </c>
      <c r="AC11" s="56" t="s">
        <v>1486</v>
      </c>
      <c r="AD11" s="56" t="s">
        <v>1487</v>
      </c>
      <c r="AE11" s="56" t="s">
        <v>2046</v>
      </c>
      <c r="AI11" s="56" t="s">
        <v>2168</v>
      </c>
    </row>
    <row r="12" spans="1:35" ht="174" x14ac:dyDescent="0.35">
      <c r="A12" s="56" t="s">
        <v>1203</v>
      </c>
      <c r="B12" s="56" t="s">
        <v>1451</v>
      </c>
      <c r="C12" s="56" t="s">
        <v>1452</v>
      </c>
      <c r="D12" s="56" t="s">
        <v>1224</v>
      </c>
      <c r="E12" s="56" t="s">
        <v>1453</v>
      </c>
      <c r="G12" s="56" t="s">
        <v>1292</v>
      </c>
      <c r="H12" s="56" t="s">
        <v>1462</v>
      </c>
      <c r="J12" s="56" t="s">
        <v>1228</v>
      </c>
      <c r="K12" s="56" t="s">
        <v>1317</v>
      </c>
      <c r="L12" s="56" t="s">
        <v>1318</v>
      </c>
      <c r="M12" s="56" t="s">
        <v>1319</v>
      </c>
      <c r="N12" s="56" t="s">
        <v>1320</v>
      </c>
      <c r="O12" s="56" t="s">
        <v>2152</v>
      </c>
      <c r="P12" s="56" t="s">
        <v>2153</v>
      </c>
      <c r="Q12" s="56" t="s">
        <v>2154</v>
      </c>
      <c r="R12" s="56" t="s">
        <v>2155</v>
      </c>
      <c r="S12" s="56" t="s">
        <v>2156</v>
      </c>
      <c r="T12" s="56" t="s">
        <v>2157</v>
      </c>
      <c r="U12" s="56" t="s">
        <v>2158</v>
      </c>
      <c r="V12" s="56" t="s">
        <v>2159</v>
      </c>
      <c r="W12" s="56" t="s">
        <v>2160</v>
      </c>
      <c r="X12" s="56" t="s">
        <v>2161</v>
      </c>
      <c r="Y12" s="56" t="s">
        <v>2162</v>
      </c>
      <c r="Z12" s="56" t="s">
        <v>2163</v>
      </c>
      <c r="AA12" s="56" t="s">
        <v>2164</v>
      </c>
      <c r="AB12" s="56" t="s">
        <v>2165</v>
      </c>
      <c r="AC12" s="56" t="s">
        <v>1488</v>
      </c>
      <c r="AD12" s="56" t="s">
        <v>1489</v>
      </c>
      <c r="AE12" s="56" t="s">
        <v>2046</v>
      </c>
      <c r="AI12" s="56" t="s">
        <v>2168</v>
      </c>
    </row>
    <row r="13" spans="1:35" ht="174" x14ac:dyDescent="0.35">
      <c r="A13" s="56" t="s">
        <v>1203</v>
      </c>
      <c r="B13" s="56" t="s">
        <v>1451</v>
      </c>
      <c r="C13" s="56" t="s">
        <v>1452</v>
      </c>
      <c r="D13" s="56" t="s">
        <v>1224</v>
      </c>
      <c r="E13" s="56" t="s">
        <v>1453</v>
      </c>
      <c r="G13" s="56" t="s">
        <v>1292</v>
      </c>
      <c r="H13" s="56" t="s">
        <v>1462</v>
      </c>
      <c r="J13" s="56" t="s">
        <v>1228</v>
      </c>
      <c r="K13" s="56" t="s">
        <v>1317</v>
      </c>
      <c r="L13" s="56" t="s">
        <v>1318</v>
      </c>
      <c r="M13" s="56" t="s">
        <v>1319</v>
      </c>
      <c r="N13" s="56" t="s">
        <v>1320</v>
      </c>
      <c r="O13" s="56" t="s">
        <v>2152</v>
      </c>
      <c r="P13" s="56" t="s">
        <v>2153</v>
      </c>
      <c r="Q13" s="56" t="s">
        <v>2154</v>
      </c>
      <c r="R13" s="56" t="s">
        <v>2155</v>
      </c>
      <c r="S13" s="56" t="s">
        <v>2156</v>
      </c>
      <c r="T13" s="56" t="s">
        <v>2157</v>
      </c>
      <c r="U13" s="56" t="s">
        <v>2158</v>
      </c>
      <c r="V13" s="56" t="s">
        <v>2159</v>
      </c>
      <c r="W13" s="56" t="s">
        <v>2160</v>
      </c>
      <c r="X13" s="56" t="s">
        <v>2161</v>
      </c>
      <c r="Y13" s="56" t="s">
        <v>2162</v>
      </c>
      <c r="Z13" s="56" t="s">
        <v>2163</v>
      </c>
      <c r="AA13" s="56" t="s">
        <v>2164</v>
      </c>
      <c r="AB13" s="56" t="s">
        <v>2165</v>
      </c>
      <c r="AC13" s="56" t="s">
        <v>1490</v>
      </c>
      <c r="AD13" s="56" t="s">
        <v>1491</v>
      </c>
      <c r="AE13" s="56" t="s">
        <v>2046</v>
      </c>
      <c r="AI13" s="56" t="s">
        <v>2168</v>
      </c>
    </row>
    <row r="14" spans="1:35" ht="174" x14ac:dyDescent="0.35">
      <c r="A14" s="56" t="s">
        <v>1203</v>
      </c>
      <c r="B14" s="56" t="s">
        <v>1451</v>
      </c>
      <c r="C14" s="56" t="s">
        <v>1452</v>
      </c>
      <c r="D14" s="56" t="s">
        <v>1224</v>
      </c>
      <c r="E14" s="56" t="s">
        <v>1453</v>
      </c>
      <c r="G14" s="56" t="s">
        <v>1292</v>
      </c>
      <c r="H14" s="56" t="s">
        <v>1462</v>
      </c>
      <c r="J14" s="56" t="s">
        <v>1228</v>
      </c>
      <c r="K14" s="56" t="s">
        <v>1317</v>
      </c>
      <c r="L14" s="56" t="s">
        <v>1318</v>
      </c>
      <c r="M14" s="56" t="s">
        <v>1319</v>
      </c>
      <c r="N14" s="56" t="s">
        <v>1320</v>
      </c>
      <c r="O14" s="56" t="s">
        <v>2152</v>
      </c>
      <c r="P14" s="56" t="s">
        <v>2153</v>
      </c>
      <c r="Q14" s="56" t="s">
        <v>2154</v>
      </c>
      <c r="R14" s="56" t="s">
        <v>2155</v>
      </c>
      <c r="S14" s="56" t="s">
        <v>2156</v>
      </c>
      <c r="T14" s="56" t="s">
        <v>2157</v>
      </c>
      <c r="U14" s="56" t="s">
        <v>2158</v>
      </c>
      <c r="V14" s="56" t="s">
        <v>2159</v>
      </c>
      <c r="W14" s="56" t="s">
        <v>2160</v>
      </c>
      <c r="X14" s="56" t="s">
        <v>2161</v>
      </c>
      <c r="Y14" s="56" t="s">
        <v>2162</v>
      </c>
      <c r="Z14" s="56" t="s">
        <v>2163</v>
      </c>
      <c r="AA14" s="56" t="s">
        <v>2164</v>
      </c>
      <c r="AB14" s="56" t="s">
        <v>2165</v>
      </c>
      <c r="AC14" s="56" t="s">
        <v>1492</v>
      </c>
      <c r="AE14" s="56" t="s">
        <v>1493</v>
      </c>
      <c r="AI14" s="56" t="s">
        <v>2168</v>
      </c>
    </row>
    <row r="15" spans="1:35" ht="174" x14ac:dyDescent="0.35">
      <c r="A15" s="56" t="s">
        <v>1203</v>
      </c>
      <c r="B15" s="56" t="s">
        <v>1451</v>
      </c>
      <c r="C15" s="56" t="s">
        <v>1452</v>
      </c>
      <c r="D15" s="56" t="s">
        <v>1224</v>
      </c>
      <c r="E15" s="56" t="s">
        <v>1453</v>
      </c>
      <c r="G15" s="56" t="s">
        <v>1292</v>
      </c>
      <c r="H15" s="56" t="s">
        <v>1462</v>
      </c>
      <c r="J15" s="56" t="s">
        <v>1228</v>
      </c>
      <c r="K15" s="56" t="s">
        <v>1317</v>
      </c>
      <c r="L15" s="56" t="s">
        <v>1318</v>
      </c>
      <c r="M15" s="56" t="s">
        <v>1319</v>
      </c>
      <c r="N15" s="56" t="s">
        <v>1320</v>
      </c>
      <c r="O15" s="56" t="s">
        <v>2152</v>
      </c>
      <c r="P15" s="56" t="s">
        <v>2153</v>
      </c>
      <c r="Q15" s="56" t="s">
        <v>2154</v>
      </c>
      <c r="R15" s="56" t="s">
        <v>2155</v>
      </c>
      <c r="S15" s="56" t="s">
        <v>2156</v>
      </c>
      <c r="T15" s="56" t="s">
        <v>2157</v>
      </c>
      <c r="U15" s="56" t="s">
        <v>2158</v>
      </c>
      <c r="V15" s="56" t="s">
        <v>2159</v>
      </c>
      <c r="W15" s="56" t="s">
        <v>2160</v>
      </c>
      <c r="X15" s="56" t="s">
        <v>2161</v>
      </c>
      <c r="Y15" s="56" t="s">
        <v>2162</v>
      </c>
      <c r="Z15" s="56" t="s">
        <v>2163</v>
      </c>
      <c r="AA15" s="56" t="s">
        <v>2164</v>
      </c>
      <c r="AB15" s="56" t="s">
        <v>2165</v>
      </c>
      <c r="AC15" s="56" t="s">
        <v>1494</v>
      </c>
      <c r="AE15" s="56" t="s">
        <v>1493</v>
      </c>
      <c r="AI15" s="56" t="s">
        <v>2168</v>
      </c>
    </row>
    <row r="16" spans="1:35" ht="174" x14ac:dyDescent="0.35">
      <c r="A16" s="56" t="s">
        <v>1203</v>
      </c>
      <c r="B16" s="56" t="s">
        <v>1451</v>
      </c>
      <c r="C16" s="56" t="s">
        <v>1452</v>
      </c>
      <c r="D16" s="56" t="s">
        <v>1224</v>
      </c>
      <c r="E16" s="56" t="s">
        <v>1453</v>
      </c>
      <c r="G16" s="56" t="s">
        <v>1292</v>
      </c>
      <c r="H16" s="56" t="s">
        <v>1462</v>
      </c>
      <c r="J16" s="56" t="s">
        <v>1228</v>
      </c>
      <c r="K16" s="56" t="s">
        <v>1317</v>
      </c>
      <c r="L16" s="56" t="s">
        <v>1318</v>
      </c>
      <c r="M16" s="56" t="s">
        <v>1319</v>
      </c>
      <c r="N16" s="56" t="s">
        <v>1320</v>
      </c>
      <c r="O16" s="56" t="s">
        <v>2152</v>
      </c>
      <c r="P16" s="56" t="s">
        <v>2153</v>
      </c>
      <c r="Q16" s="56" t="s">
        <v>2154</v>
      </c>
      <c r="R16" s="56" t="s">
        <v>2155</v>
      </c>
      <c r="S16" s="56" t="s">
        <v>2156</v>
      </c>
      <c r="T16" s="56" t="s">
        <v>2157</v>
      </c>
      <c r="U16" s="56" t="s">
        <v>2158</v>
      </c>
      <c r="V16" s="56" t="s">
        <v>2159</v>
      </c>
      <c r="W16" s="56" t="s">
        <v>2160</v>
      </c>
      <c r="X16" s="56" t="s">
        <v>2161</v>
      </c>
      <c r="Y16" s="56" t="s">
        <v>2162</v>
      </c>
      <c r="Z16" s="56" t="s">
        <v>2163</v>
      </c>
      <c r="AA16" s="56" t="s">
        <v>2164</v>
      </c>
      <c r="AB16" s="56" t="s">
        <v>2165</v>
      </c>
      <c r="AC16" s="56" t="s">
        <v>1495</v>
      </c>
      <c r="AE16" s="56" t="s">
        <v>1493</v>
      </c>
      <c r="AI16" s="56" t="s">
        <v>2168</v>
      </c>
    </row>
    <row r="17" spans="1:35" ht="174" x14ac:dyDescent="0.35">
      <c r="A17" s="56" t="s">
        <v>1203</v>
      </c>
      <c r="B17" s="56" t="s">
        <v>1451</v>
      </c>
      <c r="C17" s="56" t="s">
        <v>1452</v>
      </c>
      <c r="D17" s="56" t="s">
        <v>1224</v>
      </c>
      <c r="E17" s="56" t="s">
        <v>1453</v>
      </c>
      <c r="G17" s="56" t="s">
        <v>1292</v>
      </c>
      <c r="H17" s="56" t="s">
        <v>1462</v>
      </c>
      <c r="J17" s="56" t="s">
        <v>1228</v>
      </c>
      <c r="K17" s="56" t="s">
        <v>1317</v>
      </c>
      <c r="L17" s="56" t="s">
        <v>1318</v>
      </c>
      <c r="M17" s="56" t="s">
        <v>1319</v>
      </c>
      <c r="N17" s="56" t="s">
        <v>1320</v>
      </c>
      <c r="O17" s="56" t="s">
        <v>2152</v>
      </c>
      <c r="P17" s="56" t="s">
        <v>2153</v>
      </c>
      <c r="Q17" s="56" t="s">
        <v>2154</v>
      </c>
      <c r="R17" s="56" t="s">
        <v>2155</v>
      </c>
      <c r="S17" s="56" t="s">
        <v>2156</v>
      </c>
      <c r="T17" s="56" t="s">
        <v>2157</v>
      </c>
      <c r="U17" s="56" t="s">
        <v>2158</v>
      </c>
      <c r="V17" s="56" t="s">
        <v>2159</v>
      </c>
      <c r="W17" s="56" t="s">
        <v>2160</v>
      </c>
      <c r="X17" s="56" t="s">
        <v>2161</v>
      </c>
      <c r="Y17" s="56" t="s">
        <v>2162</v>
      </c>
      <c r="Z17" s="56" t="s">
        <v>2163</v>
      </c>
      <c r="AA17" s="56" t="s">
        <v>2164</v>
      </c>
      <c r="AB17" s="56" t="s">
        <v>2165</v>
      </c>
      <c r="AC17" s="56" t="s">
        <v>1496</v>
      </c>
      <c r="AE17" s="56" t="s">
        <v>1493</v>
      </c>
      <c r="AF17" s="56" t="s">
        <v>1497</v>
      </c>
      <c r="AG17" s="56" t="s">
        <v>2175</v>
      </c>
      <c r="AH17" s="56" t="s">
        <v>2176</v>
      </c>
      <c r="AI17" s="56" t="s">
        <v>2168</v>
      </c>
    </row>
    <row r="18" spans="1:35" ht="174" x14ac:dyDescent="0.35">
      <c r="A18" s="56" t="s">
        <v>1203</v>
      </c>
      <c r="B18" s="56" t="s">
        <v>1451</v>
      </c>
      <c r="C18" s="56" t="s">
        <v>1452</v>
      </c>
      <c r="D18" s="56" t="s">
        <v>1224</v>
      </c>
      <c r="E18" s="56" t="s">
        <v>1453</v>
      </c>
      <c r="G18" s="56" t="s">
        <v>1292</v>
      </c>
      <c r="H18" s="56" t="s">
        <v>1462</v>
      </c>
      <c r="J18" s="56" t="s">
        <v>1228</v>
      </c>
      <c r="K18" s="56" t="s">
        <v>1317</v>
      </c>
      <c r="L18" s="56" t="s">
        <v>1318</v>
      </c>
      <c r="M18" s="56" t="s">
        <v>1319</v>
      </c>
      <c r="N18" s="56" t="s">
        <v>1320</v>
      </c>
      <c r="O18" s="56" t="s">
        <v>2152</v>
      </c>
      <c r="P18" s="56" t="s">
        <v>2153</v>
      </c>
      <c r="Q18" s="56" t="s">
        <v>2154</v>
      </c>
      <c r="R18" s="56" t="s">
        <v>2155</v>
      </c>
      <c r="S18" s="56" t="s">
        <v>2156</v>
      </c>
      <c r="T18" s="56" t="s">
        <v>2157</v>
      </c>
      <c r="U18" s="56" t="s">
        <v>2158</v>
      </c>
      <c r="V18" s="56" t="s">
        <v>2159</v>
      </c>
      <c r="W18" s="56" t="s">
        <v>2160</v>
      </c>
      <c r="X18" s="56" t="s">
        <v>2161</v>
      </c>
      <c r="Y18" s="56" t="s">
        <v>2162</v>
      </c>
      <c r="Z18" s="56" t="s">
        <v>2163</v>
      </c>
      <c r="AA18" s="56" t="s">
        <v>2164</v>
      </c>
      <c r="AB18" s="56" t="s">
        <v>2165</v>
      </c>
      <c r="AC18" s="56" t="s">
        <v>1499</v>
      </c>
      <c r="AE18" s="56" t="s">
        <v>1493</v>
      </c>
      <c r="AI18" s="56" t="s">
        <v>2168</v>
      </c>
    </row>
    <row r="19" spans="1:35" ht="174" x14ac:dyDescent="0.35">
      <c r="A19" s="56" t="s">
        <v>1203</v>
      </c>
      <c r="B19" s="56" t="s">
        <v>1451</v>
      </c>
      <c r="C19" s="56" t="s">
        <v>1452</v>
      </c>
      <c r="D19" s="56" t="s">
        <v>1224</v>
      </c>
      <c r="E19" s="56" t="s">
        <v>1453</v>
      </c>
      <c r="G19" s="56" t="s">
        <v>1292</v>
      </c>
      <c r="H19" s="56" t="s">
        <v>1462</v>
      </c>
      <c r="J19" s="56" t="s">
        <v>1228</v>
      </c>
      <c r="K19" s="56" t="s">
        <v>1317</v>
      </c>
      <c r="L19" s="56" t="s">
        <v>1318</v>
      </c>
      <c r="M19" s="56" t="s">
        <v>1319</v>
      </c>
      <c r="N19" s="56" t="s">
        <v>1320</v>
      </c>
      <c r="O19" s="56" t="s">
        <v>2152</v>
      </c>
      <c r="P19" s="56" t="s">
        <v>2153</v>
      </c>
      <c r="Q19" s="56" t="s">
        <v>2154</v>
      </c>
      <c r="R19" s="56" t="s">
        <v>2155</v>
      </c>
      <c r="S19" s="56" t="s">
        <v>2156</v>
      </c>
      <c r="T19" s="56" t="s">
        <v>2157</v>
      </c>
      <c r="U19" s="56" t="s">
        <v>2158</v>
      </c>
      <c r="V19" s="56" t="s">
        <v>2159</v>
      </c>
      <c r="W19" s="56" t="s">
        <v>2160</v>
      </c>
      <c r="X19" s="56" t="s">
        <v>2161</v>
      </c>
      <c r="Y19" s="56" t="s">
        <v>2162</v>
      </c>
      <c r="Z19" s="56" t="s">
        <v>2163</v>
      </c>
      <c r="AA19" s="56" t="s">
        <v>2164</v>
      </c>
      <c r="AB19" s="56" t="s">
        <v>2165</v>
      </c>
      <c r="AC19" s="56" t="s">
        <v>1500</v>
      </c>
      <c r="AE19" s="56" t="s">
        <v>1493</v>
      </c>
      <c r="AI19" s="56" t="s">
        <v>2168</v>
      </c>
    </row>
    <row r="20" spans="1:35" ht="174" x14ac:dyDescent="0.35">
      <c r="A20" s="56" t="s">
        <v>1203</v>
      </c>
      <c r="B20" s="56" t="s">
        <v>1451</v>
      </c>
      <c r="C20" s="56" t="s">
        <v>1452</v>
      </c>
      <c r="D20" s="56" t="s">
        <v>1224</v>
      </c>
      <c r="E20" s="56" t="s">
        <v>1453</v>
      </c>
      <c r="G20" s="56" t="s">
        <v>1292</v>
      </c>
      <c r="H20" s="56" t="s">
        <v>1462</v>
      </c>
      <c r="J20" s="56" t="s">
        <v>1228</v>
      </c>
      <c r="K20" s="56" t="s">
        <v>1317</v>
      </c>
      <c r="L20" s="56" t="s">
        <v>1318</v>
      </c>
      <c r="M20" s="56" t="s">
        <v>1319</v>
      </c>
      <c r="N20" s="56" t="s">
        <v>1320</v>
      </c>
      <c r="O20" s="56" t="s">
        <v>2152</v>
      </c>
      <c r="P20" s="56" t="s">
        <v>2153</v>
      </c>
      <c r="Q20" s="56" t="s">
        <v>2154</v>
      </c>
      <c r="R20" s="56" t="s">
        <v>2155</v>
      </c>
      <c r="S20" s="56" t="s">
        <v>2156</v>
      </c>
      <c r="T20" s="56" t="s">
        <v>2157</v>
      </c>
      <c r="U20" s="56" t="s">
        <v>2158</v>
      </c>
      <c r="V20" s="56" t="s">
        <v>2159</v>
      </c>
      <c r="W20" s="56" t="s">
        <v>2160</v>
      </c>
      <c r="X20" s="56" t="s">
        <v>2161</v>
      </c>
      <c r="Y20" s="56" t="s">
        <v>2162</v>
      </c>
      <c r="Z20" s="56" t="s">
        <v>2163</v>
      </c>
      <c r="AA20" s="56" t="s">
        <v>2164</v>
      </c>
      <c r="AB20" s="56" t="s">
        <v>2165</v>
      </c>
      <c r="AC20" s="56" t="s">
        <v>1501</v>
      </c>
      <c r="AE20" s="56" t="s">
        <v>1493</v>
      </c>
      <c r="AI20" s="56" t="s">
        <v>2168</v>
      </c>
    </row>
    <row r="21" spans="1:35" ht="174" x14ac:dyDescent="0.35">
      <c r="A21" s="56" t="s">
        <v>1203</v>
      </c>
      <c r="B21" s="56" t="s">
        <v>1451</v>
      </c>
      <c r="C21" s="56" t="s">
        <v>1452</v>
      </c>
      <c r="D21" s="56" t="s">
        <v>1224</v>
      </c>
      <c r="E21" s="56" t="s">
        <v>1453</v>
      </c>
      <c r="G21" s="56" t="s">
        <v>1292</v>
      </c>
      <c r="H21" s="56" t="s">
        <v>1462</v>
      </c>
      <c r="J21" s="56" t="s">
        <v>1228</v>
      </c>
      <c r="K21" s="56" t="s">
        <v>1317</v>
      </c>
      <c r="L21" s="56" t="s">
        <v>1318</v>
      </c>
      <c r="M21" s="56" t="s">
        <v>1319</v>
      </c>
      <c r="N21" s="56" t="s">
        <v>1320</v>
      </c>
      <c r="O21" s="56" t="s">
        <v>2152</v>
      </c>
      <c r="P21" s="56" t="s">
        <v>2153</v>
      </c>
      <c r="Q21" s="56" t="s">
        <v>2154</v>
      </c>
      <c r="R21" s="56" t="s">
        <v>2155</v>
      </c>
      <c r="S21" s="56" t="s">
        <v>2156</v>
      </c>
      <c r="T21" s="56" t="s">
        <v>2157</v>
      </c>
      <c r="U21" s="56" t="s">
        <v>2158</v>
      </c>
      <c r="V21" s="56" t="s">
        <v>2159</v>
      </c>
      <c r="W21" s="56" t="s">
        <v>2160</v>
      </c>
      <c r="X21" s="56" t="s">
        <v>2161</v>
      </c>
      <c r="Y21" s="56" t="s">
        <v>2162</v>
      </c>
      <c r="Z21" s="56" t="s">
        <v>2163</v>
      </c>
      <c r="AA21" s="56" t="s">
        <v>2164</v>
      </c>
      <c r="AB21" s="56" t="s">
        <v>2165</v>
      </c>
      <c r="AC21" s="56" t="s">
        <v>1502</v>
      </c>
      <c r="AE21" s="56" t="s">
        <v>1493</v>
      </c>
      <c r="AI21" s="56" t="s">
        <v>2168</v>
      </c>
    </row>
    <row r="22" spans="1:35" ht="174" x14ac:dyDescent="0.35">
      <c r="A22" s="56" t="s">
        <v>1203</v>
      </c>
      <c r="B22" s="56" t="s">
        <v>1451</v>
      </c>
      <c r="C22" s="56" t="s">
        <v>1452</v>
      </c>
      <c r="D22" s="56" t="s">
        <v>1224</v>
      </c>
      <c r="E22" s="56" t="s">
        <v>1453</v>
      </c>
      <c r="G22" s="56" t="s">
        <v>1292</v>
      </c>
      <c r="H22" s="56" t="s">
        <v>1462</v>
      </c>
      <c r="J22" s="56" t="s">
        <v>1228</v>
      </c>
      <c r="K22" s="56" t="s">
        <v>1317</v>
      </c>
      <c r="L22" s="56" t="s">
        <v>1318</v>
      </c>
      <c r="M22" s="56" t="s">
        <v>1319</v>
      </c>
      <c r="N22" s="56" t="s">
        <v>1320</v>
      </c>
      <c r="O22" s="56" t="s">
        <v>2152</v>
      </c>
      <c r="P22" s="56" t="s">
        <v>2153</v>
      </c>
      <c r="Q22" s="56" t="s">
        <v>2154</v>
      </c>
      <c r="R22" s="56" t="s">
        <v>2155</v>
      </c>
      <c r="S22" s="56" t="s">
        <v>2156</v>
      </c>
      <c r="T22" s="56" t="s">
        <v>2157</v>
      </c>
      <c r="U22" s="56" t="s">
        <v>2158</v>
      </c>
      <c r="V22" s="56" t="s">
        <v>2159</v>
      </c>
      <c r="W22" s="56" t="s">
        <v>2160</v>
      </c>
      <c r="X22" s="56" t="s">
        <v>2161</v>
      </c>
      <c r="Y22" s="56" t="s">
        <v>2162</v>
      </c>
      <c r="Z22" s="56" t="s">
        <v>2163</v>
      </c>
      <c r="AA22" s="56" t="s">
        <v>2164</v>
      </c>
      <c r="AB22" s="56" t="s">
        <v>2165</v>
      </c>
      <c r="AC22" s="56" t="s">
        <v>1503</v>
      </c>
      <c r="AE22" s="56" t="s">
        <v>1493</v>
      </c>
      <c r="AI22" s="56" t="s">
        <v>2168</v>
      </c>
    </row>
    <row r="23" spans="1:35" ht="174" x14ac:dyDescent="0.35">
      <c r="A23" s="56" t="s">
        <v>1203</v>
      </c>
      <c r="B23" s="56" t="s">
        <v>1451</v>
      </c>
      <c r="C23" s="56" t="s">
        <v>1452</v>
      </c>
      <c r="D23" s="56" t="s">
        <v>1224</v>
      </c>
      <c r="E23" s="56" t="s">
        <v>1453</v>
      </c>
      <c r="G23" s="56" t="s">
        <v>1292</v>
      </c>
      <c r="H23" s="56" t="s">
        <v>1462</v>
      </c>
      <c r="J23" s="56" t="s">
        <v>1228</v>
      </c>
      <c r="K23" s="56" t="s">
        <v>1317</v>
      </c>
      <c r="L23" s="56" t="s">
        <v>1318</v>
      </c>
      <c r="M23" s="56" t="s">
        <v>1319</v>
      </c>
      <c r="N23" s="56" t="s">
        <v>1320</v>
      </c>
      <c r="O23" s="56" t="s">
        <v>2152</v>
      </c>
      <c r="P23" s="56" t="s">
        <v>2153</v>
      </c>
      <c r="Q23" s="56" t="s">
        <v>2154</v>
      </c>
      <c r="R23" s="56" t="s">
        <v>2155</v>
      </c>
      <c r="S23" s="56" t="s">
        <v>2156</v>
      </c>
      <c r="T23" s="56" t="s">
        <v>2157</v>
      </c>
      <c r="U23" s="56" t="s">
        <v>2158</v>
      </c>
      <c r="V23" s="56" t="s">
        <v>2159</v>
      </c>
      <c r="W23" s="56" t="s">
        <v>2160</v>
      </c>
      <c r="X23" s="56" t="s">
        <v>2161</v>
      </c>
      <c r="Y23" s="56" t="s">
        <v>2162</v>
      </c>
      <c r="Z23" s="56" t="s">
        <v>2163</v>
      </c>
      <c r="AA23" s="56" t="s">
        <v>2164</v>
      </c>
      <c r="AB23" s="56" t="s">
        <v>2165</v>
      </c>
      <c r="AC23" s="56" t="s">
        <v>1504</v>
      </c>
      <c r="AE23" s="56" t="s">
        <v>1493</v>
      </c>
      <c r="AI23" s="56" t="s">
        <v>2168</v>
      </c>
    </row>
    <row r="24" spans="1:35" ht="174" x14ac:dyDescent="0.35">
      <c r="A24" s="56" t="s">
        <v>1203</v>
      </c>
      <c r="B24" s="56" t="s">
        <v>1451</v>
      </c>
      <c r="C24" s="56" t="s">
        <v>1452</v>
      </c>
      <c r="D24" s="56" t="s">
        <v>1224</v>
      </c>
      <c r="E24" s="56" t="s">
        <v>1453</v>
      </c>
      <c r="G24" s="56" t="s">
        <v>1292</v>
      </c>
      <c r="H24" s="56" t="s">
        <v>1462</v>
      </c>
      <c r="J24" s="56" t="s">
        <v>1228</v>
      </c>
      <c r="K24" s="56" t="s">
        <v>1317</v>
      </c>
      <c r="L24" s="56" t="s">
        <v>1318</v>
      </c>
      <c r="M24" s="56" t="s">
        <v>1319</v>
      </c>
      <c r="N24" s="56" t="s">
        <v>1320</v>
      </c>
      <c r="O24" s="56" t="s">
        <v>2152</v>
      </c>
      <c r="P24" s="56" t="s">
        <v>2153</v>
      </c>
      <c r="Q24" s="56" t="s">
        <v>2154</v>
      </c>
      <c r="R24" s="56" t="s">
        <v>2155</v>
      </c>
      <c r="S24" s="56" t="s">
        <v>2156</v>
      </c>
      <c r="T24" s="56" t="s">
        <v>2157</v>
      </c>
      <c r="U24" s="56" t="s">
        <v>2158</v>
      </c>
      <c r="V24" s="56" t="s">
        <v>2159</v>
      </c>
      <c r="W24" s="56" t="s">
        <v>2160</v>
      </c>
      <c r="X24" s="56" t="s">
        <v>2161</v>
      </c>
      <c r="Y24" s="56" t="s">
        <v>2162</v>
      </c>
      <c r="Z24" s="56" t="s">
        <v>2163</v>
      </c>
      <c r="AA24" s="56" t="s">
        <v>2164</v>
      </c>
      <c r="AB24" s="56" t="s">
        <v>2165</v>
      </c>
      <c r="AC24" s="56" t="s">
        <v>1505</v>
      </c>
      <c r="AE24" s="56" t="s">
        <v>1493</v>
      </c>
      <c r="AI24" s="56" t="s">
        <v>2168</v>
      </c>
    </row>
    <row r="25" spans="1:35" ht="174" x14ac:dyDescent="0.35">
      <c r="A25" s="56" t="s">
        <v>1203</v>
      </c>
      <c r="B25" s="56" t="s">
        <v>1451</v>
      </c>
      <c r="C25" s="56" t="s">
        <v>1452</v>
      </c>
      <c r="D25" s="56" t="s">
        <v>1224</v>
      </c>
      <c r="E25" s="56" t="s">
        <v>1453</v>
      </c>
      <c r="G25" s="56" t="s">
        <v>1292</v>
      </c>
      <c r="H25" s="56" t="s">
        <v>1462</v>
      </c>
      <c r="J25" s="56" t="s">
        <v>1228</v>
      </c>
      <c r="K25" s="56" t="s">
        <v>1317</v>
      </c>
      <c r="L25" s="56" t="s">
        <v>1318</v>
      </c>
      <c r="M25" s="56" t="s">
        <v>1319</v>
      </c>
      <c r="N25" s="56" t="s">
        <v>1320</v>
      </c>
      <c r="O25" s="56" t="s">
        <v>2152</v>
      </c>
      <c r="P25" s="56" t="s">
        <v>2153</v>
      </c>
      <c r="Q25" s="56" t="s">
        <v>2154</v>
      </c>
      <c r="R25" s="56" t="s">
        <v>2155</v>
      </c>
      <c r="S25" s="56" t="s">
        <v>2156</v>
      </c>
      <c r="T25" s="56" t="s">
        <v>2157</v>
      </c>
      <c r="U25" s="56" t="s">
        <v>2158</v>
      </c>
      <c r="V25" s="56" t="s">
        <v>2159</v>
      </c>
      <c r="W25" s="56" t="s">
        <v>2160</v>
      </c>
      <c r="X25" s="56" t="s">
        <v>2161</v>
      </c>
      <c r="Y25" s="56" t="s">
        <v>2162</v>
      </c>
      <c r="Z25" s="56" t="s">
        <v>2163</v>
      </c>
      <c r="AA25" s="56" t="s">
        <v>2164</v>
      </c>
      <c r="AB25" s="56" t="s">
        <v>2165</v>
      </c>
      <c r="AC25" s="56" t="s">
        <v>1506</v>
      </c>
      <c r="AE25" s="56" t="s">
        <v>1493</v>
      </c>
      <c r="AI25" s="56" t="s">
        <v>2168</v>
      </c>
    </row>
    <row r="26" spans="1:35" ht="174" x14ac:dyDescent="0.35">
      <c r="A26" s="56" t="s">
        <v>1203</v>
      </c>
      <c r="B26" s="56" t="s">
        <v>1451</v>
      </c>
      <c r="C26" s="56" t="s">
        <v>1452</v>
      </c>
      <c r="D26" s="56" t="s">
        <v>1224</v>
      </c>
      <c r="E26" s="56" t="s">
        <v>1453</v>
      </c>
      <c r="G26" s="56" t="s">
        <v>1292</v>
      </c>
      <c r="H26" s="56" t="s">
        <v>1462</v>
      </c>
      <c r="J26" s="56" t="s">
        <v>1228</v>
      </c>
      <c r="K26" s="56" t="s">
        <v>1317</v>
      </c>
      <c r="L26" s="56" t="s">
        <v>1318</v>
      </c>
      <c r="M26" s="56" t="s">
        <v>1319</v>
      </c>
      <c r="N26" s="56" t="s">
        <v>1320</v>
      </c>
      <c r="O26" s="56" t="s">
        <v>2152</v>
      </c>
      <c r="P26" s="56" t="s">
        <v>2153</v>
      </c>
      <c r="Q26" s="56" t="s">
        <v>2154</v>
      </c>
      <c r="R26" s="56" t="s">
        <v>2155</v>
      </c>
      <c r="S26" s="56" t="s">
        <v>2156</v>
      </c>
      <c r="T26" s="56" t="s">
        <v>2157</v>
      </c>
      <c r="U26" s="56" t="s">
        <v>2158</v>
      </c>
      <c r="V26" s="56" t="s">
        <v>2159</v>
      </c>
      <c r="W26" s="56" t="s">
        <v>2160</v>
      </c>
      <c r="X26" s="56" t="s">
        <v>2161</v>
      </c>
      <c r="Y26" s="56" t="s">
        <v>2162</v>
      </c>
      <c r="Z26" s="56" t="s">
        <v>2163</v>
      </c>
      <c r="AA26" s="56" t="s">
        <v>2164</v>
      </c>
      <c r="AB26" s="56" t="s">
        <v>2165</v>
      </c>
      <c r="AC26" s="56" t="s">
        <v>1507</v>
      </c>
      <c r="AE26" s="56" t="s">
        <v>1493</v>
      </c>
      <c r="AI26" s="56" t="s">
        <v>2168</v>
      </c>
    </row>
    <row r="27" spans="1:35" ht="174" x14ac:dyDescent="0.35">
      <c r="A27" s="56" t="s">
        <v>1203</v>
      </c>
      <c r="B27" s="56" t="s">
        <v>1451</v>
      </c>
      <c r="C27" s="56" t="s">
        <v>1452</v>
      </c>
      <c r="D27" s="56" t="s">
        <v>1224</v>
      </c>
      <c r="E27" s="56" t="s">
        <v>1453</v>
      </c>
      <c r="G27" s="56" t="s">
        <v>1292</v>
      </c>
      <c r="H27" s="56" t="s">
        <v>1462</v>
      </c>
      <c r="J27" s="56" t="s">
        <v>1228</v>
      </c>
      <c r="K27" s="56" t="s">
        <v>1317</v>
      </c>
      <c r="L27" s="56" t="s">
        <v>1318</v>
      </c>
      <c r="M27" s="56" t="s">
        <v>1319</v>
      </c>
      <c r="N27" s="56" t="s">
        <v>1320</v>
      </c>
      <c r="O27" s="56" t="s">
        <v>2152</v>
      </c>
      <c r="P27" s="56" t="s">
        <v>2153</v>
      </c>
      <c r="Q27" s="56" t="s">
        <v>2154</v>
      </c>
      <c r="R27" s="56" t="s">
        <v>2155</v>
      </c>
      <c r="S27" s="56" t="s">
        <v>2156</v>
      </c>
      <c r="T27" s="56" t="s">
        <v>2157</v>
      </c>
      <c r="U27" s="56" t="s">
        <v>2158</v>
      </c>
      <c r="V27" s="56" t="s">
        <v>2159</v>
      </c>
      <c r="W27" s="56" t="s">
        <v>2160</v>
      </c>
      <c r="X27" s="56" t="s">
        <v>2161</v>
      </c>
      <c r="Y27" s="56" t="s">
        <v>2162</v>
      </c>
      <c r="Z27" s="56" t="s">
        <v>2163</v>
      </c>
      <c r="AA27" s="56" t="s">
        <v>2164</v>
      </c>
      <c r="AB27" s="56" t="s">
        <v>2165</v>
      </c>
      <c r="AC27" s="56" t="s">
        <v>1508</v>
      </c>
      <c r="AE27" s="56" t="s">
        <v>1493</v>
      </c>
      <c r="AI27" s="56" t="s">
        <v>2168</v>
      </c>
    </row>
    <row r="28" spans="1:35" ht="174" x14ac:dyDescent="0.35">
      <c r="A28" s="56" t="s">
        <v>1203</v>
      </c>
      <c r="B28" s="56" t="s">
        <v>1451</v>
      </c>
      <c r="C28" s="56" t="s">
        <v>1452</v>
      </c>
      <c r="D28" s="56" t="s">
        <v>1224</v>
      </c>
      <c r="E28" s="56" t="s">
        <v>1453</v>
      </c>
      <c r="G28" s="56" t="s">
        <v>1292</v>
      </c>
      <c r="H28" s="56" t="s">
        <v>1462</v>
      </c>
      <c r="J28" s="56" t="s">
        <v>1228</v>
      </c>
      <c r="K28" s="56" t="s">
        <v>1317</v>
      </c>
      <c r="L28" s="56" t="s">
        <v>1318</v>
      </c>
      <c r="M28" s="56" t="s">
        <v>1319</v>
      </c>
      <c r="N28" s="56" t="s">
        <v>1320</v>
      </c>
      <c r="O28" s="56" t="s">
        <v>2152</v>
      </c>
      <c r="P28" s="56" t="s">
        <v>2153</v>
      </c>
      <c r="Q28" s="56" t="s">
        <v>2154</v>
      </c>
      <c r="R28" s="56" t="s">
        <v>2155</v>
      </c>
      <c r="S28" s="56" t="s">
        <v>2156</v>
      </c>
      <c r="T28" s="56" t="s">
        <v>2157</v>
      </c>
      <c r="U28" s="56" t="s">
        <v>2158</v>
      </c>
      <c r="V28" s="56" t="s">
        <v>2159</v>
      </c>
      <c r="W28" s="56" t="s">
        <v>2160</v>
      </c>
      <c r="X28" s="56" t="s">
        <v>2161</v>
      </c>
      <c r="Y28" s="56" t="s">
        <v>2162</v>
      </c>
      <c r="Z28" s="56" t="s">
        <v>2163</v>
      </c>
      <c r="AA28" s="56" t="s">
        <v>2164</v>
      </c>
      <c r="AB28" s="56" t="s">
        <v>2165</v>
      </c>
      <c r="AC28" s="56" t="s">
        <v>1509</v>
      </c>
      <c r="AE28" s="56" t="s">
        <v>1493</v>
      </c>
      <c r="AI28" s="56" t="s">
        <v>2168</v>
      </c>
    </row>
    <row r="29" spans="1:35" ht="174" x14ac:dyDescent="0.35">
      <c r="A29" s="56" t="s">
        <v>1203</v>
      </c>
      <c r="B29" s="56" t="s">
        <v>1451</v>
      </c>
      <c r="C29" s="56" t="s">
        <v>1452</v>
      </c>
      <c r="D29" s="56" t="s">
        <v>1224</v>
      </c>
      <c r="E29" s="56" t="s">
        <v>1453</v>
      </c>
      <c r="G29" s="56" t="s">
        <v>1292</v>
      </c>
      <c r="H29" s="56" t="s">
        <v>1462</v>
      </c>
      <c r="J29" s="56" t="s">
        <v>1228</v>
      </c>
      <c r="K29" s="56" t="s">
        <v>1317</v>
      </c>
      <c r="L29" s="56" t="s">
        <v>1318</v>
      </c>
      <c r="M29" s="56" t="s">
        <v>1319</v>
      </c>
      <c r="N29" s="56" t="s">
        <v>1320</v>
      </c>
      <c r="O29" s="56" t="s">
        <v>2152</v>
      </c>
      <c r="P29" s="56" t="s">
        <v>2153</v>
      </c>
      <c r="Q29" s="56" t="s">
        <v>2154</v>
      </c>
      <c r="R29" s="56" t="s">
        <v>2155</v>
      </c>
      <c r="S29" s="56" t="s">
        <v>2156</v>
      </c>
      <c r="T29" s="56" t="s">
        <v>2157</v>
      </c>
      <c r="U29" s="56" t="s">
        <v>2158</v>
      </c>
      <c r="V29" s="56" t="s">
        <v>2159</v>
      </c>
      <c r="W29" s="56" t="s">
        <v>2160</v>
      </c>
      <c r="X29" s="56" t="s">
        <v>2161</v>
      </c>
      <c r="Y29" s="56" t="s">
        <v>2162</v>
      </c>
      <c r="Z29" s="56" t="s">
        <v>2163</v>
      </c>
      <c r="AA29" s="56" t="s">
        <v>2164</v>
      </c>
      <c r="AB29" s="56" t="s">
        <v>2165</v>
      </c>
      <c r="AC29" s="56" t="s">
        <v>1510</v>
      </c>
      <c r="AE29" s="56" t="s">
        <v>1493</v>
      </c>
      <c r="AI29" s="56" t="s">
        <v>2168</v>
      </c>
    </row>
    <row r="30" spans="1:35" ht="174" x14ac:dyDescent="0.35">
      <c r="A30" s="56" t="s">
        <v>1203</v>
      </c>
      <c r="B30" s="56" t="s">
        <v>1451</v>
      </c>
      <c r="C30" s="56" t="s">
        <v>1452</v>
      </c>
      <c r="D30" s="56" t="s">
        <v>1224</v>
      </c>
      <c r="E30" s="56" t="s">
        <v>1453</v>
      </c>
      <c r="G30" s="56" t="s">
        <v>1292</v>
      </c>
      <c r="H30" s="56" t="s">
        <v>1462</v>
      </c>
      <c r="J30" s="56" t="s">
        <v>1228</v>
      </c>
      <c r="K30" s="56" t="s">
        <v>1317</v>
      </c>
      <c r="L30" s="56" t="s">
        <v>1318</v>
      </c>
      <c r="M30" s="56" t="s">
        <v>1319</v>
      </c>
      <c r="N30" s="56" t="s">
        <v>1320</v>
      </c>
      <c r="O30" s="56" t="s">
        <v>2152</v>
      </c>
      <c r="P30" s="56" t="s">
        <v>2153</v>
      </c>
      <c r="Q30" s="56" t="s">
        <v>2154</v>
      </c>
      <c r="R30" s="56" t="s">
        <v>2155</v>
      </c>
      <c r="S30" s="56" t="s">
        <v>2156</v>
      </c>
      <c r="T30" s="56" t="s">
        <v>2157</v>
      </c>
      <c r="U30" s="56" t="s">
        <v>2158</v>
      </c>
      <c r="V30" s="56" t="s">
        <v>2159</v>
      </c>
      <c r="W30" s="56" t="s">
        <v>2160</v>
      </c>
      <c r="X30" s="56" t="s">
        <v>2161</v>
      </c>
      <c r="Y30" s="56" t="s">
        <v>2162</v>
      </c>
      <c r="Z30" s="56" t="s">
        <v>2163</v>
      </c>
      <c r="AA30" s="56" t="s">
        <v>2164</v>
      </c>
      <c r="AB30" s="56" t="s">
        <v>2165</v>
      </c>
      <c r="AC30" s="56" t="s">
        <v>1511</v>
      </c>
      <c r="AE30" s="56" t="s">
        <v>1493</v>
      </c>
      <c r="AI30" s="56" t="s">
        <v>2168</v>
      </c>
    </row>
    <row r="31" spans="1:35" ht="174" x14ac:dyDescent="0.35">
      <c r="A31" s="56" t="s">
        <v>1203</v>
      </c>
      <c r="B31" s="56" t="s">
        <v>1451</v>
      </c>
      <c r="C31" s="56" t="s">
        <v>1452</v>
      </c>
      <c r="D31" s="56" t="s">
        <v>1224</v>
      </c>
      <c r="E31" s="56" t="s">
        <v>1453</v>
      </c>
      <c r="G31" s="56" t="s">
        <v>1292</v>
      </c>
      <c r="H31" s="56" t="s">
        <v>1462</v>
      </c>
      <c r="J31" s="56" t="s">
        <v>1228</v>
      </c>
      <c r="K31" s="56" t="s">
        <v>1317</v>
      </c>
      <c r="L31" s="56" t="s">
        <v>1318</v>
      </c>
      <c r="M31" s="56" t="s">
        <v>1319</v>
      </c>
      <c r="N31" s="56" t="s">
        <v>1320</v>
      </c>
      <c r="O31" s="56" t="s">
        <v>2152</v>
      </c>
      <c r="P31" s="56" t="s">
        <v>2153</v>
      </c>
      <c r="Q31" s="56" t="s">
        <v>2154</v>
      </c>
      <c r="R31" s="56" t="s">
        <v>2155</v>
      </c>
      <c r="S31" s="56" t="s">
        <v>2156</v>
      </c>
      <c r="T31" s="56" t="s">
        <v>2157</v>
      </c>
      <c r="U31" s="56" t="s">
        <v>2158</v>
      </c>
      <c r="V31" s="56" t="s">
        <v>2159</v>
      </c>
      <c r="W31" s="56" t="s">
        <v>2160</v>
      </c>
      <c r="X31" s="56" t="s">
        <v>2161</v>
      </c>
      <c r="Y31" s="56" t="s">
        <v>2162</v>
      </c>
      <c r="Z31" s="56" t="s">
        <v>2163</v>
      </c>
      <c r="AA31" s="56" t="s">
        <v>2164</v>
      </c>
      <c r="AB31" s="56" t="s">
        <v>2165</v>
      </c>
      <c r="AC31" s="56" t="s">
        <v>1512</v>
      </c>
      <c r="AE31" s="56" t="s">
        <v>1493</v>
      </c>
      <c r="AI31" s="56" t="s">
        <v>2168</v>
      </c>
    </row>
    <row r="32" spans="1:35" ht="174" x14ac:dyDescent="0.35">
      <c r="A32" s="56" t="s">
        <v>1203</v>
      </c>
      <c r="B32" s="56" t="s">
        <v>1451</v>
      </c>
      <c r="C32" s="56" t="s">
        <v>1452</v>
      </c>
      <c r="D32" s="56" t="s">
        <v>1224</v>
      </c>
      <c r="E32" s="56" t="s">
        <v>1453</v>
      </c>
      <c r="G32" s="56" t="s">
        <v>1292</v>
      </c>
      <c r="H32" s="56" t="s">
        <v>1462</v>
      </c>
      <c r="J32" s="56" t="s">
        <v>1228</v>
      </c>
      <c r="K32" s="56" t="s">
        <v>1317</v>
      </c>
      <c r="L32" s="56" t="s">
        <v>1318</v>
      </c>
      <c r="M32" s="56" t="s">
        <v>1319</v>
      </c>
      <c r="N32" s="56" t="s">
        <v>1320</v>
      </c>
      <c r="O32" s="56" t="s">
        <v>2152</v>
      </c>
      <c r="P32" s="56" t="s">
        <v>2153</v>
      </c>
      <c r="Q32" s="56" t="s">
        <v>2154</v>
      </c>
      <c r="R32" s="56" t="s">
        <v>2155</v>
      </c>
      <c r="S32" s="56" t="s">
        <v>2156</v>
      </c>
      <c r="T32" s="56" t="s">
        <v>2157</v>
      </c>
      <c r="U32" s="56" t="s">
        <v>2158</v>
      </c>
      <c r="V32" s="56" t="s">
        <v>2159</v>
      </c>
      <c r="W32" s="56" t="s">
        <v>2160</v>
      </c>
      <c r="X32" s="56" t="s">
        <v>2161</v>
      </c>
      <c r="Y32" s="56" t="s">
        <v>2162</v>
      </c>
      <c r="Z32" s="56" t="s">
        <v>2163</v>
      </c>
      <c r="AA32" s="56" t="s">
        <v>2164</v>
      </c>
      <c r="AB32" s="56" t="s">
        <v>2165</v>
      </c>
      <c r="AC32" s="56" t="s">
        <v>1513</v>
      </c>
      <c r="AE32" s="56" t="s">
        <v>1493</v>
      </c>
      <c r="AI32" s="56" t="s">
        <v>2168</v>
      </c>
    </row>
    <row r="33" spans="1:35" ht="174" x14ac:dyDescent="0.35">
      <c r="A33" s="56" t="s">
        <v>1203</v>
      </c>
      <c r="B33" s="56" t="s">
        <v>1451</v>
      </c>
      <c r="C33" s="56" t="s">
        <v>1452</v>
      </c>
      <c r="D33" s="56" t="s">
        <v>1224</v>
      </c>
      <c r="E33" s="56" t="s">
        <v>1453</v>
      </c>
      <c r="G33" s="56" t="s">
        <v>1292</v>
      </c>
      <c r="H33" s="56" t="s">
        <v>1462</v>
      </c>
      <c r="J33" s="56" t="s">
        <v>1228</v>
      </c>
      <c r="K33" s="56" t="s">
        <v>1317</v>
      </c>
      <c r="L33" s="56" t="s">
        <v>1318</v>
      </c>
      <c r="M33" s="56" t="s">
        <v>1319</v>
      </c>
      <c r="N33" s="56" t="s">
        <v>1320</v>
      </c>
      <c r="O33" s="56" t="s">
        <v>2152</v>
      </c>
      <c r="P33" s="56" t="s">
        <v>2153</v>
      </c>
      <c r="Q33" s="56" t="s">
        <v>2154</v>
      </c>
      <c r="R33" s="56" t="s">
        <v>2155</v>
      </c>
      <c r="S33" s="56" t="s">
        <v>2156</v>
      </c>
      <c r="T33" s="56" t="s">
        <v>2157</v>
      </c>
      <c r="U33" s="56" t="s">
        <v>2158</v>
      </c>
      <c r="V33" s="56" t="s">
        <v>2159</v>
      </c>
      <c r="W33" s="56" t="s">
        <v>2160</v>
      </c>
      <c r="X33" s="56" t="s">
        <v>2161</v>
      </c>
      <c r="Y33" s="56" t="s">
        <v>2162</v>
      </c>
      <c r="Z33" s="56" t="s">
        <v>2163</v>
      </c>
      <c r="AA33" s="56" t="s">
        <v>2164</v>
      </c>
      <c r="AB33" s="56" t="s">
        <v>2165</v>
      </c>
      <c r="AC33" s="56" t="s">
        <v>1514</v>
      </c>
      <c r="AE33" s="56" t="s">
        <v>1493</v>
      </c>
      <c r="AI33" s="56" t="s">
        <v>2168</v>
      </c>
    </row>
    <row r="34" spans="1:35" ht="174" x14ac:dyDescent="0.35">
      <c r="A34" s="56" t="s">
        <v>1203</v>
      </c>
      <c r="B34" s="56" t="s">
        <v>1451</v>
      </c>
      <c r="C34" s="56" t="s">
        <v>1452</v>
      </c>
      <c r="D34" s="56" t="s">
        <v>1224</v>
      </c>
      <c r="E34" s="56" t="s">
        <v>1453</v>
      </c>
      <c r="G34" s="56" t="s">
        <v>1292</v>
      </c>
      <c r="H34" s="56" t="s">
        <v>1462</v>
      </c>
      <c r="J34" s="56" t="s">
        <v>1228</v>
      </c>
      <c r="K34" s="56" t="s">
        <v>1317</v>
      </c>
      <c r="L34" s="56" t="s">
        <v>1318</v>
      </c>
      <c r="M34" s="56" t="s">
        <v>1319</v>
      </c>
      <c r="N34" s="56" t="s">
        <v>1320</v>
      </c>
      <c r="O34" s="56" t="s">
        <v>2152</v>
      </c>
      <c r="P34" s="56" t="s">
        <v>2153</v>
      </c>
      <c r="Q34" s="56" t="s">
        <v>2154</v>
      </c>
      <c r="R34" s="56" t="s">
        <v>2155</v>
      </c>
      <c r="S34" s="56" t="s">
        <v>2156</v>
      </c>
      <c r="T34" s="56" t="s">
        <v>2157</v>
      </c>
      <c r="U34" s="56" t="s">
        <v>2158</v>
      </c>
      <c r="V34" s="56" t="s">
        <v>2159</v>
      </c>
      <c r="W34" s="56" t="s">
        <v>2160</v>
      </c>
      <c r="X34" s="56" t="s">
        <v>2161</v>
      </c>
      <c r="Y34" s="56" t="s">
        <v>2162</v>
      </c>
      <c r="Z34" s="56" t="s">
        <v>2163</v>
      </c>
      <c r="AA34" s="56" t="s">
        <v>2164</v>
      </c>
      <c r="AB34" s="56" t="s">
        <v>2165</v>
      </c>
      <c r="AC34" s="56" t="s">
        <v>1515</v>
      </c>
      <c r="AE34" s="56" t="s">
        <v>1493</v>
      </c>
      <c r="AI34" s="56" t="s">
        <v>2168</v>
      </c>
    </row>
    <row r="35" spans="1:35" ht="174" x14ac:dyDescent="0.35">
      <c r="A35" s="56" t="s">
        <v>1203</v>
      </c>
      <c r="B35" s="56" t="s">
        <v>1451</v>
      </c>
      <c r="C35" s="56" t="s">
        <v>1452</v>
      </c>
      <c r="D35" s="56" t="s">
        <v>1224</v>
      </c>
      <c r="E35" s="56" t="s">
        <v>1453</v>
      </c>
      <c r="G35" s="56" t="s">
        <v>1292</v>
      </c>
      <c r="H35" s="56" t="s">
        <v>1462</v>
      </c>
      <c r="J35" s="56" t="s">
        <v>1228</v>
      </c>
      <c r="K35" s="56" t="s">
        <v>1317</v>
      </c>
      <c r="L35" s="56" t="s">
        <v>1318</v>
      </c>
      <c r="M35" s="56" t="s">
        <v>1319</v>
      </c>
      <c r="N35" s="56" t="s">
        <v>1320</v>
      </c>
      <c r="O35" s="56" t="s">
        <v>2152</v>
      </c>
      <c r="P35" s="56" t="s">
        <v>2153</v>
      </c>
      <c r="Q35" s="56" t="s">
        <v>2154</v>
      </c>
      <c r="R35" s="56" t="s">
        <v>2155</v>
      </c>
      <c r="S35" s="56" t="s">
        <v>2156</v>
      </c>
      <c r="T35" s="56" t="s">
        <v>2157</v>
      </c>
      <c r="U35" s="56" t="s">
        <v>2158</v>
      </c>
      <c r="V35" s="56" t="s">
        <v>2159</v>
      </c>
      <c r="W35" s="56" t="s">
        <v>2160</v>
      </c>
      <c r="X35" s="56" t="s">
        <v>2161</v>
      </c>
      <c r="Y35" s="56" t="s">
        <v>2162</v>
      </c>
      <c r="Z35" s="56" t="s">
        <v>2163</v>
      </c>
      <c r="AA35" s="56" t="s">
        <v>2164</v>
      </c>
      <c r="AB35" s="56" t="s">
        <v>2165</v>
      </c>
      <c r="AC35" s="56" t="s">
        <v>1516</v>
      </c>
      <c r="AE35" s="56" t="s">
        <v>1493</v>
      </c>
      <c r="AI35" s="56" t="s">
        <v>2168</v>
      </c>
    </row>
    <row r="36" spans="1:35" ht="188.5" x14ac:dyDescent="0.35">
      <c r="A36" s="56" t="s">
        <v>1203</v>
      </c>
      <c r="B36" s="56" t="s">
        <v>1451</v>
      </c>
      <c r="C36" s="56" t="s">
        <v>1452</v>
      </c>
      <c r="D36" s="56" t="s">
        <v>1224</v>
      </c>
      <c r="E36" s="56" t="s">
        <v>1453</v>
      </c>
      <c r="G36" s="56" t="s">
        <v>1292</v>
      </c>
      <c r="H36" s="56" t="s">
        <v>1462</v>
      </c>
      <c r="J36" s="56" t="s">
        <v>1228</v>
      </c>
      <c r="K36" s="56" t="s">
        <v>1317</v>
      </c>
      <c r="L36" s="56" t="s">
        <v>1318</v>
      </c>
      <c r="M36" s="56" t="s">
        <v>1319</v>
      </c>
      <c r="N36" s="56" t="s">
        <v>1320</v>
      </c>
      <c r="O36" s="56" t="s">
        <v>2152</v>
      </c>
      <c r="P36" s="56" t="s">
        <v>2153</v>
      </c>
      <c r="Q36" s="56" t="s">
        <v>2154</v>
      </c>
      <c r="R36" s="56" t="s">
        <v>2155</v>
      </c>
      <c r="S36" s="56" t="s">
        <v>2156</v>
      </c>
      <c r="T36" s="56" t="s">
        <v>2157</v>
      </c>
      <c r="U36" s="56" t="s">
        <v>2158</v>
      </c>
      <c r="V36" s="56" t="s">
        <v>2159</v>
      </c>
      <c r="W36" s="56" t="s">
        <v>2160</v>
      </c>
      <c r="X36" s="56" t="s">
        <v>2161</v>
      </c>
      <c r="Y36" s="56" t="s">
        <v>2162</v>
      </c>
      <c r="Z36" s="56" t="s">
        <v>2163</v>
      </c>
      <c r="AA36" s="56" t="s">
        <v>2164</v>
      </c>
      <c r="AB36" s="56" t="s">
        <v>2165</v>
      </c>
      <c r="AC36" s="56" t="s">
        <v>1517</v>
      </c>
      <c r="AE36" s="56" t="s">
        <v>1493</v>
      </c>
      <c r="AF36" s="56" t="s">
        <v>1518</v>
      </c>
      <c r="AG36" s="56" t="s">
        <v>2177</v>
      </c>
      <c r="AH36" s="56" t="s">
        <v>2178</v>
      </c>
      <c r="AI36" s="56" t="s">
        <v>2168</v>
      </c>
    </row>
    <row r="37" spans="1:35" ht="188.5" x14ac:dyDescent="0.35">
      <c r="A37" s="56" t="s">
        <v>1203</v>
      </c>
      <c r="B37" s="56" t="s">
        <v>1451</v>
      </c>
      <c r="C37" s="56" t="s">
        <v>1452</v>
      </c>
      <c r="D37" s="56" t="s">
        <v>1224</v>
      </c>
      <c r="E37" s="56" t="s">
        <v>1453</v>
      </c>
      <c r="G37" s="56" t="s">
        <v>1292</v>
      </c>
      <c r="H37" s="56" t="s">
        <v>1462</v>
      </c>
      <c r="J37" s="56" t="s">
        <v>1228</v>
      </c>
      <c r="K37" s="56" t="s">
        <v>1317</v>
      </c>
      <c r="L37" s="56" t="s">
        <v>1318</v>
      </c>
      <c r="M37" s="56" t="s">
        <v>1319</v>
      </c>
      <c r="N37" s="56" t="s">
        <v>1320</v>
      </c>
      <c r="O37" s="56" t="s">
        <v>2152</v>
      </c>
      <c r="P37" s="56" t="s">
        <v>2153</v>
      </c>
      <c r="Q37" s="56" t="s">
        <v>2154</v>
      </c>
      <c r="R37" s="56" t="s">
        <v>2155</v>
      </c>
      <c r="S37" s="56" t="s">
        <v>2156</v>
      </c>
      <c r="T37" s="56" t="s">
        <v>2157</v>
      </c>
      <c r="U37" s="56" t="s">
        <v>2158</v>
      </c>
      <c r="V37" s="56" t="s">
        <v>2159</v>
      </c>
      <c r="W37" s="56" t="s">
        <v>2160</v>
      </c>
      <c r="X37" s="56" t="s">
        <v>2161</v>
      </c>
      <c r="Y37" s="56" t="s">
        <v>2162</v>
      </c>
      <c r="Z37" s="56" t="s">
        <v>2163</v>
      </c>
      <c r="AA37" s="56" t="s">
        <v>2164</v>
      </c>
      <c r="AB37" s="56" t="s">
        <v>2165</v>
      </c>
      <c r="AC37" s="56" t="s">
        <v>1524</v>
      </c>
      <c r="AE37" s="56" t="s">
        <v>1493</v>
      </c>
      <c r="AF37" s="56" t="s">
        <v>1525</v>
      </c>
      <c r="AG37" s="56" t="s">
        <v>2179</v>
      </c>
      <c r="AH37" s="56" t="s">
        <v>2180</v>
      </c>
      <c r="AI37" s="56" t="s">
        <v>2168</v>
      </c>
    </row>
    <row r="38" spans="1:35" ht="174" x14ac:dyDescent="0.35">
      <c r="A38" s="56" t="s">
        <v>1203</v>
      </c>
      <c r="B38" s="56" t="s">
        <v>1451</v>
      </c>
      <c r="C38" s="56" t="s">
        <v>1452</v>
      </c>
      <c r="D38" s="56" t="s">
        <v>1224</v>
      </c>
      <c r="E38" s="56" t="s">
        <v>1453</v>
      </c>
      <c r="G38" s="56" t="s">
        <v>1292</v>
      </c>
      <c r="H38" s="56" t="s">
        <v>1462</v>
      </c>
      <c r="J38" s="56" t="s">
        <v>1228</v>
      </c>
      <c r="K38" s="56" t="s">
        <v>1317</v>
      </c>
      <c r="L38" s="56" t="s">
        <v>1318</v>
      </c>
      <c r="M38" s="56" t="s">
        <v>1319</v>
      </c>
      <c r="N38" s="56" t="s">
        <v>1320</v>
      </c>
      <c r="O38" s="56" t="s">
        <v>2152</v>
      </c>
      <c r="P38" s="56" t="s">
        <v>2153</v>
      </c>
      <c r="Q38" s="56" t="s">
        <v>2154</v>
      </c>
      <c r="R38" s="56" t="s">
        <v>2155</v>
      </c>
      <c r="S38" s="56" t="s">
        <v>2156</v>
      </c>
      <c r="T38" s="56" t="s">
        <v>2157</v>
      </c>
      <c r="U38" s="56" t="s">
        <v>2158</v>
      </c>
      <c r="V38" s="56" t="s">
        <v>2159</v>
      </c>
      <c r="W38" s="56" t="s">
        <v>2160</v>
      </c>
      <c r="X38" s="56" t="s">
        <v>2161</v>
      </c>
      <c r="Y38" s="56" t="s">
        <v>2162</v>
      </c>
      <c r="Z38" s="56" t="s">
        <v>2163</v>
      </c>
      <c r="AA38" s="56" t="s">
        <v>2164</v>
      </c>
      <c r="AB38" s="56" t="s">
        <v>2165</v>
      </c>
      <c r="AC38" s="56" t="s">
        <v>1528</v>
      </c>
      <c r="AE38" s="56" t="s">
        <v>1493</v>
      </c>
      <c r="AI38" s="56" t="s">
        <v>2168</v>
      </c>
    </row>
    <row r="39" spans="1:35" ht="174" x14ac:dyDescent="0.35">
      <c r="A39" s="56" t="s">
        <v>1203</v>
      </c>
      <c r="B39" s="56" t="s">
        <v>1451</v>
      </c>
      <c r="C39" s="56" t="s">
        <v>1452</v>
      </c>
      <c r="D39" s="56" t="s">
        <v>1224</v>
      </c>
      <c r="E39" s="56" t="s">
        <v>1453</v>
      </c>
      <c r="G39" s="56" t="s">
        <v>1292</v>
      </c>
      <c r="H39" s="56" t="s">
        <v>1462</v>
      </c>
      <c r="J39" s="56" t="s">
        <v>1228</v>
      </c>
      <c r="K39" s="56" t="s">
        <v>1317</v>
      </c>
      <c r="L39" s="56" t="s">
        <v>1318</v>
      </c>
      <c r="M39" s="56" t="s">
        <v>1319</v>
      </c>
      <c r="N39" s="56" t="s">
        <v>1320</v>
      </c>
      <c r="O39" s="56" t="s">
        <v>2152</v>
      </c>
      <c r="P39" s="56" t="s">
        <v>2153</v>
      </c>
      <c r="Q39" s="56" t="s">
        <v>2154</v>
      </c>
      <c r="R39" s="56" t="s">
        <v>2155</v>
      </c>
      <c r="S39" s="56" t="s">
        <v>2156</v>
      </c>
      <c r="T39" s="56" t="s">
        <v>2157</v>
      </c>
      <c r="U39" s="56" t="s">
        <v>2158</v>
      </c>
      <c r="V39" s="56" t="s">
        <v>2159</v>
      </c>
      <c r="W39" s="56" t="s">
        <v>2160</v>
      </c>
      <c r="X39" s="56" t="s">
        <v>2161</v>
      </c>
      <c r="Y39" s="56" t="s">
        <v>2162</v>
      </c>
      <c r="Z39" s="56" t="s">
        <v>2163</v>
      </c>
      <c r="AA39" s="56" t="s">
        <v>2164</v>
      </c>
      <c r="AB39" s="56" t="s">
        <v>2165</v>
      </c>
      <c r="AC39" s="56" t="s">
        <v>1529</v>
      </c>
      <c r="AE39" s="56" t="s">
        <v>1493</v>
      </c>
      <c r="AI39" s="56" t="s">
        <v>2168</v>
      </c>
    </row>
    <row r="40" spans="1:35" ht="174" x14ac:dyDescent="0.35">
      <c r="A40" s="56" t="s">
        <v>1203</v>
      </c>
      <c r="B40" s="56" t="s">
        <v>1451</v>
      </c>
      <c r="C40" s="56" t="s">
        <v>1452</v>
      </c>
      <c r="D40" s="56" t="s">
        <v>1224</v>
      </c>
      <c r="E40" s="56" t="s">
        <v>1453</v>
      </c>
      <c r="G40" s="56" t="s">
        <v>1292</v>
      </c>
      <c r="H40" s="56" t="s">
        <v>1462</v>
      </c>
      <c r="J40" s="56" t="s">
        <v>1228</v>
      </c>
      <c r="K40" s="56" t="s">
        <v>1317</v>
      </c>
      <c r="L40" s="56" t="s">
        <v>1318</v>
      </c>
      <c r="M40" s="56" t="s">
        <v>1319</v>
      </c>
      <c r="N40" s="56" t="s">
        <v>1320</v>
      </c>
      <c r="O40" s="56" t="s">
        <v>2152</v>
      </c>
      <c r="P40" s="56" t="s">
        <v>2153</v>
      </c>
      <c r="Q40" s="56" t="s">
        <v>2154</v>
      </c>
      <c r="R40" s="56" t="s">
        <v>2155</v>
      </c>
      <c r="S40" s="56" t="s">
        <v>2156</v>
      </c>
      <c r="T40" s="56" t="s">
        <v>2157</v>
      </c>
      <c r="U40" s="56" t="s">
        <v>2158</v>
      </c>
      <c r="V40" s="56" t="s">
        <v>2159</v>
      </c>
      <c r="W40" s="56" t="s">
        <v>2160</v>
      </c>
      <c r="X40" s="56" t="s">
        <v>2161</v>
      </c>
      <c r="Y40" s="56" t="s">
        <v>2162</v>
      </c>
      <c r="Z40" s="56" t="s">
        <v>2163</v>
      </c>
      <c r="AA40" s="56" t="s">
        <v>2164</v>
      </c>
      <c r="AB40" s="56" t="s">
        <v>2165</v>
      </c>
      <c r="AC40" s="56" t="s">
        <v>1530</v>
      </c>
      <c r="AE40" s="56" t="s">
        <v>1493</v>
      </c>
      <c r="AI40" s="56" t="s">
        <v>2168</v>
      </c>
    </row>
    <row r="41" spans="1:35" ht="174" x14ac:dyDescent="0.35">
      <c r="A41" s="56" t="s">
        <v>1203</v>
      </c>
      <c r="B41" s="56" t="s">
        <v>1451</v>
      </c>
      <c r="C41" s="56" t="s">
        <v>1452</v>
      </c>
      <c r="D41" s="56" t="s">
        <v>1224</v>
      </c>
      <c r="E41" s="56" t="s">
        <v>1453</v>
      </c>
      <c r="G41" s="56" t="s">
        <v>1292</v>
      </c>
      <c r="H41" s="56" t="s">
        <v>1462</v>
      </c>
      <c r="J41" s="56" t="s">
        <v>1228</v>
      </c>
      <c r="K41" s="56" t="s">
        <v>1317</v>
      </c>
      <c r="L41" s="56" t="s">
        <v>1318</v>
      </c>
      <c r="M41" s="56" t="s">
        <v>1319</v>
      </c>
      <c r="N41" s="56" t="s">
        <v>1320</v>
      </c>
      <c r="O41" s="56" t="s">
        <v>2152</v>
      </c>
      <c r="P41" s="56" t="s">
        <v>2153</v>
      </c>
      <c r="Q41" s="56" t="s">
        <v>2154</v>
      </c>
      <c r="R41" s="56" t="s">
        <v>2155</v>
      </c>
      <c r="S41" s="56" t="s">
        <v>2156</v>
      </c>
      <c r="T41" s="56" t="s">
        <v>2157</v>
      </c>
      <c r="U41" s="56" t="s">
        <v>2158</v>
      </c>
      <c r="V41" s="56" t="s">
        <v>2159</v>
      </c>
      <c r="W41" s="56" t="s">
        <v>2160</v>
      </c>
      <c r="X41" s="56" t="s">
        <v>2161</v>
      </c>
      <c r="Y41" s="56" t="s">
        <v>2162</v>
      </c>
      <c r="Z41" s="56" t="s">
        <v>2163</v>
      </c>
      <c r="AA41" s="56" t="s">
        <v>2164</v>
      </c>
      <c r="AB41" s="56" t="s">
        <v>2165</v>
      </c>
      <c r="AC41" s="56" t="s">
        <v>1531</v>
      </c>
      <c r="AE41" s="56" t="s">
        <v>1493</v>
      </c>
      <c r="AI41" s="56" t="s">
        <v>2168</v>
      </c>
    </row>
    <row r="42" spans="1:35" ht="174" x14ac:dyDescent="0.35">
      <c r="A42" s="56" t="s">
        <v>1203</v>
      </c>
      <c r="B42" s="56" t="s">
        <v>1451</v>
      </c>
      <c r="C42" s="56" t="s">
        <v>1452</v>
      </c>
      <c r="D42" s="56" t="s">
        <v>1224</v>
      </c>
      <c r="E42" s="56" t="s">
        <v>1453</v>
      </c>
      <c r="G42" s="56" t="s">
        <v>1292</v>
      </c>
      <c r="H42" s="56" t="s">
        <v>1462</v>
      </c>
      <c r="J42" s="56" t="s">
        <v>1228</v>
      </c>
      <c r="K42" s="56" t="s">
        <v>1317</v>
      </c>
      <c r="L42" s="56" t="s">
        <v>1318</v>
      </c>
      <c r="M42" s="56" t="s">
        <v>1319</v>
      </c>
      <c r="N42" s="56" t="s">
        <v>1320</v>
      </c>
      <c r="O42" s="56" t="s">
        <v>2152</v>
      </c>
      <c r="P42" s="56" t="s">
        <v>2153</v>
      </c>
      <c r="Q42" s="56" t="s">
        <v>2154</v>
      </c>
      <c r="R42" s="56" t="s">
        <v>2155</v>
      </c>
      <c r="S42" s="56" t="s">
        <v>2156</v>
      </c>
      <c r="T42" s="56" t="s">
        <v>2157</v>
      </c>
      <c r="U42" s="56" t="s">
        <v>2158</v>
      </c>
      <c r="V42" s="56" t="s">
        <v>2159</v>
      </c>
      <c r="W42" s="56" t="s">
        <v>2160</v>
      </c>
      <c r="X42" s="56" t="s">
        <v>2161</v>
      </c>
      <c r="Y42" s="56" t="s">
        <v>2162</v>
      </c>
      <c r="Z42" s="56" t="s">
        <v>2163</v>
      </c>
      <c r="AA42" s="56" t="s">
        <v>2164</v>
      </c>
      <c r="AB42" s="56" t="s">
        <v>2165</v>
      </c>
      <c r="AC42" s="56" t="s">
        <v>1532</v>
      </c>
      <c r="AE42" s="56" t="s">
        <v>1493</v>
      </c>
      <c r="AI42" s="56" t="s">
        <v>2168</v>
      </c>
    </row>
    <row r="43" spans="1:35" ht="116" x14ac:dyDescent="0.35">
      <c r="A43" s="56" t="s">
        <v>2152</v>
      </c>
      <c r="B43" s="56" t="s">
        <v>1451</v>
      </c>
      <c r="C43" s="56" t="s">
        <v>1452</v>
      </c>
      <c r="D43" s="56" t="s">
        <v>1224</v>
      </c>
      <c r="E43" s="56" t="s">
        <v>1453</v>
      </c>
      <c r="G43" s="56" t="s">
        <v>1289</v>
      </c>
      <c r="H43" s="56" t="s">
        <v>1316</v>
      </c>
      <c r="J43" s="56" t="s">
        <v>1288</v>
      </c>
      <c r="K43" s="56" t="s">
        <v>1312</v>
      </c>
      <c r="L43" s="56" t="s">
        <v>1313</v>
      </c>
      <c r="M43" s="56" t="s">
        <v>1314</v>
      </c>
      <c r="N43" s="56" t="s">
        <v>1315</v>
      </c>
      <c r="O43" s="56" t="s">
        <v>2181</v>
      </c>
      <c r="P43" s="56" t="s">
        <v>2153</v>
      </c>
      <c r="Q43" s="56" t="s">
        <v>2154</v>
      </c>
      <c r="R43" s="56" t="s">
        <v>2155</v>
      </c>
      <c r="S43" s="56" t="s">
        <v>2156</v>
      </c>
      <c r="T43" s="56" t="s">
        <v>2157</v>
      </c>
      <c r="U43" s="56" t="s">
        <v>2158</v>
      </c>
      <c r="V43" s="56" t="s">
        <v>2159</v>
      </c>
      <c r="W43" s="56" t="s">
        <v>2160</v>
      </c>
      <c r="X43" s="56" t="s">
        <v>2161</v>
      </c>
      <c r="Y43" s="56" t="s">
        <v>2182</v>
      </c>
      <c r="Z43" s="56" t="s">
        <v>2183</v>
      </c>
      <c r="AA43" s="56" t="s">
        <v>2184</v>
      </c>
      <c r="AB43" s="56" t="s">
        <v>2185</v>
      </c>
      <c r="AC43" s="56" t="s">
        <v>1454</v>
      </c>
      <c r="AD43" s="56" t="s">
        <v>1455</v>
      </c>
      <c r="AE43" s="56" t="s">
        <v>2046</v>
      </c>
      <c r="AI43" s="56" t="s">
        <v>2186</v>
      </c>
    </row>
    <row r="44" spans="1:35" ht="116" x14ac:dyDescent="0.35">
      <c r="A44" s="56" t="s">
        <v>2152</v>
      </c>
      <c r="B44" s="56" t="s">
        <v>1451</v>
      </c>
      <c r="C44" s="56" t="s">
        <v>1452</v>
      </c>
      <c r="D44" s="56" t="s">
        <v>1224</v>
      </c>
      <c r="E44" s="56" t="s">
        <v>1453</v>
      </c>
      <c r="G44" s="56" t="s">
        <v>1289</v>
      </c>
      <c r="H44" s="56" t="s">
        <v>1316</v>
      </c>
      <c r="J44" s="56" t="s">
        <v>1288</v>
      </c>
      <c r="K44" s="56" t="s">
        <v>1312</v>
      </c>
      <c r="L44" s="56" t="s">
        <v>1313</v>
      </c>
      <c r="M44" s="56" t="s">
        <v>1314</v>
      </c>
      <c r="N44" s="56" t="s">
        <v>1315</v>
      </c>
      <c r="O44" s="56" t="s">
        <v>2181</v>
      </c>
      <c r="P44" s="56" t="s">
        <v>2153</v>
      </c>
      <c r="Q44" s="56" t="s">
        <v>2154</v>
      </c>
      <c r="R44" s="56" t="s">
        <v>2155</v>
      </c>
      <c r="S44" s="56" t="s">
        <v>2156</v>
      </c>
      <c r="T44" s="56" t="s">
        <v>2157</v>
      </c>
      <c r="U44" s="56" t="s">
        <v>2158</v>
      </c>
      <c r="V44" s="56" t="s">
        <v>2159</v>
      </c>
      <c r="W44" s="56" t="s">
        <v>2160</v>
      </c>
      <c r="X44" s="56" t="s">
        <v>2161</v>
      </c>
      <c r="Y44" s="56" t="s">
        <v>2182</v>
      </c>
      <c r="Z44" s="56" t="s">
        <v>2183</v>
      </c>
      <c r="AA44" s="56" t="s">
        <v>2184</v>
      </c>
      <c r="AB44" s="56" t="s">
        <v>2185</v>
      </c>
      <c r="AC44" s="56" t="s">
        <v>1463</v>
      </c>
      <c r="AD44" s="56" t="s">
        <v>1464</v>
      </c>
      <c r="AE44" s="56" t="s">
        <v>2046</v>
      </c>
      <c r="AI44" s="56" t="s">
        <v>2186</v>
      </c>
    </row>
    <row r="45" spans="1:35" ht="116" x14ac:dyDescent="0.35">
      <c r="A45" s="56" t="s">
        <v>2152</v>
      </c>
      <c r="B45" s="56" t="s">
        <v>1451</v>
      </c>
      <c r="C45" s="56" t="s">
        <v>1452</v>
      </c>
      <c r="D45" s="56" t="s">
        <v>1224</v>
      </c>
      <c r="E45" s="56" t="s">
        <v>1453</v>
      </c>
      <c r="G45" s="56" t="s">
        <v>1289</v>
      </c>
      <c r="H45" s="56" t="s">
        <v>1316</v>
      </c>
      <c r="J45" s="56" t="s">
        <v>1288</v>
      </c>
      <c r="K45" s="56" t="s">
        <v>1312</v>
      </c>
      <c r="L45" s="56" t="s">
        <v>1313</v>
      </c>
      <c r="M45" s="56" t="s">
        <v>1314</v>
      </c>
      <c r="N45" s="56" t="s">
        <v>1315</v>
      </c>
      <c r="O45" s="56" t="s">
        <v>2181</v>
      </c>
      <c r="P45" s="56" t="s">
        <v>2153</v>
      </c>
      <c r="Q45" s="56" t="s">
        <v>2154</v>
      </c>
      <c r="R45" s="56" t="s">
        <v>2155</v>
      </c>
      <c r="S45" s="56" t="s">
        <v>2156</v>
      </c>
      <c r="T45" s="56" t="s">
        <v>2157</v>
      </c>
      <c r="U45" s="56" t="s">
        <v>2158</v>
      </c>
      <c r="V45" s="56" t="s">
        <v>2159</v>
      </c>
      <c r="W45" s="56" t="s">
        <v>2160</v>
      </c>
      <c r="X45" s="56" t="s">
        <v>2161</v>
      </c>
      <c r="Y45" s="56" t="s">
        <v>2182</v>
      </c>
      <c r="Z45" s="56" t="s">
        <v>2183</v>
      </c>
      <c r="AA45" s="56" t="s">
        <v>2184</v>
      </c>
      <c r="AB45" s="56" t="s">
        <v>2185</v>
      </c>
      <c r="AC45" s="56" t="s">
        <v>1465</v>
      </c>
      <c r="AD45" s="56" t="s">
        <v>1466</v>
      </c>
      <c r="AE45" s="56" t="s">
        <v>2046</v>
      </c>
      <c r="AI45" s="56" t="s">
        <v>2186</v>
      </c>
    </row>
    <row r="46" spans="1:35" ht="116" x14ac:dyDescent="0.35">
      <c r="A46" s="56" t="s">
        <v>2152</v>
      </c>
      <c r="B46" s="56" t="s">
        <v>1451</v>
      </c>
      <c r="C46" s="56" t="s">
        <v>1452</v>
      </c>
      <c r="D46" s="56" t="s">
        <v>1224</v>
      </c>
      <c r="E46" s="56" t="s">
        <v>1453</v>
      </c>
      <c r="G46" s="56" t="s">
        <v>1289</v>
      </c>
      <c r="H46" s="56" t="s">
        <v>1316</v>
      </c>
      <c r="J46" s="56" t="s">
        <v>1288</v>
      </c>
      <c r="K46" s="56" t="s">
        <v>1312</v>
      </c>
      <c r="L46" s="56" t="s">
        <v>1313</v>
      </c>
      <c r="M46" s="56" t="s">
        <v>1314</v>
      </c>
      <c r="N46" s="56" t="s">
        <v>1315</v>
      </c>
      <c r="O46" s="56" t="s">
        <v>2181</v>
      </c>
      <c r="P46" s="56" t="s">
        <v>2153</v>
      </c>
      <c r="Q46" s="56" t="s">
        <v>2154</v>
      </c>
      <c r="R46" s="56" t="s">
        <v>2155</v>
      </c>
      <c r="S46" s="56" t="s">
        <v>2156</v>
      </c>
      <c r="T46" s="56" t="s">
        <v>2157</v>
      </c>
      <c r="U46" s="56" t="s">
        <v>2158</v>
      </c>
      <c r="V46" s="56" t="s">
        <v>2159</v>
      </c>
      <c r="W46" s="56" t="s">
        <v>2160</v>
      </c>
      <c r="X46" s="56" t="s">
        <v>2161</v>
      </c>
      <c r="Y46" s="56" t="s">
        <v>2182</v>
      </c>
      <c r="Z46" s="56" t="s">
        <v>2183</v>
      </c>
      <c r="AA46" s="56" t="s">
        <v>2184</v>
      </c>
      <c r="AB46" s="56" t="s">
        <v>2185</v>
      </c>
      <c r="AC46" s="56" t="s">
        <v>1467</v>
      </c>
      <c r="AD46" s="56" t="s">
        <v>1468</v>
      </c>
      <c r="AE46" s="56" t="s">
        <v>2046</v>
      </c>
      <c r="AI46" s="56" t="s">
        <v>2186</v>
      </c>
    </row>
    <row r="47" spans="1:35" ht="116" x14ac:dyDescent="0.35">
      <c r="A47" s="56" t="s">
        <v>2152</v>
      </c>
      <c r="B47" s="56" t="s">
        <v>1451</v>
      </c>
      <c r="C47" s="56" t="s">
        <v>1452</v>
      </c>
      <c r="D47" s="56" t="s">
        <v>1224</v>
      </c>
      <c r="E47" s="56" t="s">
        <v>1453</v>
      </c>
      <c r="G47" s="56" t="s">
        <v>1289</v>
      </c>
      <c r="H47" s="56" t="s">
        <v>1316</v>
      </c>
      <c r="J47" s="56" t="s">
        <v>1288</v>
      </c>
      <c r="K47" s="56" t="s">
        <v>1312</v>
      </c>
      <c r="L47" s="56" t="s">
        <v>1313</v>
      </c>
      <c r="M47" s="56" t="s">
        <v>1314</v>
      </c>
      <c r="N47" s="56" t="s">
        <v>1315</v>
      </c>
      <c r="O47" s="56" t="s">
        <v>2181</v>
      </c>
      <c r="P47" s="56" t="s">
        <v>2153</v>
      </c>
      <c r="Q47" s="56" t="s">
        <v>2154</v>
      </c>
      <c r="R47" s="56" t="s">
        <v>2155</v>
      </c>
      <c r="S47" s="56" t="s">
        <v>2156</v>
      </c>
      <c r="T47" s="56" t="s">
        <v>2157</v>
      </c>
      <c r="U47" s="56" t="s">
        <v>2158</v>
      </c>
      <c r="V47" s="56" t="s">
        <v>2159</v>
      </c>
      <c r="W47" s="56" t="s">
        <v>2160</v>
      </c>
      <c r="X47" s="56" t="s">
        <v>2161</v>
      </c>
      <c r="Y47" s="56" t="s">
        <v>2182</v>
      </c>
      <c r="Z47" s="56" t="s">
        <v>2183</v>
      </c>
      <c r="AA47" s="56" t="s">
        <v>2184</v>
      </c>
      <c r="AB47" s="56" t="s">
        <v>2185</v>
      </c>
      <c r="AC47" s="56" t="s">
        <v>1471</v>
      </c>
      <c r="AD47" s="56" t="s">
        <v>1472</v>
      </c>
      <c r="AE47" s="56" t="s">
        <v>2046</v>
      </c>
      <c r="AI47" s="56" t="s">
        <v>2186</v>
      </c>
    </row>
    <row r="48" spans="1:35" ht="116" x14ac:dyDescent="0.35">
      <c r="A48" s="56" t="s">
        <v>2152</v>
      </c>
      <c r="B48" s="56" t="s">
        <v>1451</v>
      </c>
      <c r="C48" s="56" t="s">
        <v>1452</v>
      </c>
      <c r="D48" s="56" t="s">
        <v>1224</v>
      </c>
      <c r="E48" s="56" t="s">
        <v>1453</v>
      </c>
      <c r="G48" s="56" t="s">
        <v>1289</v>
      </c>
      <c r="H48" s="56" t="s">
        <v>1316</v>
      </c>
      <c r="J48" s="56" t="s">
        <v>1288</v>
      </c>
      <c r="K48" s="56" t="s">
        <v>1312</v>
      </c>
      <c r="L48" s="56" t="s">
        <v>1313</v>
      </c>
      <c r="M48" s="56" t="s">
        <v>1314</v>
      </c>
      <c r="N48" s="56" t="s">
        <v>1315</v>
      </c>
      <c r="O48" s="56" t="s">
        <v>2181</v>
      </c>
      <c r="P48" s="56" t="s">
        <v>2153</v>
      </c>
      <c r="Q48" s="56" t="s">
        <v>2154</v>
      </c>
      <c r="R48" s="56" t="s">
        <v>2155</v>
      </c>
      <c r="S48" s="56" t="s">
        <v>2156</v>
      </c>
      <c r="T48" s="56" t="s">
        <v>2157</v>
      </c>
      <c r="U48" s="56" t="s">
        <v>2158</v>
      </c>
      <c r="V48" s="56" t="s">
        <v>2159</v>
      </c>
      <c r="W48" s="56" t="s">
        <v>2160</v>
      </c>
      <c r="X48" s="56" t="s">
        <v>2161</v>
      </c>
      <c r="Y48" s="56" t="s">
        <v>2182</v>
      </c>
      <c r="Z48" s="56" t="s">
        <v>2183</v>
      </c>
      <c r="AA48" s="56" t="s">
        <v>2184</v>
      </c>
      <c r="AB48" s="56" t="s">
        <v>2185</v>
      </c>
      <c r="AC48" s="56" t="s">
        <v>1475</v>
      </c>
      <c r="AD48" s="56" t="s">
        <v>1476</v>
      </c>
      <c r="AE48" s="56" t="s">
        <v>2046</v>
      </c>
      <c r="AI48" s="56" t="s">
        <v>2186</v>
      </c>
    </row>
    <row r="49" spans="1:35" ht="246.5" x14ac:dyDescent="0.35">
      <c r="A49" s="56" t="s">
        <v>2152</v>
      </c>
      <c r="B49" s="56" t="s">
        <v>1451</v>
      </c>
      <c r="C49" s="56" t="s">
        <v>1452</v>
      </c>
      <c r="D49" s="56" t="s">
        <v>1224</v>
      </c>
      <c r="E49" s="56" t="s">
        <v>1453</v>
      </c>
      <c r="G49" s="56" t="s">
        <v>1289</v>
      </c>
      <c r="H49" s="56" t="s">
        <v>1316</v>
      </c>
      <c r="J49" s="56" t="s">
        <v>1288</v>
      </c>
      <c r="K49" s="56" t="s">
        <v>1312</v>
      </c>
      <c r="L49" s="56" t="s">
        <v>1313</v>
      </c>
      <c r="M49" s="56" t="s">
        <v>1314</v>
      </c>
      <c r="N49" s="56" t="s">
        <v>1315</v>
      </c>
      <c r="O49" s="56" t="s">
        <v>2181</v>
      </c>
      <c r="P49" s="56" t="s">
        <v>2153</v>
      </c>
      <c r="Q49" s="56" t="s">
        <v>2154</v>
      </c>
      <c r="R49" s="56" t="s">
        <v>2155</v>
      </c>
      <c r="S49" s="56" t="s">
        <v>2156</v>
      </c>
      <c r="T49" s="56" t="s">
        <v>2157</v>
      </c>
      <c r="U49" s="56" t="s">
        <v>2158</v>
      </c>
      <c r="V49" s="56" t="s">
        <v>2159</v>
      </c>
      <c r="W49" s="56" t="s">
        <v>2160</v>
      </c>
      <c r="X49" s="56" t="s">
        <v>2161</v>
      </c>
      <c r="Y49" s="56" t="s">
        <v>2182</v>
      </c>
      <c r="Z49" s="56" t="s">
        <v>2183</v>
      </c>
      <c r="AA49" s="56" t="s">
        <v>2184</v>
      </c>
      <c r="AB49" s="56" t="s">
        <v>2185</v>
      </c>
      <c r="AC49" s="56" t="s">
        <v>1477</v>
      </c>
      <c r="AD49" s="56" t="s">
        <v>1534</v>
      </c>
      <c r="AE49" s="56" t="s">
        <v>2046</v>
      </c>
      <c r="AF49" s="56" t="s">
        <v>1535</v>
      </c>
      <c r="AG49" s="56" t="s">
        <v>2187</v>
      </c>
      <c r="AH49" s="56" t="s">
        <v>2188</v>
      </c>
      <c r="AI49" s="56" t="s">
        <v>2186</v>
      </c>
    </row>
    <row r="50" spans="1:35" ht="116" x14ac:dyDescent="0.35">
      <c r="A50" s="56" t="s">
        <v>2152</v>
      </c>
      <c r="B50" s="56" t="s">
        <v>1451</v>
      </c>
      <c r="C50" s="56" t="s">
        <v>1452</v>
      </c>
      <c r="D50" s="56" t="s">
        <v>1224</v>
      </c>
      <c r="E50" s="56" t="s">
        <v>1453</v>
      </c>
      <c r="G50" s="56" t="s">
        <v>1289</v>
      </c>
      <c r="H50" s="56" t="s">
        <v>1316</v>
      </c>
      <c r="J50" s="56" t="s">
        <v>1288</v>
      </c>
      <c r="K50" s="56" t="s">
        <v>1312</v>
      </c>
      <c r="L50" s="56" t="s">
        <v>1313</v>
      </c>
      <c r="M50" s="56" t="s">
        <v>1314</v>
      </c>
      <c r="N50" s="56" t="s">
        <v>1315</v>
      </c>
      <c r="O50" s="56" t="s">
        <v>2181</v>
      </c>
      <c r="P50" s="56" t="s">
        <v>2153</v>
      </c>
      <c r="Q50" s="56" t="s">
        <v>2154</v>
      </c>
      <c r="R50" s="56" t="s">
        <v>2155</v>
      </c>
      <c r="S50" s="56" t="s">
        <v>2156</v>
      </c>
      <c r="T50" s="56" t="s">
        <v>2157</v>
      </c>
      <c r="U50" s="56" t="s">
        <v>2158</v>
      </c>
      <c r="V50" s="56" t="s">
        <v>2159</v>
      </c>
      <c r="W50" s="56" t="s">
        <v>2160</v>
      </c>
      <c r="X50" s="56" t="s">
        <v>2161</v>
      </c>
      <c r="Y50" s="56" t="s">
        <v>2182</v>
      </c>
      <c r="Z50" s="56" t="s">
        <v>2183</v>
      </c>
      <c r="AA50" s="56" t="s">
        <v>2184</v>
      </c>
      <c r="AB50" s="56" t="s">
        <v>2185</v>
      </c>
      <c r="AC50" s="56" t="s">
        <v>1481</v>
      </c>
      <c r="AD50" s="56" t="s">
        <v>1482</v>
      </c>
      <c r="AE50" s="56" t="s">
        <v>2046</v>
      </c>
      <c r="AI50" s="56" t="s">
        <v>2186</v>
      </c>
    </row>
    <row r="51" spans="1:35" ht="116" x14ac:dyDescent="0.35">
      <c r="A51" s="56" t="s">
        <v>2152</v>
      </c>
      <c r="B51" s="56" t="s">
        <v>1451</v>
      </c>
      <c r="C51" s="56" t="s">
        <v>1452</v>
      </c>
      <c r="D51" s="56" t="s">
        <v>1224</v>
      </c>
      <c r="E51" s="56" t="s">
        <v>1453</v>
      </c>
      <c r="G51" s="56" t="s">
        <v>1289</v>
      </c>
      <c r="H51" s="56" t="s">
        <v>1316</v>
      </c>
      <c r="J51" s="56" t="s">
        <v>1288</v>
      </c>
      <c r="K51" s="56" t="s">
        <v>1312</v>
      </c>
      <c r="L51" s="56" t="s">
        <v>1313</v>
      </c>
      <c r="M51" s="56" t="s">
        <v>1314</v>
      </c>
      <c r="N51" s="56" t="s">
        <v>1315</v>
      </c>
      <c r="O51" s="56" t="s">
        <v>2181</v>
      </c>
      <c r="P51" s="56" t="s">
        <v>2153</v>
      </c>
      <c r="Q51" s="56" t="s">
        <v>2154</v>
      </c>
      <c r="R51" s="56" t="s">
        <v>2155</v>
      </c>
      <c r="S51" s="56" t="s">
        <v>2156</v>
      </c>
      <c r="T51" s="56" t="s">
        <v>2157</v>
      </c>
      <c r="U51" s="56" t="s">
        <v>2158</v>
      </c>
      <c r="V51" s="56" t="s">
        <v>2159</v>
      </c>
      <c r="W51" s="56" t="s">
        <v>2160</v>
      </c>
      <c r="X51" s="56" t="s">
        <v>2161</v>
      </c>
      <c r="Y51" s="56" t="s">
        <v>2182</v>
      </c>
      <c r="Z51" s="56" t="s">
        <v>2183</v>
      </c>
      <c r="AA51" s="56" t="s">
        <v>2184</v>
      </c>
      <c r="AB51" s="56" t="s">
        <v>2185</v>
      </c>
      <c r="AC51" s="56" t="s">
        <v>1483</v>
      </c>
      <c r="AD51" s="56" t="s">
        <v>1484</v>
      </c>
      <c r="AE51" s="56" t="s">
        <v>2046</v>
      </c>
      <c r="AI51" s="56" t="s">
        <v>2186</v>
      </c>
    </row>
    <row r="52" spans="1:35" ht="116" x14ac:dyDescent="0.35">
      <c r="A52" s="56" t="s">
        <v>2152</v>
      </c>
      <c r="B52" s="56" t="s">
        <v>1451</v>
      </c>
      <c r="C52" s="56" t="s">
        <v>1452</v>
      </c>
      <c r="D52" s="56" t="s">
        <v>1224</v>
      </c>
      <c r="E52" s="56" t="s">
        <v>1453</v>
      </c>
      <c r="G52" s="56" t="s">
        <v>1289</v>
      </c>
      <c r="H52" s="56" t="s">
        <v>1316</v>
      </c>
      <c r="J52" s="56" t="s">
        <v>1288</v>
      </c>
      <c r="K52" s="56" t="s">
        <v>1312</v>
      </c>
      <c r="L52" s="56" t="s">
        <v>1313</v>
      </c>
      <c r="M52" s="56" t="s">
        <v>1314</v>
      </c>
      <c r="N52" s="56" t="s">
        <v>1315</v>
      </c>
      <c r="O52" s="56" t="s">
        <v>2181</v>
      </c>
      <c r="P52" s="56" t="s">
        <v>2153</v>
      </c>
      <c r="Q52" s="56" t="s">
        <v>2154</v>
      </c>
      <c r="R52" s="56" t="s">
        <v>2155</v>
      </c>
      <c r="S52" s="56" t="s">
        <v>2156</v>
      </c>
      <c r="T52" s="56" t="s">
        <v>2157</v>
      </c>
      <c r="U52" s="56" t="s">
        <v>2158</v>
      </c>
      <c r="V52" s="56" t="s">
        <v>2159</v>
      </c>
      <c r="W52" s="56" t="s">
        <v>2160</v>
      </c>
      <c r="X52" s="56" t="s">
        <v>2161</v>
      </c>
      <c r="Y52" s="56" t="s">
        <v>2182</v>
      </c>
      <c r="Z52" s="56" t="s">
        <v>2183</v>
      </c>
      <c r="AA52" s="56" t="s">
        <v>2184</v>
      </c>
      <c r="AB52" s="56" t="s">
        <v>2185</v>
      </c>
      <c r="AC52" s="56" t="s">
        <v>1486</v>
      </c>
      <c r="AD52" s="56" t="s">
        <v>1487</v>
      </c>
      <c r="AE52" s="56" t="s">
        <v>2046</v>
      </c>
      <c r="AI52" s="56" t="s">
        <v>2186</v>
      </c>
    </row>
    <row r="53" spans="1:35" ht="116" x14ac:dyDescent="0.35">
      <c r="A53" s="56" t="s">
        <v>2152</v>
      </c>
      <c r="B53" s="56" t="s">
        <v>1451</v>
      </c>
      <c r="C53" s="56" t="s">
        <v>1452</v>
      </c>
      <c r="D53" s="56" t="s">
        <v>1224</v>
      </c>
      <c r="E53" s="56" t="s">
        <v>1453</v>
      </c>
      <c r="G53" s="56" t="s">
        <v>1289</v>
      </c>
      <c r="H53" s="56" t="s">
        <v>1316</v>
      </c>
      <c r="J53" s="56" t="s">
        <v>1288</v>
      </c>
      <c r="K53" s="56" t="s">
        <v>1312</v>
      </c>
      <c r="L53" s="56" t="s">
        <v>1313</v>
      </c>
      <c r="M53" s="56" t="s">
        <v>1314</v>
      </c>
      <c r="N53" s="56" t="s">
        <v>1315</v>
      </c>
      <c r="O53" s="56" t="s">
        <v>2181</v>
      </c>
      <c r="P53" s="56" t="s">
        <v>2153</v>
      </c>
      <c r="Q53" s="56" t="s">
        <v>2154</v>
      </c>
      <c r="R53" s="56" t="s">
        <v>2155</v>
      </c>
      <c r="S53" s="56" t="s">
        <v>2156</v>
      </c>
      <c r="T53" s="56" t="s">
        <v>2157</v>
      </c>
      <c r="U53" s="56" t="s">
        <v>2158</v>
      </c>
      <c r="V53" s="56" t="s">
        <v>2159</v>
      </c>
      <c r="W53" s="56" t="s">
        <v>2160</v>
      </c>
      <c r="X53" s="56" t="s">
        <v>2161</v>
      </c>
      <c r="Y53" s="56" t="s">
        <v>2182</v>
      </c>
      <c r="Z53" s="56" t="s">
        <v>2183</v>
      </c>
      <c r="AA53" s="56" t="s">
        <v>2184</v>
      </c>
      <c r="AB53" s="56" t="s">
        <v>2185</v>
      </c>
      <c r="AC53" s="56" t="s">
        <v>1488</v>
      </c>
      <c r="AD53" s="56" t="s">
        <v>1489</v>
      </c>
      <c r="AE53" s="56" t="s">
        <v>2046</v>
      </c>
      <c r="AI53" s="56" t="s">
        <v>2186</v>
      </c>
    </row>
    <row r="54" spans="1:35" ht="116" x14ac:dyDescent="0.35">
      <c r="A54" s="56" t="s">
        <v>2152</v>
      </c>
      <c r="B54" s="56" t="s">
        <v>1451</v>
      </c>
      <c r="C54" s="56" t="s">
        <v>1452</v>
      </c>
      <c r="D54" s="56" t="s">
        <v>1224</v>
      </c>
      <c r="E54" s="56" t="s">
        <v>1453</v>
      </c>
      <c r="G54" s="56" t="s">
        <v>1289</v>
      </c>
      <c r="H54" s="56" t="s">
        <v>1316</v>
      </c>
      <c r="J54" s="56" t="s">
        <v>1288</v>
      </c>
      <c r="K54" s="56" t="s">
        <v>1312</v>
      </c>
      <c r="L54" s="56" t="s">
        <v>1313</v>
      </c>
      <c r="M54" s="56" t="s">
        <v>1314</v>
      </c>
      <c r="N54" s="56" t="s">
        <v>1315</v>
      </c>
      <c r="O54" s="56" t="s">
        <v>2181</v>
      </c>
      <c r="P54" s="56" t="s">
        <v>2153</v>
      </c>
      <c r="Q54" s="56" t="s">
        <v>2154</v>
      </c>
      <c r="R54" s="56" t="s">
        <v>2155</v>
      </c>
      <c r="S54" s="56" t="s">
        <v>2156</v>
      </c>
      <c r="T54" s="56" t="s">
        <v>2157</v>
      </c>
      <c r="U54" s="56" t="s">
        <v>2158</v>
      </c>
      <c r="V54" s="56" t="s">
        <v>2159</v>
      </c>
      <c r="W54" s="56" t="s">
        <v>2160</v>
      </c>
      <c r="X54" s="56" t="s">
        <v>2161</v>
      </c>
      <c r="Y54" s="56" t="s">
        <v>2182</v>
      </c>
      <c r="Z54" s="56" t="s">
        <v>2183</v>
      </c>
      <c r="AA54" s="56" t="s">
        <v>2184</v>
      </c>
      <c r="AB54" s="56" t="s">
        <v>2185</v>
      </c>
      <c r="AC54" s="56" t="s">
        <v>1490</v>
      </c>
      <c r="AD54" s="56" t="s">
        <v>1491</v>
      </c>
      <c r="AE54" s="56" t="s">
        <v>2046</v>
      </c>
      <c r="AI54" s="56" t="s">
        <v>2186</v>
      </c>
    </row>
    <row r="55" spans="1:35" ht="116" x14ac:dyDescent="0.35">
      <c r="A55" s="56" t="s">
        <v>2152</v>
      </c>
      <c r="B55" s="56" t="s">
        <v>1451</v>
      </c>
      <c r="C55" s="56" t="s">
        <v>1452</v>
      </c>
      <c r="D55" s="56" t="s">
        <v>1224</v>
      </c>
      <c r="E55" s="56" t="s">
        <v>1453</v>
      </c>
      <c r="G55" s="56" t="s">
        <v>1289</v>
      </c>
      <c r="H55" s="56" t="s">
        <v>1316</v>
      </c>
      <c r="J55" s="56" t="s">
        <v>1288</v>
      </c>
      <c r="K55" s="56" t="s">
        <v>1312</v>
      </c>
      <c r="L55" s="56" t="s">
        <v>1313</v>
      </c>
      <c r="M55" s="56" t="s">
        <v>1314</v>
      </c>
      <c r="N55" s="56" t="s">
        <v>1315</v>
      </c>
      <c r="O55" s="56" t="s">
        <v>2181</v>
      </c>
      <c r="P55" s="56" t="s">
        <v>2153</v>
      </c>
      <c r="Q55" s="56" t="s">
        <v>2154</v>
      </c>
      <c r="R55" s="56" t="s">
        <v>2155</v>
      </c>
      <c r="S55" s="56" t="s">
        <v>2156</v>
      </c>
      <c r="T55" s="56" t="s">
        <v>2157</v>
      </c>
      <c r="U55" s="56" t="s">
        <v>2158</v>
      </c>
      <c r="V55" s="56" t="s">
        <v>2159</v>
      </c>
      <c r="W55" s="56" t="s">
        <v>2160</v>
      </c>
      <c r="X55" s="56" t="s">
        <v>2161</v>
      </c>
      <c r="Y55" s="56" t="s">
        <v>2182</v>
      </c>
      <c r="Z55" s="56" t="s">
        <v>2183</v>
      </c>
      <c r="AA55" s="56" t="s">
        <v>2184</v>
      </c>
      <c r="AB55" s="56" t="s">
        <v>2185</v>
      </c>
      <c r="AC55" s="56" t="s">
        <v>1492</v>
      </c>
      <c r="AD55" s="56" t="s">
        <v>1538</v>
      </c>
      <c r="AE55" s="56" t="s">
        <v>1493</v>
      </c>
      <c r="AI55" s="56" t="s">
        <v>2186</v>
      </c>
    </row>
    <row r="56" spans="1:35" ht="116" x14ac:dyDescent="0.35">
      <c r="A56" s="56" t="s">
        <v>2152</v>
      </c>
      <c r="B56" s="56" t="s">
        <v>1451</v>
      </c>
      <c r="C56" s="56" t="s">
        <v>1452</v>
      </c>
      <c r="D56" s="56" t="s">
        <v>1224</v>
      </c>
      <c r="E56" s="56" t="s">
        <v>1453</v>
      </c>
      <c r="G56" s="56" t="s">
        <v>1289</v>
      </c>
      <c r="H56" s="56" t="s">
        <v>1316</v>
      </c>
      <c r="J56" s="56" t="s">
        <v>1288</v>
      </c>
      <c r="K56" s="56" t="s">
        <v>1312</v>
      </c>
      <c r="L56" s="56" t="s">
        <v>1313</v>
      </c>
      <c r="M56" s="56" t="s">
        <v>1314</v>
      </c>
      <c r="N56" s="56" t="s">
        <v>1315</v>
      </c>
      <c r="O56" s="56" t="s">
        <v>2181</v>
      </c>
      <c r="P56" s="56" t="s">
        <v>2153</v>
      </c>
      <c r="Q56" s="56" t="s">
        <v>2154</v>
      </c>
      <c r="R56" s="56" t="s">
        <v>2155</v>
      </c>
      <c r="S56" s="56" t="s">
        <v>2156</v>
      </c>
      <c r="T56" s="56" t="s">
        <v>2157</v>
      </c>
      <c r="U56" s="56" t="s">
        <v>2158</v>
      </c>
      <c r="V56" s="56" t="s">
        <v>2159</v>
      </c>
      <c r="W56" s="56" t="s">
        <v>2160</v>
      </c>
      <c r="X56" s="56" t="s">
        <v>2161</v>
      </c>
      <c r="Y56" s="56" t="s">
        <v>2182</v>
      </c>
      <c r="Z56" s="56" t="s">
        <v>2183</v>
      </c>
      <c r="AA56" s="56" t="s">
        <v>2184</v>
      </c>
      <c r="AB56" s="56" t="s">
        <v>2185</v>
      </c>
      <c r="AC56" s="56" t="s">
        <v>1494</v>
      </c>
      <c r="AD56" s="56" t="s">
        <v>1539</v>
      </c>
      <c r="AE56" s="56" t="s">
        <v>1493</v>
      </c>
      <c r="AI56" s="56" t="s">
        <v>2186</v>
      </c>
    </row>
    <row r="57" spans="1:35" ht="116" x14ac:dyDescent="0.35">
      <c r="A57" s="56" t="s">
        <v>2152</v>
      </c>
      <c r="B57" s="56" t="s">
        <v>1451</v>
      </c>
      <c r="C57" s="56" t="s">
        <v>1452</v>
      </c>
      <c r="D57" s="56" t="s">
        <v>1224</v>
      </c>
      <c r="E57" s="56" t="s">
        <v>1453</v>
      </c>
      <c r="G57" s="56" t="s">
        <v>1289</v>
      </c>
      <c r="H57" s="56" t="s">
        <v>1316</v>
      </c>
      <c r="J57" s="56" t="s">
        <v>1288</v>
      </c>
      <c r="K57" s="56" t="s">
        <v>1312</v>
      </c>
      <c r="L57" s="56" t="s">
        <v>1313</v>
      </c>
      <c r="M57" s="56" t="s">
        <v>1314</v>
      </c>
      <c r="N57" s="56" t="s">
        <v>1315</v>
      </c>
      <c r="O57" s="56" t="s">
        <v>2181</v>
      </c>
      <c r="P57" s="56" t="s">
        <v>2153</v>
      </c>
      <c r="Q57" s="56" t="s">
        <v>2154</v>
      </c>
      <c r="R57" s="56" t="s">
        <v>2155</v>
      </c>
      <c r="S57" s="56" t="s">
        <v>2156</v>
      </c>
      <c r="T57" s="56" t="s">
        <v>2157</v>
      </c>
      <c r="U57" s="56" t="s">
        <v>2158</v>
      </c>
      <c r="V57" s="56" t="s">
        <v>2159</v>
      </c>
      <c r="W57" s="56" t="s">
        <v>2160</v>
      </c>
      <c r="X57" s="56" t="s">
        <v>2161</v>
      </c>
      <c r="Y57" s="56" t="s">
        <v>2182</v>
      </c>
      <c r="Z57" s="56" t="s">
        <v>2183</v>
      </c>
      <c r="AA57" s="56" t="s">
        <v>2184</v>
      </c>
      <c r="AB57" s="56" t="s">
        <v>2185</v>
      </c>
      <c r="AC57" s="56" t="s">
        <v>1495</v>
      </c>
      <c r="AE57" s="56" t="s">
        <v>1493</v>
      </c>
      <c r="AI57" s="56" t="s">
        <v>2186</v>
      </c>
    </row>
    <row r="58" spans="1:35" ht="116" x14ac:dyDescent="0.35">
      <c r="A58" s="56" t="s">
        <v>2152</v>
      </c>
      <c r="B58" s="56" t="s">
        <v>1451</v>
      </c>
      <c r="C58" s="56" t="s">
        <v>1452</v>
      </c>
      <c r="D58" s="56" t="s">
        <v>1224</v>
      </c>
      <c r="E58" s="56" t="s">
        <v>1453</v>
      </c>
      <c r="G58" s="56" t="s">
        <v>1289</v>
      </c>
      <c r="H58" s="56" t="s">
        <v>1316</v>
      </c>
      <c r="J58" s="56" t="s">
        <v>1288</v>
      </c>
      <c r="K58" s="56" t="s">
        <v>1312</v>
      </c>
      <c r="L58" s="56" t="s">
        <v>1313</v>
      </c>
      <c r="M58" s="56" t="s">
        <v>1314</v>
      </c>
      <c r="N58" s="56" t="s">
        <v>1315</v>
      </c>
      <c r="O58" s="56" t="s">
        <v>2181</v>
      </c>
      <c r="P58" s="56" t="s">
        <v>2153</v>
      </c>
      <c r="Q58" s="56" t="s">
        <v>2154</v>
      </c>
      <c r="R58" s="56" t="s">
        <v>2155</v>
      </c>
      <c r="S58" s="56" t="s">
        <v>2156</v>
      </c>
      <c r="T58" s="56" t="s">
        <v>2157</v>
      </c>
      <c r="U58" s="56" t="s">
        <v>2158</v>
      </c>
      <c r="V58" s="56" t="s">
        <v>2159</v>
      </c>
      <c r="W58" s="56" t="s">
        <v>2160</v>
      </c>
      <c r="X58" s="56" t="s">
        <v>2161</v>
      </c>
      <c r="Y58" s="56" t="s">
        <v>2182</v>
      </c>
      <c r="Z58" s="56" t="s">
        <v>2183</v>
      </c>
      <c r="AA58" s="56" t="s">
        <v>2184</v>
      </c>
      <c r="AB58" s="56" t="s">
        <v>2185</v>
      </c>
      <c r="AC58" s="56" t="s">
        <v>1496</v>
      </c>
      <c r="AE58" s="56" t="s">
        <v>1493</v>
      </c>
      <c r="AI58" s="56" t="s">
        <v>2186</v>
      </c>
    </row>
    <row r="59" spans="1:35" ht="116" x14ac:dyDescent="0.35">
      <c r="A59" s="56" t="s">
        <v>2152</v>
      </c>
      <c r="B59" s="56" t="s">
        <v>1451</v>
      </c>
      <c r="C59" s="56" t="s">
        <v>1452</v>
      </c>
      <c r="D59" s="56" t="s">
        <v>1224</v>
      </c>
      <c r="E59" s="56" t="s">
        <v>1453</v>
      </c>
      <c r="G59" s="56" t="s">
        <v>1289</v>
      </c>
      <c r="H59" s="56" t="s">
        <v>1316</v>
      </c>
      <c r="J59" s="56" t="s">
        <v>1288</v>
      </c>
      <c r="K59" s="56" t="s">
        <v>1312</v>
      </c>
      <c r="L59" s="56" t="s">
        <v>1313</v>
      </c>
      <c r="M59" s="56" t="s">
        <v>1314</v>
      </c>
      <c r="N59" s="56" t="s">
        <v>1315</v>
      </c>
      <c r="O59" s="56" t="s">
        <v>2181</v>
      </c>
      <c r="P59" s="56" t="s">
        <v>2153</v>
      </c>
      <c r="Q59" s="56" t="s">
        <v>2154</v>
      </c>
      <c r="R59" s="56" t="s">
        <v>2155</v>
      </c>
      <c r="S59" s="56" t="s">
        <v>2156</v>
      </c>
      <c r="T59" s="56" t="s">
        <v>2157</v>
      </c>
      <c r="U59" s="56" t="s">
        <v>2158</v>
      </c>
      <c r="V59" s="56" t="s">
        <v>2159</v>
      </c>
      <c r="W59" s="56" t="s">
        <v>2160</v>
      </c>
      <c r="X59" s="56" t="s">
        <v>2161</v>
      </c>
      <c r="Y59" s="56" t="s">
        <v>2182</v>
      </c>
      <c r="Z59" s="56" t="s">
        <v>2183</v>
      </c>
      <c r="AA59" s="56" t="s">
        <v>2184</v>
      </c>
      <c r="AB59" s="56" t="s">
        <v>2185</v>
      </c>
      <c r="AC59" s="56" t="s">
        <v>1499</v>
      </c>
      <c r="AE59" s="56" t="s">
        <v>1493</v>
      </c>
      <c r="AI59" s="56" t="s">
        <v>2186</v>
      </c>
    </row>
    <row r="60" spans="1:35" ht="116" x14ac:dyDescent="0.35">
      <c r="A60" s="56" t="s">
        <v>2152</v>
      </c>
      <c r="B60" s="56" t="s">
        <v>1451</v>
      </c>
      <c r="C60" s="56" t="s">
        <v>1452</v>
      </c>
      <c r="D60" s="56" t="s">
        <v>1224</v>
      </c>
      <c r="E60" s="56" t="s">
        <v>1453</v>
      </c>
      <c r="G60" s="56" t="s">
        <v>1289</v>
      </c>
      <c r="H60" s="56" t="s">
        <v>1316</v>
      </c>
      <c r="J60" s="56" t="s">
        <v>1288</v>
      </c>
      <c r="K60" s="56" t="s">
        <v>1312</v>
      </c>
      <c r="L60" s="56" t="s">
        <v>1313</v>
      </c>
      <c r="M60" s="56" t="s">
        <v>1314</v>
      </c>
      <c r="N60" s="56" t="s">
        <v>1315</v>
      </c>
      <c r="O60" s="56" t="s">
        <v>2181</v>
      </c>
      <c r="P60" s="56" t="s">
        <v>2153</v>
      </c>
      <c r="Q60" s="56" t="s">
        <v>2154</v>
      </c>
      <c r="R60" s="56" t="s">
        <v>2155</v>
      </c>
      <c r="S60" s="56" t="s">
        <v>2156</v>
      </c>
      <c r="T60" s="56" t="s">
        <v>2157</v>
      </c>
      <c r="U60" s="56" t="s">
        <v>2158</v>
      </c>
      <c r="V60" s="56" t="s">
        <v>2159</v>
      </c>
      <c r="W60" s="56" t="s">
        <v>2160</v>
      </c>
      <c r="X60" s="56" t="s">
        <v>2161</v>
      </c>
      <c r="Y60" s="56" t="s">
        <v>2182</v>
      </c>
      <c r="Z60" s="56" t="s">
        <v>2183</v>
      </c>
      <c r="AA60" s="56" t="s">
        <v>2184</v>
      </c>
      <c r="AB60" s="56" t="s">
        <v>2185</v>
      </c>
      <c r="AC60" s="56" t="s">
        <v>1500</v>
      </c>
      <c r="AE60" s="56" t="s">
        <v>1493</v>
      </c>
      <c r="AI60" s="56" t="s">
        <v>2186</v>
      </c>
    </row>
    <row r="61" spans="1:35" ht="116" x14ac:dyDescent="0.35">
      <c r="A61" s="56" t="s">
        <v>2152</v>
      </c>
      <c r="B61" s="56" t="s">
        <v>1451</v>
      </c>
      <c r="C61" s="56" t="s">
        <v>1452</v>
      </c>
      <c r="D61" s="56" t="s">
        <v>1224</v>
      </c>
      <c r="E61" s="56" t="s">
        <v>1453</v>
      </c>
      <c r="G61" s="56" t="s">
        <v>1289</v>
      </c>
      <c r="H61" s="56" t="s">
        <v>1316</v>
      </c>
      <c r="J61" s="56" t="s">
        <v>1288</v>
      </c>
      <c r="K61" s="56" t="s">
        <v>1312</v>
      </c>
      <c r="L61" s="56" t="s">
        <v>1313</v>
      </c>
      <c r="M61" s="56" t="s">
        <v>1314</v>
      </c>
      <c r="N61" s="56" t="s">
        <v>1315</v>
      </c>
      <c r="O61" s="56" t="s">
        <v>2181</v>
      </c>
      <c r="P61" s="56" t="s">
        <v>2153</v>
      </c>
      <c r="Q61" s="56" t="s">
        <v>2154</v>
      </c>
      <c r="R61" s="56" t="s">
        <v>2155</v>
      </c>
      <c r="S61" s="56" t="s">
        <v>2156</v>
      </c>
      <c r="T61" s="56" t="s">
        <v>2157</v>
      </c>
      <c r="U61" s="56" t="s">
        <v>2158</v>
      </c>
      <c r="V61" s="56" t="s">
        <v>2159</v>
      </c>
      <c r="W61" s="56" t="s">
        <v>2160</v>
      </c>
      <c r="X61" s="56" t="s">
        <v>2161</v>
      </c>
      <c r="Y61" s="56" t="s">
        <v>2182</v>
      </c>
      <c r="Z61" s="56" t="s">
        <v>2183</v>
      </c>
      <c r="AA61" s="56" t="s">
        <v>2184</v>
      </c>
      <c r="AB61" s="56" t="s">
        <v>2185</v>
      </c>
      <c r="AC61" s="56" t="s">
        <v>1501</v>
      </c>
      <c r="AE61" s="56" t="s">
        <v>1493</v>
      </c>
      <c r="AI61" s="56" t="s">
        <v>2186</v>
      </c>
    </row>
    <row r="62" spans="1:35" ht="116" x14ac:dyDescent="0.35">
      <c r="A62" s="56" t="s">
        <v>2152</v>
      </c>
      <c r="B62" s="56" t="s">
        <v>1451</v>
      </c>
      <c r="C62" s="56" t="s">
        <v>1452</v>
      </c>
      <c r="D62" s="56" t="s">
        <v>1224</v>
      </c>
      <c r="E62" s="56" t="s">
        <v>1453</v>
      </c>
      <c r="G62" s="56" t="s">
        <v>1289</v>
      </c>
      <c r="H62" s="56" t="s">
        <v>1316</v>
      </c>
      <c r="J62" s="56" t="s">
        <v>1288</v>
      </c>
      <c r="K62" s="56" t="s">
        <v>1312</v>
      </c>
      <c r="L62" s="56" t="s">
        <v>1313</v>
      </c>
      <c r="M62" s="56" t="s">
        <v>1314</v>
      </c>
      <c r="N62" s="56" t="s">
        <v>1315</v>
      </c>
      <c r="O62" s="56" t="s">
        <v>2181</v>
      </c>
      <c r="P62" s="56" t="s">
        <v>2153</v>
      </c>
      <c r="Q62" s="56" t="s">
        <v>2154</v>
      </c>
      <c r="R62" s="56" t="s">
        <v>2155</v>
      </c>
      <c r="S62" s="56" t="s">
        <v>2156</v>
      </c>
      <c r="T62" s="56" t="s">
        <v>2157</v>
      </c>
      <c r="U62" s="56" t="s">
        <v>2158</v>
      </c>
      <c r="V62" s="56" t="s">
        <v>2159</v>
      </c>
      <c r="W62" s="56" t="s">
        <v>2160</v>
      </c>
      <c r="X62" s="56" t="s">
        <v>2161</v>
      </c>
      <c r="Y62" s="56" t="s">
        <v>2182</v>
      </c>
      <c r="Z62" s="56" t="s">
        <v>2183</v>
      </c>
      <c r="AA62" s="56" t="s">
        <v>2184</v>
      </c>
      <c r="AB62" s="56" t="s">
        <v>2185</v>
      </c>
      <c r="AC62" s="56" t="s">
        <v>1502</v>
      </c>
      <c r="AE62" s="56" t="s">
        <v>1493</v>
      </c>
      <c r="AI62" s="56" t="s">
        <v>2186</v>
      </c>
    </row>
    <row r="63" spans="1:35" ht="116" x14ac:dyDescent="0.35">
      <c r="A63" s="56" t="s">
        <v>2152</v>
      </c>
      <c r="B63" s="56" t="s">
        <v>1451</v>
      </c>
      <c r="C63" s="56" t="s">
        <v>1452</v>
      </c>
      <c r="D63" s="56" t="s">
        <v>1224</v>
      </c>
      <c r="E63" s="56" t="s">
        <v>1453</v>
      </c>
      <c r="G63" s="56" t="s">
        <v>1289</v>
      </c>
      <c r="H63" s="56" t="s">
        <v>1316</v>
      </c>
      <c r="J63" s="56" t="s">
        <v>1288</v>
      </c>
      <c r="K63" s="56" t="s">
        <v>1312</v>
      </c>
      <c r="L63" s="56" t="s">
        <v>1313</v>
      </c>
      <c r="M63" s="56" t="s">
        <v>1314</v>
      </c>
      <c r="N63" s="56" t="s">
        <v>1315</v>
      </c>
      <c r="O63" s="56" t="s">
        <v>2181</v>
      </c>
      <c r="P63" s="56" t="s">
        <v>2153</v>
      </c>
      <c r="Q63" s="56" t="s">
        <v>2154</v>
      </c>
      <c r="R63" s="56" t="s">
        <v>2155</v>
      </c>
      <c r="S63" s="56" t="s">
        <v>2156</v>
      </c>
      <c r="T63" s="56" t="s">
        <v>2157</v>
      </c>
      <c r="U63" s="56" t="s">
        <v>2158</v>
      </c>
      <c r="V63" s="56" t="s">
        <v>2159</v>
      </c>
      <c r="W63" s="56" t="s">
        <v>2160</v>
      </c>
      <c r="X63" s="56" t="s">
        <v>2161</v>
      </c>
      <c r="Y63" s="56" t="s">
        <v>2182</v>
      </c>
      <c r="Z63" s="56" t="s">
        <v>2183</v>
      </c>
      <c r="AA63" s="56" t="s">
        <v>2184</v>
      </c>
      <c r="AB63" s="56" t="s">
        <v>2185</v>
      </c>
      <c r="AC63" s="56" t="s">
        <v>1503</v>
      </c>
      <c r="AE63" s="56" t="s">
        <v>1493</v>
      </c>
      <c r="AI63" s="56" t="s">
        <v>2186</v>
      </c>
    </row>
    <row r="64" spans="1:35" ht="116" x14ac:dyDescent="0.35">
      <c r="A64" s="56" t="s">
        <v>2152</v>
      </c>
      <c r="B64" s="56" t="s">
        <v>1451</v>
      </c>
      <c r="C64" s="56" t="s">
        <v>1452</v>
      </c>
      <c r="D64" s="56" t="s">
        <v>1224</v>
      </c>
      <c r="E64" s="56" t="s">
        <v>1453</v>
      </c>
      <c r="G64" s="56" t="s">
        <v>1289</v>
      </c>
      <c r="H64" s="56" t="s">
        <v>1316</v>
      </c>
      <c r="J64" s="56" t="s">
        <v>1288</v>
      </c>
      <c r="K64" s="56" t="s">
        <v>1312</v>
      </c>
      <c r="L64" s="56" t="s">
        <v>1313</v>
      </c>
      <c r="M64" s="56" t="s">
        <v>1314</v>
      </c>
      <c r="N64" s="56" t="s">
        <v>1315</v>
      </c>
      <c r="O64" s="56" t="s">
        <v>2181</v>
      </c>
      <c r="P64" s="56" t="s">
        <v>2153</v>
      </c>
      <c r="Q64" s="56" t="s">
        <v>2154</v>
      </c>
      <c r="R64" s="56" t="s">
        <v>2155</v>
      </c>
      <c r="S64" s="56" t="s">
        <v>2156</v>
      </c>
      <c r="T64" s="56" t="s">
        <v>2157</v>
      </c>
      <c r="U64" s="56" t="s">
        <v>2158</v>
      </c>
      <c r="V64" s="56" t="s">
        <v>2159</v>
      </c>
      <c r="W64" s="56" t="s">
        <v>2160</v>
      </c>
      <c r="X64" s="56" t="s">
        <v>2161</v>
      </c>
      <c r="Y64" s="56" t="s">
        <v>2182</v>
      </c>
      <c r="Z64" s="56" t="s">
        <v>2183</v>
      </c>
      <c r="AA64" s="56" t="s">
        <v>2184</v>
      </c>
      <c r="AB64" s="56" t="s">
        <v>2185</v>
      </c>
      <c r="AC64" s="56" t="s">
        <v>1504</v>
      </c>
      <c r="AE64" s="56" t="s">
        <v>1493</v>
      </c>
      <c r="AI64" s="56" t="s">
        <v>2186</v>
      </c>
    </row>
    <row r="65" spans="1:35" ht="116" x14ac:dyDescent="0.35">
      <c r="A65" s="56" t="s">
        <v>2152</v>
      </c>
      <c r="B65" s="56" t="s">
        <v>1451</v>
      </c>
      <c r="C65" s="56" t="s">
        <v>1452</v>
      </c>
      <c r="D65" s="56" t="s">
        <v>1224</v>
      </c>
      <c r="E65" s="56" t="s">
        <v>1453</v>
      </c>
      <c r="G65" s="56" t="s">
        <v>1289</v>
      </c>
      <c r="H65" s="56" t="s">
        <v>1316</v>
      </c>
      <c r="J65" s="56" t="s">
        <v>1288</v>
      </c>
      <c r="K65" s="56" t="s">
        <v>1312</v>
      </c>
      <c r="L65" s="56" t="s">
        <v>1313</v>
      </c>
      <c r="M65" s="56" t="s">
        <v>1314</v>
      </c>
      <c r="N65" s="56" t="s">
        <v>1315</v>
      </c>
      <c r="O65" s="56" t="s">
        <v>2181</v>
      </c>
      <c r="P65" s="56" t="s">
        <v>2153</v>
      </c>
      <c r="Q65" s="56" t="s">
        <v>2154</v>
      </c>
      <c r="R65" s="56" t="s">
        <v>2155</v>
      </c>
      <c r="S65" s="56" t="s">
        <v>2156</v>
      </c>
      <c r="T65" s="56" t="s">
        <v>2157</v>
      </c>
      <c r="U65" s="56" t="s">
        <v>2158</v>
      </c>
      <c r="V65" s="56" t="s">
        <v>2159</v>
      </c>
      <c r="W65" s="56" t="s">
        <v>2160</v>
      </c>
      <c r="X65" s="56" t="s">
        <v>2161</v>
      </c>
      <c r="Y65" s="56" t="s">
        <v>2182</v>
      </c>
      <c r="Z65" s="56" t="s">
        <v>2183</v>
      </c>
      <c r="AA65" s="56" t="s">
        <v>2184</v>
      </c>
      <c r="AB65" s="56" t="s">
        <v>2185</v>
      </c>
      <c r="AC65" s="56" t="s">
        <v>1505</v>
      </c>
      <c r="AE65" s="56" t="s">
        <v>1493</v>
      </c>
      <c r="AI65" s="56" t="s">
        <v>2186</v>
      </c>
    </row>
    <row r="66" spans="1:35" ht="174" x14ac:dyDescent="0.35">
      <c r="A66" s="56" t="s">
        <v>2152</v>
      </c>
      <c r="B66" s="56" t="s">
        <v>1451</v>
      </c>
      <c r="C66" s="56" t="s">
        <v>1452</v>
      </c>
      <c r="D66" s="56" t="s">
        <v>1224</v>
      </c>
      <c r="E66" s="56" t="s">
        <v>1453</v>
      </c>
      <c r="G66" s="56" t="s">
        <v>1289</v>
      </c>
      <c r="H66" s="56" t="s">
        <v>1316</v>
      </c>
      <c r="J66" s="56" t="s">
        <v>1288</v>
      </c>
      <c r="K66" s="56" t="s">
        <v>1312</v>
      </c>
      <c r="L66" s="56" t="s">
        <v>1313</v>
      </c>
      <c r="M66" s="56" t="s">
        <v>1314</v>
      </c>
      <c r="N66" s="56" t="s">
        <v>1315</v>
      </c>
      <c r="O66" s="56" t="s">
        <v>2181</v>
      </c>
      <c r="P66" s="56" t="s">
        <v>2153</v>
      </c>
      <c r="Q66" s="56" t="s">
        <v>2154</v>
      </c>
      <c r="R66" s="56" t="s">
        <v>2155</v>
      </c>
      <c r="S66" s="56" t="s">
        <v>2156</v>
      </c>
      <c r="T66" s="56" t="s">
        <v>2157</v>
      </c>
      <c r="U66" s="56" t="s">
        <v>2158</v>
      </c>
      <c r="V66" s="56" t="s">
        <v>2159</v>
      </c>
      <c r="W66" s="56" t="s">
        <v>2160</v>
      </c>
      <c r="X66" s="56" t="s">
        <v>2161</v>
      </c>
      <c r="Y66" s="56" t="s">
        <v>2182</v>
      </c>
      <c r="Z66" s="56" t="s">
        <v>2183</v>
      </c>
      <c r="AA66" s="56" t="s">
        <v>2184</v>
      </c>
      <c r="AB66" s="56" t="s">
        <v>2185</v>
      </c>
      <c r="AC66" s="56" t="s">
        <v>1506</v>
      </c>
      <c r="AE66" s="56" t="s">
        <v>1493</v>
      </c>
      <c r="AF66" s="56" t="s">
        <v>1540</v>
      </c>
      <c r="AG66" s="56" t="s">
        <v>2189</v>
      </c>
      <c r="AH66" s="56" t="s">
        <v>2190</v>
      </c>
      <c r="AI66" s="56" t="s">
        <v>2186</v>
      </c>
    </row>
    <row r="67" spans="1:35" ht="116" x14ac:dyDescent="0.35">
      <c r="A67" s="56" t="s">
        <v>2152</v>
      </c>
      <c r="B67" s="56" t="s">
        <v>1451</v>
      </c>
      <c r="C67" s="56" t="s">
        <v>1452</v>
      </c>
      <c r="D67" s="56" t="s">
        <v>1224</v>
      </c>
      <c r="E67" s="56" t="s">
        <v>1453</v>
      </c>
      <c r="G67" s="56" t="s">
        <v>1289</v>
      </c>
      <c r="H67" s="56" t="s">
        <v>1316</v>
      </c>
      <c r="J67" s="56" t="s">
        <v>1288</v>
      </c>
      <c r="K67" s="56" t="s">
        <v>1312</v>
      </c>
      <c r="L67" s="56" t="s">
        <v>1313</v>
      </c>
      <c r="M67" s="56" t="s">
        <v>1314</v>
      </c>
      <c r="N67" s="56" t="s">
        <v>1315</v>
      </c>
      <c r="O67" s="56" t="s">
        <v>2181</v>
      </c>
      <c r="P67" s="56" t="s">
        <v>2153</v>
      </c>
      <c r="Q67" s="56" t="s">
        <v>2154</v>
      </c>
      <c r="R67" s="56" t="s">
        <v>2155</v>
      </c>
      <c r="S67" s="56" t="s">
        <v>2156</v>
      </c>
      <c r="T67" s="56" t="s">
        <v>2157</v>
      </c>
      <c r="U67" s="56" t="s">
        <v>2158</v>
      </c>
      <c r="V67" s="56" t="s">
        <v>2159</v>
      </c>
      <c r="W67" s="56" t="s">
        <v>2160</v>
      </c>
      <c r="X67" s="56" t="s">
        <v>2161</v>
      </c>
      <c r="Y67" s="56" t="s">
        <v>2182</v>
      </c>
      <c r="Z67" s="56" t="s">
        <v>2183</v>
      </c>
      <c r="AA67" s="56" t="s">
        <v>2184</v>
      </c>
      <c r="AB67" s="56" t="s">
        <v>2185</v>
      </c>
      <c r="AC67" s="56" t="s">
        <v>1507</v>
      </c>
      <c r="AE67" s="56" t="s">
        <v>1493</v>
      </c>
      <c r="AI67" s="56" t="s">
        <v>2186</v>
      </c>
    </row>
    <row r="68" spans="1:35" ht="217.5" x14ac:dyDescent="0.35">
      <c r="A68" s="56" t="s">
        <v>2152</v>
      </c>
      <c r="B68" s="56" t="s">
        <v>1451</v>
      </c>
      <c r="C68" s="56" t="s">
        <v>1452</v>
      </c>
      <c r="D68" s="56" t="s">
        <v>1224</v>
      </c>
      <c r="E68" s="56" t="s">
        <v>1453</v>
      </c>
      <c r="G68" s="56" t="s">
        <v>1289</v>
      </c>
      <c r="H68" s="56" t="s">
        <v>1316</v>
      </c>
      <c r="J68" s="56" t="s">
        <v>1288</v>
      </c>
      <c r="K68" s="56" t="s">
        <v>1312</v>
      </c>
      <c r="L68" s="56" t="s">
        <v>1313</v>
      </c>
      <c r="M68" s="56" t="s">
        <v>1314</v>
      </c>
      <c r="N68" s="56" t="s">
        <v>1315</v>
      </c>
      <c r="O68" s="56" t="s">
        <v>2181</v>
      </c>
      <c r="P68" s="56" t="s">
        <v>2153</v>
      </c>
      <c r="Q68" s="56" t="s">
        <v>2154</v>
      </c>
      <c r="R68" s="56" t="s">
        <v>2155</v>
      </c>
      <c r="S68" s="56" t="s">
        <v>2156</v>
      </c>
      <c r="T68" s="56" t="s">
        <v>2157</v>
      </c>
      <c r="U68" s="56" t="s">
        <v>2158</v>
      </c>
      <c r="V68" s="56" t="s">
        <v>2159</v>
      </c>
      <c r="W68" s="56" t="s">
        <v>2160</v>
      </c>
      <c r="X68" s="56" t="s">
        <v>2161</v>
      </c>
      <c r="Y68" s="56" t="s">
        <v>2182</v>
      </c>
      <c r="Z68" s="56" t="s">
        <v>2183</v>
      </c>
      <c r="AA68" s="56" t="s">
        <v>2184</v>
      </c>
      <c r="AB68" s="56" t="s">
        <v>2185</v>
      </c>
      <c r="AC68" s="56" t="s">
        <v>1508</v>
      </c>
      <c r="AE68" s="56" t="s">
        <v>1493</v>
      </c>
      <c r="AF68" s="56" t="s">
        <v>1544</v>
      </c>
      <c r="AG68" s="56" t="s">
        <v>2191</v>
      </c>
      <c r="AH68" s="56" t="s">
        <v>2192</v>
      </c>
      <c r="AI68" s="56" t="s">
        <v>2186</v>
      </c>
    </row>
    <row r="69" spans="1:35" ht="116" x14ac:dyDescent="0.35">
      <c r="A69" s="56" t="s">
        <v>2152</v>
      </c>
      <c r="B69" s="56" t="s">
        <v>1451</v>
      </c>
      <c r="C69" s="56" t="s">
        <v>1452</v>
      </c>
      <c r="D69" s="56" t="s">
        <v>1224</v>
      </c>
      <c r="E69" s="56" t="s">
        <v>1453</v>
      </c>
      <c r="G69" s="56" t="s">
        <v>1289</v>
      </c>
      <c r="H69" s="56" t="s">
        <v>1316</v>
      </c>
      <c r="J69" s="56" t="s">
        <v>1288</v>
      </c>
      <c r="K69" s="56" t="s">
        <v>1312</v>
      </c>
      <c r="L69" s="56" t="s">
        <v>1313</v>
      </c>
      <c r="M69" s="56" t="s">
        <v>1314</v>
      </c>
      <c r="N69" s="56" t="s">
        <v>1315</v>
      </c>
      <c r="O69" s="56" t="s">
        <v>2181</v>
      </c>
      <c r="P69" s="56" t="s">
        <v>2153</v>
      </c>
      <c r="Q69" s="56" t="s">
        <v>2154</v>
      </c>
      <c r="R69" s="56" t="s">
        <v>2155</v>
      </c>
      <c r="S69" s="56" t="s">
        <v>2156</v>
      </c>
      <c r="T69" s="56" t="s">
        <v>2157</v>
      </c>
      <c r="U69" s="56" t="s">
        <v>2158</v>
      </c>
      <c r="V69" s="56" t="s">
        <v>2159</v>
      </c>
      <c r="W69" s="56" t="s">
        <v>2160</v>
      </c>
      <c r="X69" s="56" t="s">
        <v>2161</v>
      </c>
      <c r="Y69" s="56" t="s">
        <v>2182</v>
      </c>
      <c r="Z69" s="56" t="s">
        <v>2183</v>
      </c>
      <c r="AA69" s="56" t="s">
        <v>2184</v>
      </c>
      <c r="AB69" s="56" t="s">
        <v>2185</v>
      </c>
      <c r="AC69" s="56" t="s">
        <v>1509</v>
      </c>
      <c r="AE69" s="56" t="s">
        <v>1493</v>
      </c>
      <c r="AI69" s="56" t="s">
        <v>2186</v>
      </c>
    </row>
    <row r="70" spans="1:35" ht="116" x14ac:dyDescent="0.35">
      <c r="A70" s="56" t="s">
        <v>2152</v>
      </c>
      <c r="B70" s="56" t="s">
        <v>1451</v>
      </c>
      <c r="C70" s="56" t="s">
        <v>1452</v>
      </c>
      <c r="D70" s="56" t="s">
        <v>1224</v>
      </c>
      <c r="E70" s="56" t="s">
        <v>1453</v>
      </c>
      <c r="G70" s="56" t="s">
        <v>1289</v>
      </c>
      <c r="H70" s="56" t="s">
        <v>1316</v>
      </c>
      <c r="J70" s="56" t="s">
        <v>1288</v>
      </c>
      <c r="K70" s="56" t="s">
        <v>1312</v>
      </c>
      <c r="L70" s="56" t="s">
        <v>1313</v>
      </c>
      <c r="M70" s="56" t="s">
        <v>1314</v>
      </c>
      <c r="N70" s="56" t="s">
        <v>1315</v>
      </c>
      <c r="O70" s="56" t="s">
        <v>2181</v>
      </c>
      <c r="P70" s="56" t="s">
        <v>2153</v>
      </c>
      <c r="Q70" s="56" t="s">
        <v>2154</v>
      </c>
      <c r="R70" s="56" t="s">
        <v>2155</v>
      </c>
      <c r="S70" s="56" t="s">
        <v>2156</v>
      </c>
      <c r="T70" s="56" t="s">
        <v>2157</v>
      </c>
      <c r="U70" s="56" t="s">
        <v>2158</v>
      </c>
      <c r="V70" s="56" t="s">
        <v>2159</v>
      </c>
      <c r="W70" s="56" t="s">
        <v>2160</v>
      </c>
      <c r="X70" s="56" t="s">
        <v>2161</v>
      </c>
      <c r="Y70" s="56" t="s">
        <v>2182</v>
      </c>
      <c r="Z70" s="56" t="s">
        <v>2183</v>
      </c>
      <c r="AA70" s="56" t="s">
        <v>2184</v>
      </c>
      <c r="AB70" s="56" t="s">
        <v>2185</v>
      </c>
      <c r="AC70" s="56" t="s">
        <v>1510</v>
      </c>
      <c r="AE70" s="56" t="s">
        <v>1493</v>
      </c>
      <c r="AI70" s="56" t="s">
        <v>2186</v>
      </c>
    </row>
    <row r="71" spans="1:35" ht="116" x14ac:dyDescent="0.35">
      <c r="A71" s="56" t="s">
        <v>2152</v>
      </c>
      <c r="B71" s="56" t="s">
        <v>1451</v>
      </c>
      <c r="C71" s="56" t="s">
        <v>1452</v>
      </c>
      <c r="D71" s="56" t="s">
        <v>1224</v>
      </c>
      <c r="E71" s="56" t="s">
        <v>1453</v>
      </c>
      <c r="G71" s="56" t="s">
        <v>1289</v>
      </c>
      <c r="H71" s="56" t="s">
        <v>1316</v>
      </c>
      <c r="J71" s="56" t="s">
        <v>1288</v>
      </c>
      <c r="K71" s="56" t="s">
        <v>1312</v>
      </c>
      <c r="L71" s="56" t="s">
        <v>1313</v>
      </c>
      <c r="M71" s="56" t="s">
        <v>1314</v>
      </c>
      <c r="N71" s="56" t="s">
        <v>1315</v>
      </c>
      <c r="O71" s="56" t="s">
        <v>2181</v>
      </c>
      <c r="P71" s="56" t="s">
        <v>2153</v>
      </c>
      <c r="Q71" s="56" t="s">
        <v>2154</v>
      </c>
      <c r="R71" s="56" t="s">
        <v>2155</v>
      </c>
      <c r="S71" s="56" t="s">
        <v>2156</v>
      </c>
      <c r="T71" s="56" t="s">
        <v>2157</v>
      </c>
      <c r="U71" s="56" t="s">
        <v>2158</v>
      </c>
      <c r="V71" s="56" t="s">
        <v>2159</v>
      </c>
      <c r="W71" s="56" t="s">
        <v>2160</v>
      </c>
      <c r="X71" s="56" t="s">
        <v>2161</v>
      </c>
      <c r="Y71" s="56" t="s">
        <v>2182</v>
      </c>
      <c r="Z71" s="56" t="s">
        <v>2183</v>
      </c>
      <c r="AA71" s="56" t="s">
        <v>2184</v>
      </c>
      <c r="AB71" s="56" t="s">
        <v>2185</v>
      </c>
      <c r="AC71" s="56" t="s">
        <v>1511</v>
      </c>
      <c r="AE71" s="56" t="s">
        <v>1493</v>
      </c>
      <c r="AI71" s="56" t="s">
        <v>2186</v>
      </c>
    </row>
    <row r="72" spans="1:35" ht="116" x14ac:dyDescent="0.35">
      <c r="A72" s="56" t="s">
        <v>2152</v>
      </c>
      <c r="B72" s="56" t="s">
        <v>1451</v>
      </c>
      <c r="C72" s="56" t="s">
        <v>1452</v>
      </c>
      <c r="D72" s="56" t="s">
        <v>1224</v>
      </c>
      <c r="E72" s="56" t="s">
        <v>1453</v>
      </c>
      <c r="G72" s="56" t="s">
        <v>1289</v>
      </c>
      <c r="H72" s="56" t="s">
        <v>1316</v>
      </c>
      <c r="J72" s="56" t="s">
        <v>1288</v>
      </c>
      <c r="K72" s="56" t="s">
        <v>1312</v>
      </c>
      <c r="L72" s="56" t="s">
        <v>1313</v>
      </c>
      <c r="M72" s="56" t="s">
        <v>1314</v>
      </c>
      <c r="N72" s="56" t="s">
        <v>1315</v>
      </c>
      <c r="O72" s="56" t="s">
        <v>2181</v>
      </c>
      <c r="P72" s="56" t="s">
        <v>2153</v>
      </c>
      <c r="Q72" s="56" t="s">
        <v>2154</v>
      </c>
      <c r="R72" s="56" t="s">
        <v>2155</v>
      </c>
      <c r="S72" s="56" t="s">
        <v>2156</v>
      </c>
      <c r="T72" s="56" t="s">
        <v>2157</v>
      </c>
      <c r="U72" s="56" t="s">
        <v>2158</v>
      </c>
      <c r="V72" s="56" t="s">
        <v>2159</v>
      </c>
      <c r="W72" s="56" t="s">
        <v>2160</v>
      </c>
      <c r="X72" s="56" t="s">
        <v>2161</v>
      </c>
      <c r="Y72" s="56" t="s">
        <v>2182</v>
      </c>
      <c r="Z72" s="56" t="s">
        <v>2183</v>
      </c>
      <c r="AA72" s="56" t="s">
        <v>2184</v>
      </c>
      <c r="AB72" s="56" t="s">
        <v>2185</v>
      </c>
      <c r="AC72" s="56" t="s">
        <v>1512</v>
      </c>
      <c r="AE72" s="56" t="s">
        <v>1493</v>
      </c>
      <c r="AI72" s="56" t="s">
        <v>2186</v>
      </c>
    </row>
    <row r="73" spans="1:35" ht="116" x14ac:dyDescent="0.35">
      <c r="A73" s="56" t="s">
        <v>2152</v>
      </c>
      <c r="B73" s="56" t="s">
        <v>1451</v>
      </c>
      <c r="C73" s="56" t="s">
        <v>1452</v>
      </c>
      <c r="D73" s="56" t="s">
        <v>1224</v>
      </c>
      <c r="E73" s="56" t="s">
        <v>1453</v>
      </c>
      <c r="G73" s="56" t="s">
        <v>1289</v>
      </c>
      <c r="H73" s="56" t="s">
        <v>1316</v>
      </c>
      <c r="J73" s="56" t="s">
        <v>1288</v>
      </c>
      <c r="K73" s="56" t="s">
        <v>1312</v>
      </c>
      <c r="L73" s="56" t="s">
        <v>1313</v>
      </c>
      <c r="M73" s="56" t="s">
        <v>1314</v>
      </c>
      <c r="N73" s="56" t="s">
        <v>1315</v>
      </c>
      <c r="O73" s="56" t="s">
        <v>2181</v>
      </c>
      <c r="P73" s="56" t="s">
        <v>2153</v>
      </c>
      <c r="Q73" s="56" t="s">
        <v>2154</v>
      </c>
      <c r="R73" s="56" t="s">
        <v>2155</v>
      </c>
      <c r="S73" s="56" t="s">
        <v>2156</v>
      </c>
      <c r="T73" s="56" t="s">
        <v>2157</v>
      </c>
      <c r="U73" s="56" t="s">
        <v>2158</v>
      </c>
      <c r="V73" s="56" t="s">
        <v>2159</v>
      </c>
      <c r="W73" s="56" t="s">
        <v>2160</v>
      </c>
      <c r="X73" s="56" t="s">
        <v>2161</v>
      </c>
      <c r="Y73" s="56" t="s">
        <v>2182</v>
      </c>
      <c r="Z73" s="56" t="s">
        <v>2183</v>
      </c>
      <c r="AA73" s="56" t="s">
        <v>2184</v>
      </c>
      <c r="AB73" s="56" t="s">
        <v>2185</v>
      </c>
      <c r="AC73" s="56" t="s">
        <v>1513</v>
      </c>
      <c r="AE73" s="56" t="s">
        <v>1493</v>
      </c>
      <c r="AI73" s="56" t="s">
        <v>2186</v>
      </c>
    </row>
    <row r="74" spans="1:35" ht="174" x14ac:dyDescent="0.35">
      <c r="A74" s="56" t="s">
        <v>2152</v>
      </c>
      <c r="B74" s="56" t="s">
        <v>1451</v>
      </c>
      <c r="C74" s="56" t="s">
        <v>1452</v>
      </c>
      <c r="D74" s="56" t="s">
        <v>1224</v>
      </c>
      <c r="E74" s="56" t="s">
        <v>1453</v>
      </c>
      <c r="G74" s="56" t="s">
        <v>1289</v>
      </c>
      <c r="H74" s="56" t="s">
        <v>1316</v>
      </c>
      <c r="J74" s="56" t="s">
        <v>1288</v>
      </c>
      <c r="K74" s="56" t="s">
        <v>1312</v>
      </c>
      <c r="L74" s="56" t="s">
        <v>1313</v>
      </c>
      <c r="M74" s="56" t="s">
        <v>1314</v>
      </c>
      <c r="N74" s="56" t="s">
        <v>1315</v>
      </c>
      <c r="O74" s="56" t="s">
        <v>2181</v>
      </c>
      <c r="P74" s="56" t="s">
        <v>2153</v>
      </c>
      <c r="Q74" s="56" t="s">
        <v>2154</v>
      </c>
      <c r="R74" s="56" t="s">
        <v>2155</v>
      </c>
      <c r="S74" s="56" t="s">
        <v>2156</v>
      </c>
      <c r="T74" s="56" t="s">
        <v>2157</v>
      </c>
      <c r="U74" s="56" t="s">
        <v>2158</v>
      </c>
      <c r="V74" s="56" t="s">
        <v>2159</v>
      </c>
      <c r="W74" s="56" t="s">
        <v>2160</v>
      </c>
      <c r="X74" s="56" t="s">
        <v>2161</v>
      </c>
      <c r="Y74" s="56" t="s">
        <v>2182</v>
      </c>
      <c r="Z74" s="56" t="s">
        <v>2183</v>
      </c>
      <c r="AA74" s="56" t="s">
        <v>2184</v>
      </c>
      <c r="AB74" s="56" t="s">
        <v>2185</v>
      </c>
      <c r="AC74" s="56" t="s">
        <v>1514</v>
      </c>
      <c r="AE74" s="56" t="s">
        <v>1493</v>
      </c>
      <c r="AF74" s="56" t="s">
        <v>1546</v>
      </c>
      <c r="AG74" s="56" t="s">
        <v>2193</v>
      </c>
      <c r="AH74" s="56" t="s">
        <v>2194</v>
      </c>
      <c r="AI74" s="56" t="s">
        <v>2186</v>
      </c>
    </row>
    <row r="75" spans="1:35" ht="116" x14ac:dyDescent="0.35">
      <c r="A75" s="56" t="s">
        <v>2152</v>
      </c>
      <c r="B75" s="56" t="s">
        <v>1451</v>
      </c>
      <c r="C75" s="56" t="s">
        <v>1452</v>
      </c>
      <c r="D75" s="56" t="s">
        <v>1224</v>
      </c>
      <c r="E75" s="56" t="s">
        <v>1453</v>
      </c>
      <c r="G75" s="56" t="s">
        <v>1289</v>
      </c>
      <c r="H75" s="56" t="s">
        <v>1316</v>
      </c>
      <c r="J75" s="56" t="s">
        <v>1288</v>
      </c>
      <c r="K75" s="56" t="s">
        <v>1312</v>
      </c>
      <c r="L75" s="56" t="s">
        <v>1313</v>
      </c>
      <c r="M75" s="56" t="s">
        <v>1314</v>
      </c>
      <c r="N75" s="56" t="s">
        <v>1315</v>
      </c>
      <c r="O75" s="56" t="s">
        <v>2181</v>
      </c>
      <c r="P75" s="56" t="s">
        <v>2153</v>
      </c>
      <c r="Q75" s="56" t="s">
        <v>2154</v>
      </c>
      <c r="R75" s="56" t="s">
        <v>2155</v>
      </c>
      <c r="S75" s="56" t="s">
        <v>2156</v>
      </c>
      <c r="T75" s="56" t="s">
        <v>2157</v>
      </c>
      <c r="U75" s="56" t="s">
        <v>2158</v>
      </c>
      <c r="V75" s="56" t="s">
        <v>2159</v>
      </c>
      <c r="W75" s="56" t="s">
        <v>2160</v>
      </c>
      <c r="X75" s="56" t="s">
        <v>2161</v>
      </c>
      <c r="Y75" s="56" t="s">
        <v>2182</v>
      </c>
      <c r="Z75" s="56" t="s">
        <v>2183</v>
      </c>
      <c r="AA75" s="56" t="s">
        <v>2184</v>
      </c>
      <c r="AB75" s="56" t="s">
        <v>2185</v>
      </c>
      <c r="AC75" s="56" t="s">
        <v>1515</v>
      </c>
      <c r="AE75" s="56" t="s">
        <v>1493</v>
      </c>
      <c r="AI75" s="56" t="s">
        <v>2186</v>
      </c>
    </row>
    <row r="76" spans="1:35" ht="116" x14ac:dyDescent="0.35">
      <c r="A76" s="56" t="s">
        <v>2152</v>
      </c>
      <c r="B76" s="56" t="s">
        <v>1451</v>
      </c>
      <c r="C76" s="56" t="s">
        <v>1452</v>
      </c>
      <c r="D76" s="56" t="s">
        <v>1224</v>
      </c>
      <c r="E76" s="56" t="s">
        <v>1453</v>
      </c>
      <c r="G76" s="56" t="s">
        <v>1289</v>
      </c>
      <c r="H76" s="56" t="s">
        <v>1316</v>
      </c>
      <c r="J76" s="56" t="s">
        <v>1288</v>
      </c>
      <c r="K76" s="56" t="s">
        <v>1312</v>
      </c>
      <c r="L76" s="56" t="s">
        <v>1313</v>
      </c>
      <c r="M76" s="56" t="s">
        <v>1314</v>
      </c>
      <c r="N76" s="56" t="s">
        <v>1315</v>
      </c>
      <c r="O76" s="56" t="s">
        <v>2181</v>
      </c>
      <c r="P76" s="56" t="s">
        <v>2153</v>
      </c>
      <c r="Q76" s="56" t="s">
        <v>2154</v>
      </c>
      <c r="R76" s="56" t="s">
        <v>2155</v>
      </c>
      <c r="S76" s="56" t="s">
        <v>2156</v>
      </c>
      <c r="T76" s="56" t="s">
        <v>2157</v>
      </c>
      <c r="U76" s="56" t="s">
        <v>2158</v>
      </c>
      <c r="V76" s="56" t="s">
        <v>2159</v>
      </c>
      <c r="W76" s="56" t="s">
        <v>2160</v>
      </c>
      <c r="X76" s="56" t="s">
        <v>2161</v>
      </c>
      <c r="Y76" s="56" t="s">
        <v>2182</v>
      </c>
      <c r="Z76" s="56" t="s">
        <v>2183</v>
      </c>
      <c r="AA76" s="56" t="s">
        <v>2184</v>
      </c>
      <c r="AB76" s="56" t="s">
        <v>2185</v>
      </c>
      <c r="AC76" s="56" t="s">
        <v>1516</v>
      </c>
      <c r="AE76" s="56" t="s">
        <v>1493</v>
      </c>
      <c r="AI76" s="56" t="s">
        <v>2186</v>
      </c>
    </row>
    <row r="77" spans="1:35" ht="116" x14ac:dyDescent="0.35">
      <c r="A77" s="56" t="s">
        <v>2152</v>
      </c>
      <c r="B77" s="56" t="s">
        <v>1451</v>
      </c>
      <c r="C77" s="56" t="s">
        <v>1452</v>
      </c>
      <c r="D77" s="56" t="s">
        <v>1224</v>
      </c>
      <c r="E77" s="56" t="s">
        <v>1453</v>
      </c>
      <c r="G77" s="56" t="s">
        <v>1289</v>
      </c>
      <c r="H77" s="56" t="s">
        <v>1316</v>
      </c>
      <c r="J77" s="56" t="s">
        <v>1288</v>
      </c>
      <c r="K77" s="56" t="s">
        <v>1312</v>
      </c>
      <c r="L77" s="56" t="s">
        <v>1313</v>
      </c>
      <c r="M77" s="56" t="s">
        <v>1314</v>
      </c>
      <c r="N77" s="56" t="s">
        <v>1315</v>
      </c>
      <c r="O77" s="56" t="s">
        <v>2181</v>
      </c>
      <c r="P77" s="56" t="s">
        <v>2153</v>
      </c>
      <c r="Q77" s="56" t="s">
        <v>2154</v>
      </c>
      <c r="R77" s="56" t="s">
        <v>2155</v>
      </c>
      <c r="S77" s="56" t="s">
        <v>2156</v>
      </c>
      <c r="T77" s="56" t="s">
        <v>2157</v>
      </c>
      <c r="U77" s="56" t="s">
        <v>2158</v>
      </c>
      <c r="V77" s="56" t="s">
        <v>2159</v>
      </c>
      <c r="W77" s="56" t="s">
        <v>2160</v>
      </c>
      <c r="X77" s="56" t="s">
        <v>2161</v>
      </c>
      <c r="Y77" s="56" t="s">
        <v>2182</v>
      </c>
      <c r="Z77" s="56" t="s">
        <v>2183</v>
      </c>
      <c r="AA77" s="56" t="s">
        <v>2184</v>
      </c>
      <c r="AB77" s="56" t="s">
        <v>2185</v>
      </c>
      <c r="AC77" s="56" t="s">
        <v>1517</v>
      </c>
      <c r="AE77" s="56" t="s">
        <v>1493</v>
      </c>
      <c r="AI77" s="56" t="s">
        <v>2186</v>
      </c>
    </row>
    <row r="78" spans="1:35" ht="116" x14ac:dyDescent="0.35">
      <c r="A78" s="56" t="s">
        <v>2152</v>
      </c>
      <c r="B78" s="56" t="s">
        <v>1451</v>
      </c>
      <c r="C78" s="56" t="s">
        <v>1452</v>
      </c>
      <c r="D78" s="56" t="s">
        <v>1224</v>
      </c>
      <c r="E78" s="56" t="s">
        <v>1453</v>
      </c>
      <c r="G78" s="56" t="s">
        <v>1289</v>
      </c>
      <c r="H78" s="56" t="s">
        <v>1316</v>
      </c>
      <c r="J78" s="56" t="s">
        <v>1288</v>
      </c>
      <c r="K78" s="56" t="s">
        <v>1312</v>
      </c>
      <c r="L78" s="56" t="s">
        <v>1313</v>
      </c>
      <c r="M78" s="56" t="s">
        <v>1314</v>
      </c>
      <c r="N78" s="56" t="s">
        <v>1315</v>
      </c>
      <c r="O78" s="56" t="s">
        <v>2181</v>
      </c>
      <c r="P78" s="56" t="s">
        <v>2153</v>
      </c>
      <c r="Q78" s="56" t="s">
        <v>2154</v>
      </c>
      <c r="R78" s="56" t="s">
        <v>2155</v>
      </c>
      <c r="S78" s="56" t="s">
        <v>2156</v>
      </c>
      <c r="T78" s="56" t="s">
        <v>2157</v>
      </c>
      <c r="U78" s="56" t="s">
        <v>2158</v>
      </c>
      <c r="V78" s="56" t="s">
        <v>2159</v>
      </c>
      <c r="W78" s="56" t="s">
        <v>2160</v>
      </c>
      <c r="X78" s="56" t="s">
        <v>2161</v>
      </c>
      <c r="Y78" s="56" t="s">
        <v>2182</v>
      </c>
      <c r="Z78" s="56" t="s">
        <v>2183</v>
      </c>
      <c r="AA78" s="56" t="s">
        <v>2184</v>
      </c>
      <c r="AB78" s="56" t="s">
        <v>2185</v>
      </c>
      <c r="AC78" s="56" t="s">
        <v>1524</v>
      </c>
      <c r="AE78" s="56" t="s">
        <v>1493</v>
      </c>
      <c r="AI78" s="56" t="s">
        <v>2186</v>
      </c>
    </row>
    <row r="79" spans="1:35" ht="116" x14ac:dyDescent="0.35">
      <c r="A79" s="56" t="s">
        <v>2152</v>
      </c>
      <c r="B79" s="56" t="s">
        <v>1451</v>
      </c>
      <c r="C79" s="56" t="s">
        <v>1452</v>
      </c>
      <c r="D79" s="56" t="s">
        <v>1224</v>
      </c>
      <c r="E79" s="56" t="s">
        <v>1453</v>
      </c>
      <c r="G79" s="56" t="s">
        <v>1289</v>
      </c>
      <c r="H79" s="56" t="s">
        <v>1316</v>
      </c>
      <c r="J79" s="56" t="s">
        <v>1288</v>
      </c>
      <c r="K79" s="56" t="s">
        <v>1312</v>
      </c>
      <c r="L79" s="56" t="s">
        <v>1313</v>
      </c>
      <c r="M79" s="56" t="s">
        <v>1314</v>
      </c>
      <c r="N79" s="56" t="s">
        <v>1315</v>
      </c>
      <c r="O79" s="56" t="s">
        <v>2181</v>
      </c>
      <c r="P79" s="56" t="s">
        <v>2153</v>
      </c>
      <c r="Q79" s="56" t="s">
        <v>2154</v>
      </c>
      <c r="R79" s="56" t="s">
        <v>2155</v>
      </c>
      <c r="S79" s="56" t="s">
        <v>2156</v>
      </c>
      <c r="T79" s="56" t="s">
        <v>2157</v>
      </c>
      <c r="U79" s="56" t="s">
        <v>2158</v>
      </c>
      <c r="V79" s="56" t="s">
        <v>2159</v>
      </c>
      <c r="W79" s="56" t="s">
        <v>2160</v>
      </c>
      <c r="X79" s="56" t="s">
        <v>2161</v>
      </c>
      <c r="Y79" s="56" t="s">
        <v>2182</v>
      </c>
      <c r="Z79" s="56" t="s">
        <v>2183</v>
      </c>
      <c r="AA79" s="56" t="s">
        <v>2184</v>
      </c>
      <c r="AB79" s="56" t="s">
        <v>2185</v>
      </c>
      <c r="AC79" s="56" t="s">
        <v>1528</v>
      </c>
      <c r="AE79" s="56" t="s">
        <v>1493</v>
      </c>
      <c r="AI79" s="56" t="s">
        <v>2186</v>
      </c>
    </row>
    <row r="80" spans="1:35" ht="116" x14ac:dyDescent="0.35">
      <c r="A80" s="56" t="s">
        <v>2152</v>
      </c>
      <c r="B80" s="56" t="s">
        <v>1451</v>
      </c>
      <c r="C80" s="56" t="s">
        <v>1452</v>
      </c>
      <c r="D80" s="56" t="s">
        <v>1224</v>
      </c>
      <c r="E80" s="56" t="s">
        <v>1453</v>
      </c>
      <c r="G80" s="56" t="s">
        <v>1289</v>
      </c>
      <c r="H80" s="56" t="s">
        <v>1316</v>
      </c>
      <c r="J80" s="56" t="s">
        <v>1288</v>
      </c>
      <c r="K80" s="56" t="s">
        <v>1312</v>
      </c>
      <c r="L80" s="56" t="s">
        <v>1313</v>
      </c>
      <c r="M80" s="56" t="s">
        <v>1314</v>
      </c>
      <c r="N80" s="56" t="s">
        <v>1315</v>
      </c>
      <c r="O80" s="56" t="s">
        <v>2181</v>
      </c>
      <c r="P80" s="56" t="s">
        <v>2153</v>
      </c>
      <c r="Q80" s="56" t="s">
        <v>2154</v>
      </c>
      <c r="R80" s="56" t="s">
        <v>2155</v>
      </c>
      <c r="S80" s="56" t="s">
        <v>2156</v>
      </c>
      <c r="T80" s="56" t="s">
        <v>2157</v>
      </c>
      <c r="U80" s="56" t="s">
        <v>2158</v>
      </c>
      <c r="V80" s="56" t="s">
        <v>2159</v>
      </c>
      <c r="W80" s="56" t="s">
        <v>2160</v>
      </c>
      <c r="X80" s="56" t="s">
        <v>2161</v>
      </c>
      <c r="Y80" s="56" t="s">
        <v>2182</v>
      </c>
      <c r="Z80" s="56" t="s">
        <v>2183</v>
      </c>
      <c r="AA80" s="56" t="s">
        <v>2184</v>
      </c>
      <c r="AB80" s="56" t="s">
        <v>2185</v>
      </c>
      <c r="AC80" s="56" t="s">
        <v>1529</v>
      </c>
      <c r="AE80" s="56" t="s">
        <v>1493</v>
      </c>
      <c r="AI80" s="56" t="s">
        <v>2186</v>
      </c>
    </row>
    <row r="81" spans="1:35" ht="116" x14ac:dyDescent="0.35">
      <c r="A81" s="56" t="s">
        <v>2152</v>
      </c>
      <c r="B81" s="56" t="s">
        <v>1451</v>
      </c>
      <c r="C81" s="56" t="s">
        <v>1452</v>
      </c>
      <c r="D81" s="56" t="s">
        <v>1224</v>
      </c>
      <c r="E81" s="56" t="s">
        <v>1453</v>
      </c>
      <c r="G81" s="56" t="s">
        <v>1289</v>
      </c>
      <c r="H81" s="56" t="s">
        <v>1316</v>
      </c>
      <c r="J81" s="56" t="s">
        <v>1288</v>
      </c>
      <c r="K81" s="56" t="s">
        <v>1312</v>
      </c>
      <c r="L81" s="56" t="s">
        <v>1313</v>
      </c>
      <c r="M81" s="56" t="s">
        <v>1314</v>
      </c>
      <c r="N81" s="56" t="s">
        <v>1315</v>
      </c>
      <c r="O81" s="56" t="s">
        <v>2181</v>
      </c>
      <c r="P81" s="56" t="s">
        <v>2153</v>
      </c>
      <c r="Q81" s="56" t="s">
        <v>2154</v>
      </c>
      <c r="R81" s="56" t="s">
        <v>2155</v>
      </c>
      <c r="S81" s="56" t="s">
        <v>2156</v>
      </c>
      <c r="T81" s="56" t="s">
        <v>2157</v>
      </c>
      <c r="U81" s="56" t="s">
        <v>2158</v>
      </c>
      <c r="V81" s="56" t="s">
        <v>2159</v>
      </c>
      <c r="W81" s="56" t="s">
        <v>2160</v>
      </c>
      <c r="X81" s="56" t="s">
        <v>2161</v>
      </c>
      <c r="Y81" s="56" t="s">
        <v>2182</v>
      </c>
      <c r="Z81" s="56" t="s">
        <v>2183</v>
      </c>
      <c r="AA81" s="56" t="s">
        <v>2184</v>
      </c>
      <c r="AB81" s="56" t="s">
        <v>2185</v>
      </c>
      <c r="AC81" s="56" t="s">
        <v>1530</v>
      </c>
      <c r="AE81" s="56" t="s">
        <v>1493</v>
      </c>
      <c r="AI81" s="56" t="s">
        <v>2186</v>
      </c>
    </row>
    <row r="82" spans="1:35" ht="116" x14ac:dyDescent="0.35">
      <c r="A82" s="56" t="s">
        <v>2152</v>
      </c>
      <c r="B82" s="56" t="s">
        <v>1451</v>
      </c>
      <c r="C82" s="56" t="s">
        <v>1452</v>
      </c>
      <c r="D82" s="56" t="s">
        <v>1224</v>
      </c>
      <c r="E82" s="56" t="s">
        <v>1453</v>
      </c>
      <c r="G82" s="56" t="s">
        <v>1289</v>
      </c>
      <c r="H82" s="56" t="s">
        <v>1316</v>
      </c>
      <c r="J82" s="56" t="s">
        <v>1288</v>
      </c>
      <c r="K82" s="56" t="s">
        <v>1312</v>
      </c>
      <c r="L82" s="56" t="s">
        <v>1313</v>
      </c>
      <c r="M82" s="56" t="s">
        <v>1314</v>
      </c>
      <c r="N82" s="56" t="s">
        <v>1315</v>
      </c>
      <c r="O82" s="56" t="s">
        <v>2181</v>
      </c>
      <c r="P82" s="56" t="s">
        <v>2153</v>
      </c>
      <c r="Q82" s="56" t="s">
        <v>2154</v>
      </c>
      <c r="R82" s="56" t="s">
        <v>2155</v>
      </c>
      <c r="S82" s="56" t="s">
        <v>2156</v>
      </c>
      <c r="T82" s="56" t="s">
        <v>2157</v>
      </c>
      <c r="U82" s="56" t="s">
        <v>2158</v>
      </c>
      <c r="V82" s="56" t="s">
        <v>2159</v>
      </c>
      <c r="W82" s="56" t="s">
        <v>2160</v>
      </c>
      <c r="X82" s="56" t="s">
        <v>2161</v>
      </c>
      <c r="Y82" s="56" t="s">
        <v>2182</v>
      </c>
      <c r="Z82" s="56" t="s">
        <v>2183</v>
      </c>
      <c r="AA82" s="56" t="s">
        <v>2184</v>
      </c>
      <c r="AB82" s="56" t="s">
        <v>2185</v>
      </c>
      <c r="AC82" s="56" t="s">
        <v>1531</v>
      </c>
      <c r="AE82" s="56" t="s">
        <v>1493</v>
      </c>
      <c r="AI82" s="56" t="s">
        <v>2186</v>
      </c>
    </row>
    <row r="83" spans="1:35" ht="116" x14ac:dyDescent="0.35">
      <c r="A83" s="56" t="s">
        <v>2152</v>
      </c>
      <c r="B83" s="56" t="s">
        <v>1451</v>
      </c>
      <c r="C83" s="56" t="s">
        <v>1452</v>
      </c>
      <c r="D83" s="56" t="s">
        <v>1224</v>
      </c>
      <c r="E83" s="56" t="s">
        <v>1453</v>
      </c>
      <c r="G83" s="56" t="s">
        <v>1289</v>
      </c>
      <c r="H83" s="56" t="s">
        <v>1316</v>
      </c>
      <c r="J83" s="56" t="s">
        <v>1288</v>
      </c>
      <c r="K83" s="56" t="s">
        <v>1312</v>
      </c>
      <c r="L83" s="56" t="s">
        <v>1313</v>
      </c>
      <c r="M83" s="56" t="s">
        <v>1314</v>
      </c>
      <c r="N83" s="56" t="s">
        <v>1315</v>
      </c>
      <c r="O83" s="56" t="s">
        <v>2181</v>
      </c>
      <c r="P83" s="56" t="s">
        <v>2153</v>
      </c>
      <c r="Q83" s="56" t="s">
        <v>2154</v>
      </c>
      <c r="R83" s="56" t="s">
        <v>2155</v>
      </c>
      <c r="S83" s="56" t="s">
        <v>2156</v>
      </c>
      <c r="T83" s="56" t="s">
        <v>2157</v>
      </c>
      <c r="U83" s="56" t="s">
        <v>2158</v>
      </c>
      <c r="V83" s="56" t="s">
        <v>2159</v>
      </c>
      <c r="W83" s="56" t="s">
        <v>2160</v>
      </c>
      <c r="X83" s="56" t="s">
        <v>2161</v>
      </c>
      <c r="Y83" s="56" t="s">
        <v>2182</v>
      </c>
      <c r="Z83" s="56" t="s">
        <v>2183</v>
      </c>
      <c r="AA83" s="56" t="s">
        <v>2184</v>
      </c>
      <c r="AB83" s="56" t="s">
        <v>2185</v>
      </c>
      <c r="AC83" s="56" t="s">
        <v>1532</v>
      </c>
      <c r="AE83" s="56" t="s">
        <v>1493</v>
      </c>
      <c r="AI83" s="56" t="s">
        <v>2186</v>
      </c>
    </row>
    <row r="84" spans="1:35" ht="116" x14ac:dyDescent="0.35">
      <c r="A84" s="56" t="s">
        <v>2181</v>
      </c>
      <c r="B84" s="56" t="s">
        <v>1451</v>
      </c>
      <c r="C84" s="56" t="s">
        <v>1452</v>
      </c>
      <c r="D84" s="56" t="s">
        <v>1224</v>
      </c>
      <c r="E84" s="56" t="s">
        <v>1453</v>
      </c>
      <c r="G84" s="56" t="s">
        <v>1279</v>
      </c>
      <c r="H84" s="56" t="s">
        <v>1336</v>
      </c>
      <c r="J84" s="56" t="s">
        <v>1239</v>
      </c>
      <c r="K84" s="56" t="s">
        <v>1332</v>
      </c>
      <c r="L84" s="56" t="s">
        <v>1333</v>
      </c>
      <c r="M84" s="56" t="s">
        <v>1334</v>
      </c>
      <c r="N84" s="56" t="s">
        <v>1335</v>
      </c>
      <c r="O84" s="56" t="s">
        <v>2152</v>
      </c>
      <c r="P84" s="56" t="s">
        <v>2153</v>
      </c>
      <c r="Q84" s="56" t="s">
        <v>2154</v>
      </c>
      <c r="R84" s="56" t="s">
        <v>2155</v>
      </c>
      <c r="S84" s="56" t="s">
        <v>2156</v>
      </c>
      <c r="T84" s="56" t="s">
        <v>2157</v>
      </c>
      <c r="U84" s="56" t="s">
        <v>2158</v>
      </c>
      <c r="V84" s="56" t="s">
        <v>2159</v>
      </c>
      <c r="W84" s="56" t="s">
        <v>2160</v>
      </c>
      <c r="X84" s="56" t="s">
        <v>2195</v>
      </c>
      <c r="Y84" s="56" t="s">
        <v>2196</v>
      </c>
      <c r="Z84" s="56" t="s">
        <v>2197</v>
      </c>
      <c r="AA84" s="56" t="s">
        <v>2198</v>
      </c>
      <c r="AB84" s="56" t="s">
        <v>2199</v>
      </c>
      <c r="AC84" s="56" t="s">
        <v>1454</v>
      </c>
      <c r="AD84" s="56" t="s">
        <v>1455</v>
      </c>
      <c r="AE84" s="56" t="s">
        <v>2046</v>
      </c>
      <c r="AI84" s="56" t="s">
        <v>2200</v>
      </c>
    </row>
    <row r="85" spans="1:35" ht="101.5" x14ac:dyDescent="0.35">
      <c r="A85" s="56" t="s">
        <v>2181</v>
      </c>
      <c r="B85" s="56" t="s">
        <v>1451</v>
      </c>
      <c r="C85" s="56" t="s">
        <v>1452</v>
      </c>
      <c r="D85" s="56" t="s">
        <v>1224</v>
      </c>
      <c r="E85" s="56" t="s">
        <v>1453</v>
      </c>
      <c r="G85" s="56" t="s">
        <v>1279</v>
      </c>
      <c r="H85" s="56" t="s">
        <v>1336</v>
      </c>
      <c r="J85" s="56" t="s">
        <v>1239</v>
      </c>
      <c r="K85" s="56" t="s">
        <v>1332</v>
      </c>
      <c r="L85" s="56" t="s">
        <v>1333</v>
      </c>
      <c r="M85" s="56" t="s">
        <v>1334</v>
      </c>
      <c r="N85" s="56" t="s">
        <v>1335</v>
      </c>
      <c r="O85" s="56" t="s">
        <v>2152</v>
      </c>
      <c r="P85" s="56" t="s">
        <v>2153</v>
      </c>
      <c r="Q85" s="56" t="s">
        <v>2154</v>
      </c>
      <c r="R85" s="56" t="s">
        <v>2155</v>
      </c>
      <c r="S85" s="56" t="s">
        <v>2156</v>
      </c>
      <c r="T85" s="56" t="s">
        <v>2157</v>
      </c>
      <c r="U85" s="56" t="s">
        <v>2158</v>
      </c>
      <c r="V85" s="56" t="s">
        <v>2159</v>
      </c>
      <c r="W85" s="56" t="s">
        <v>2160</v>
      </c>
      <c r="X85" s="56" t="s">
        <v>2195</v>
      </c>
      <c r="Y85" s="56" t="s">
        <v>2196</v>
      </c>
      <c r="Z85" s="56" t="s">
        <v>2197</v>
      </c>
      <c r="AA85" s="56" t="s">
        <v>2198</v>
      </c>
      <c r="AB85" s="56" t="s">
        <v>2199</v>
      </c>
      <c r="AC85" s="56" t="s">
        <v>1463</v>
      </c>
      <c r="AD85" s="56" t="s">
        <v>1464</v>
      </c>
      <c r="AE85" s="56" t="s">
        <v>2046</v>
      </c>
      <c r="AI85" s="56" t="s">
        <v>2200</v>
      </c>
    </row>
    <row r="86" spans="1:35" ht="101.5" x14ac:dyDescent="0.35">
      <c r="A86" s="56" t="s">
        <v>2181</v>
      </c>
      <c r="B86" s="56" t="s">
        <v>1451</v>
      </c>
      <c r="C86" s="56" t="s">
        <v>1452</v>
      </c>
      <c r="D86" s="56" t="s">
        <v>1224</v>
      </c>
      <c r="E86" s="56" t="s">
        <v>1453</v>
      </c>
      <c r="G86" s="56" t="s">
        <v>1279</v>
      </c>
      <c r="H86" s="56" t="s">
        <v>1336</v>
      </c>
      <c r="J86" s="56" t="s">
        <v>1239</v>
      </c>
      <c r="K86" s="56" t="s">
        <v>1332</v>
      </c>
      <c r="L86" s="56" t="s">
        <v>1333</v>
      </c>
      <c r="M86" s="56" t="s">
        <v>1334</v>
      </c>
      <c r="N86" s="56" t="s">
        <v>1335</v>
      </c>
      <c r="O86" s="56" t="s">
        <v>2152</v>
      </c>
      <c r="P86" s="56" t="s">
        <v>2153</v>
      </c>
      <c r="Q86" s="56" t="s">
        <v>2154</v>
      </c>
      <c r="R86" s="56" t="s">
        <v>2155</v>
      </c>
      <c r="S86" s="56" t="s">
        <v>2156</v>
      </c>
      <c r="T86" s="56" t="s">
        <v>2157</v>
      </c>
      <c r="U86" s="56" t="s">
        <v>2158</v>
      </c>
      <c r="V86" s="56" t="s">
        <v>2159</v>
      </c>
      <c r="W86" s="56" t="s">
        <v>2160</v>
      </c>
      <c r="X86" s="56" t="s">
        <v>2195</v>
      </c>
      <c r="Y86" s="56" t="s">
        <v>2196</v>
      </c>
      <c r="Z86" s="56" t="s">
        <v>2197</v>
      </c>
      <c r="AA86" s="56" t="s">
        <v>2198</v>
      </c>
      <c r="AB86" s="56" t="s">
        <v>2199</v>
      </c>
      <c r="AC86" s="56" t="s">
        <v>1465</v>
      </c>
      <c r="AD86" s="56" t="s">
        <v>1466</v>
      </c>
      <c r="AE86" s="56" t="s">
        <v>2046</v>
      </c>
      <c r="AI86" s="56" t="s">
        <v>2200</v>
      </c>
    </row>
    <row r="87" spans="1:35" ht="101.5" x14ac:dyDescent="0.35">
      <c r="A87" s="56" t="s">
        <v>2181</v>
      </c>
      <c r="B87" s="56" t="s">
        <v>1451</v>
      </c>
      <c r="C87" s="56" t="s">
        <v>1452</v>
      </c>
      <c r="D87" s="56" t="s">
        <v>1224</v>
      </c>
      <c r="E87" s="56" t="s">
        <v>1453</v>
      </c>
      <c r="G87" s="56" t="s">
        <v>1279</v>
      </c>
      <c r="H87" s="56" t="s">
        <v>1336</v>
      </c>
      <c r="J87" s="56" t="s">
        <v>1239</v>
      </c>
      <c r="K87" s="56" t="s">
        <v>1332</v>
      </c>
      <c r="L87" s="56" t="s">
        <v>1333</v>
      </c>
      <c r="M87" s="56" t="s">
        <v>1334</v>
      </c>
      <c r="N87" s="56" t="s">
        <v>1335</v>
      </c>
      <c r="O87" s="56" t="s">
        <v>2152</v>
      </c>
      <c r="P87" s="56" t="s">
        <v>2153</v>
      </c>
      <c r="Q87" s="56" t="s">
        <v>2154</v>
      </c>
      <c r="R87" s="56" t="s">
        <v>2155</v>
      </c>
      <c r="S87" s="56" t="s">
        <v>2156</v>
      </c>
      <c r="T87" s="56" t="s">
        <v>2157</v>
      </c>
      <c r="U87" s="56" t="s">
        <v>2158</v>
      </c>
      <c r="V87" s="56" t="s">
        <v>2159</v>
      </c>
      <c r="W87" s="56" t="s">
        <v>2160</v>
      </c>
      <c r="X87" s="56" t="s">
        <v>2195</v>
      </c>
      <c r="Y87" s="56" t="s">
        <v>2196</v>
      </c>
      <c r="Z87" s="56" t="s">
        <v>2197</v>
      </c>
      <c r="AA87" s="56" t="s">
        <v>2198</v>
      </c>
      <c r="AB87" s="56" t="s">
        <v>2199</v>
      </c>
      <c r="AC87" s="56" t="s">
        <v>1467</v>
      </c>
      <c r="AD87" s="56" t="s">
        <v>1468</v>
      </c>
      <c r="AE87" s="56" t="s">
        <v>2046</v>
      </c>
      <c r="AI87" s="56" t="s">
        <v>2200</v>
      </c>
    </row>
    <row r="88" spans="1:35" ht="101.5" x14ac:dyDescent="0.35">
      <c r="A88" s="56" t="s">
        <v>2181</v>
      </c>
      <c r="B88" s="56" t="s">
        <v>1451</v>
      </c>
      <c r="C88" s="56" t="s">
        <v>1452</v>
      </c>
      <c r="D88" s="56" t="s">
        <v>1224</v>
      </c>
      <c r="E88" s="56" t="s">
        <v>1453</v>
      </c>
      <c r="G88" s="56" t="s">
        <v>1279</v>
      </c>
      <c r="H88" s="56" t="s">
        <v>1336</v>
      </c>
      <c r="J88" s="56" t="s">
        <v>1239</v>
      </c>
      <c r="K88" s="56" t="s">
        <v>1332</v>
      </c>
      <c r="L88" s="56" t="s">
        <v>1333</v>
      </c>
      <c r="M88" s="56" t="s">
        <v>1334</v>
      </c>
      <c r="N88" s="56" t="s">
        <v>1335</v>
      </c>
      <c r="O88" s="56" t="s">
        <v>2152</v>
      </c>
      <c r="P88" s="56" t="s">
        <v>2153</v>
      </c>
      <c r="Q88" s="56" t="s">
        <v>2154</v>
      </c>
      <c r="R88" s="56" t="s">
        <v>2155</v>
      </c>
      <c r="S88" s="56" t="s">
        <v>2156</v>
      </c>
      <c r="T88" s="56" t="s">
        <v>2157</v>
      </c>
      <c r="U88" s="56" t="s">
        <v>2158</v>
      </c>
      <c r="V88" s="56" t="s">
        <v>2159</v>
      </c>
      <c r="W88" s="56" t="s">
        <v>2160</v>
      </c>
      <c r="X88" s="56" t="s">
        <v>2195</v>
      </c>
      <c r="Y88" s="56" t="s">
        <v>2196</v>
      </c>
      <c r="Z88" s="56" t="s">
        <v>2197</v>
      </c>
      <c r="AA88" s="56" t="s">
        <v>2198</v>
      </c>
      <c r="AB88" s="56" t="s">
        <v>2199</v>
      </c>
      <c r="AC88" s="56" t="s">
        <v>1471</v>
      </c>
      <c r="AD88" s="56" t="s">
        <v>1472</v>
      </c>
      <c r="AE88" s="56" t="s">
        <v>2046</v>
      </c>
      <c r="AI88" s="56" t="s">
        <v>2200</v>
      </c>
    </row>
    <row r="89" spans="1:35" ht="116" x14ac:dyDescent="0.35">
      <c r="A89" s="56" t="s">
        <v>2181</v>
      </c>
      <c r="B89" s="56" t="s">
        <v>1451</v>
      </c>
      <c r="C89" s="56" t="s">
        <v>1452</v>
      </c>
      <c r="D89" s="56" t="s">
        <v>1224</v>
      </c>
      <c r="E89" s="56" t="s">
        <v>1453</v>
      </c>
      <c r="G89" s="56" t="s">
        <v>1279</v>
      </c>
      <c r="H89" s="56" t="s">
        <v>1336</v>
      </c>
      <c r="J89" s="56" t="s">
        <v>1239</v>
      </c>
      <c r="K89" s="56" t="s">
        <v>1332</v>
      </c>
      <c r="L89" s="56" t="s">
        <v>1333</v>
      </c>
      <c r="M89" s="56" t="s">
        <v>1334</v>
      </c>
      <c r="N89" s="56" t="s">
        <v>1335</v>
      </c>
      <c r="O89" s="56" t="s">
        <v>2152</v>
      </c>
      <c r="P89" s="56" t="s">
        <v>2153</v>
      </c>
      <c r="Q89" s="56" t="s">
        <v>2154</v>
      </c>
      <c r="R89" s="56" t="s">
        <v>2155</v>
      </c>
      <c r="S89" s="56" t="s">
        <v>2156</v>
      </c>
      <c r="T89" s="56" t="s">
        <v>2157</v>
      </c>
      <c r="U89" s="56" t="s">
        <v>2158</v>
      </c>
      <c r="V89" s="56" t="s">
        <v>2159</v>
      </c>
      <c r="W89" s="56" t="s">
        <v>2160</v>
      </c>
      <c r="X89" s="56" t="s">
        <v>2195</v>
      </c>
      <c r="Y89" s="56" t="s">
        <v>2196</v>
      </c>
      <c r="Z89" s="56" t="s">
        <v>2197</v>
      </c>
      <c r="AA89" s="56" t="s">
        <v>2198</v>
      </c>
      <c r="AB89" s="56" t="s">
        <v>2199</v>
      </c>
      <c r="AC89" s="56" t="s">
        <v>1475</v>
      </c>
      <c r="AD89" s="56" t="s">
        <v>1476</v>
      </c>
      <c r="AE89" s="56" t="s">
        <v>2046</v>
      </c>
      <c r="AI89" s="56" t="s">
        <v>2200</v>
      </c>
    </row>
    <row r="90" spans="1:35" ht="217.5" x14ac:dyDescent="0.35">
      <c r="A90" s="56" t="s">
        <v>2181</v>
      </c>
      <c r="B90" s="56" t="s">
        <v>1451</v>
      </c>
      <c r="C90" s="56" t="s">
        <v>1452</v>
      </c>
      <c r="D90" s="56" t="s">
        <v>1224</v>
      </c>
      <c r="E90" s="56" t="s">
        <v>1453</v>
      </c>
      <c r="G90" s="56" t="s">
        <v>1279</v>
      </c>
      <c r="H90" s="56" t="s">
        <v>1336</v>
      </c>
      <c r="J90" s="56" t="s">
        <v>1239</v>
      </c>
      <c r="K90" s="56" t="s">
        <v>1332</v>
      </c>
      <c r="L90" s="56" t="s">
        <v>1333</v>
      </c>
      <c r="M90" s="56" t="s">
        <v>1334</v>
      </c>
      <c r="N90" s="56" t="s">
        <v>1335</v>
      </c>
      <c r="O90" s="56" t="s">
        <v>2152</v>
      </c>
      <c r="P90" s="56" t="s">
        <v>2153</v>
      </c>
      <c r="Q90" s="56" t="s">
        <v>2154</v>
      </c>
      <c r="R90" s="56" t="s">
        <v>2155</v>
      </c>
      <c r="S90" s="56" t="s">
        <v>2156</v>
      </c>
      <c r="T90" s="56" t="s">
        <v>2157</v>
      </c>
      <c r="U90" s="56" t="s">
        <v>2158</v>
      </c>
      <c r="V90" s="56" t="s">
        <v>2159</v>
      </c>
      <c r="W90" s="56" t="s">
        <v>2160</v>
      </c>
      <c r="X90" s="56" t="s">
        <v>2195</v>
      </c>
      <c r="Y90" s="56" t="s">
        <v>2196</v>
      </c>
      <c r="Z90" s="56" t="s">
        <v>2197</v>
      </c>
      <c r="AA90" s="56" t="s">
        <v>2198</v>
      </c>
      <c r="AB90" s="56" t="s">
        <v>2199</v>
      </c>
      <c r="AC90" s="56" t="s">
        <v>1477</v>
      </c>
      <c r="AD90" s="56" t="s">
        <v>1478</v>
      </c>
      <c r="AE90" s="56" t="s">
        <v>2046</v>
      </c>
      <c r="AF90" s="56" t="s">
        <v>2058</v>
      </c>
      <c r="AG90" s="56" t="s">
        <v>2201</v>
      </c>
      <c r="AH90" s="56" t="s">
        <v>2202</v>
      </c>
      <c r="AI90" s="56" t="s">
        <v>2200</v>
      </c>
    </row>
    <row r="91" spans="1:35" ht="101.5" x14ac:dyDescent="0.35">
      <c r="A91" s="56" t="s">
        <v>2181</v>
      </c>
      <c r="B91" s="56" t="s">
        <v>1451</v>
      </c>
      <c r="C91" s="56" t="s">
        <v>1452</v>
      </c>
      <c r="D91" s="56" t="s">
        <v>1224</v>
      </c>
      <c r="E91" s="56" t="s">
        <v>1453</v>
      </c>
      <c r="G91" s="56" t="s">
        <v>1279</v>
      </c>
      <c r="H91" s="56" t="s">
        <v>1336</v>
      </c>
      <c r="J91" s="56" t="s">
        <v>1239</v>
      </c>
      <c r="K91" s="56" t="s">
        <v>1332</v>
      </c>
      <c r="L91" s="56" t="s">
        <v>1333</v>
      </c>
      <c r="M91" s="56" t="s">
        <v>1334</v>
      </c>
      <c r="N91" s="56" t="s">
        <v>1335</v>
      </c>
      <c r="O91" s="56" t="s">
        <v>2152</v>
      </c>
      <c r="P91" s="56" t="s">
        <v>2153</v>
      </c>
      <c r="Q91" s="56" t="s">
        <v>2154</v>
      </c>
      <c r="R91" s="56" t="s">
        <v>2155</v>
      </c>
      <c r="S91" s="56" t="s">
        <v>2156</v>
      </c>
      <c r="T91" s="56" t="s">
        <v>2157</v>
      </c>
      <c r="U91" s="56" t="s">
        <v>2158</v>
      </c>
      <c r="V91" s="56" t="s">
        <v>2159</v>
      </c>
      <c r="W91" s="56" t="s">
        <v>2160</v>
      </c>
      <c r="X91" s="56" t="s">
        <v>2195</v>
      </c>
      <c r="Y91" s="56" t="s">
        <v>2196</v>
      </c>
      <c r="Z91" s="56" t="s">
        <v>2197</v>
      </c>
      <c r="AA91" s="56" t="s">
        <v>2198</v>
      </c>
      <c r="AB91" s="56" t="s">
        <v>2199</v>
      </c>
      <c r="AC91" s="56" t="s">
        <v>1481</v>
      </c>
      <c r="AD91" s="56" t="s">
        <v>1482</v>
      </c>
      <c r="AE91" s="56" t="s">
        <v>2046</v>
      </c>
      <c r="AI91" s="56" t="s">
        <v>2200</v>
      </c>
    </row>
    <row r="92" spans="1:35" ht="116" x14ac:dyDescent="0.35">
      <c r="A92" s="56" t="s">
        <v>2181</v>
      </c>
      <c r="B92" s="56" t="s">
        <v>1451</v>
      </c>
      <c r="C92" s="56" t="s">
        <v>1452</v>
      </c>
      <c r="D92" s="56" t="s">
        <v>1224</v>
      </c>
      <c r="E92" s="56" t="s">
        <v>1453</v>
      </c>
      <c r="G92" s="56" t="s">
        <v>1279</v>
      </c>
      <c r="H92" s="56" t="s">
        <v>1336</v>
      </c>
      <c r="J92" s="56" t="s">
        <v>1239</v>
      </c>
      <c r="K92" s="56" t="s">
        <v>1332</v>
      </c>
      <c r="L92" s="56" t="s">
        <v>1333</v>
      </c>
      <c r="M92" s="56" t="s">
        <v>1334</v>
      </c>
      <c r="N92" s="56" t="s">
        <v>1335</v>
      </c>
      <c r="O92" s="56" t="s">
        <v>2152</v>
      </c>
      <c r="P92" s="56" t="s">
        <v>2153</v>
      </c>
      <c r="Q92" s="56" t="s">
        <v>2154</v>
      </c>
      <c r="R92" s="56" t="s">
        <v>2155</v>
      </c>
      <c r="S92" s="56" t="s">
        <v>2156</v>
      </c>
      <c r="T92" s="56" t="s">
        <v>2157</v>
      </c>
      <c r="U92" s="56" t="s">
        <v>2158</v>
      </c>
      <c r="V92" s="56" t="s">
        <v>2159</v>
      </c>
      <c r="W92" s="56" t="s">
        <v>2160</v>
      </c>
      <c r="X92" s="56" t="s">
        <v>2195</v>
      </c>
      <c r="Y92" s="56" t="s">
        <v>2196</v>
      </c>
      <c r="Z92" s="56" t="s">
        <v>2197</v>
      </c>
      <c r="AA92" s="56" t="s">
        <v>2198</v>
      </c>
      <c r="AB92" s="56" t="s">
        <v>2199</v>
      </c>
      <c r="AC92" s="56" t="s">
        <v>1483</v>
      </c>
      <c r="AD92" s="56" t="s">
        <v>1484</v>
      </c>
      <c r="AE92" s="56" t="s">
        <v>2046</v>
      </c>
      <c r="AI92" s="56" t="s">
        <v>2200</v>
      </c>
    </row>
    <row r="93" spans="1:35" ht="101.5" x14ac:dyDescent="0.35">
      <c r="A93" s="56" t="s">
        <v>2181</v>
      </c>
      <c r="B93" s="56" t="s">
        <v>1451</v>
      </c>
      <c r="C93" s="56" t="s">
        <v>1452</v>
      </c>
      <c r="D93" s="56" t="s">
        <v>1224</v>
      </c>
      <c r="E93" s="56" t="s">
        <v>1453</v>
      </c>
      <c r="G93" s="56" t="s">
        <v>1279</v>
      </c>
      <c r="H93" s="56" t="s">
        <v>1336</v>
      </c>
      <c r="J93" s="56" t="s">
        <v>1239</v>
      </c>
      <c r="K93" s="56" t="s">
        <v>1332</v>
      </c>
      <c r="L93" s="56" t="s">
        <v>1333</v>
      </c>
      <c r="M93" s="56" t="s">
        <v>1334</v>
      </c>
      <c r="N93" s="56" t="s">
        <v>1335</v>
      </c>
      <c r="O93" s="56" t="s">
        <v>2152</v>
      </c>
      <c r="P93" s="56" t="s">
        <v>2153</v>
      </c>
      <c r="Q93" s="56" t="s">
        <v>2154</v>
      </c>
      <c r="R93" s="56" t="s">
        <v>2155</v>
      </c>
      <c r="S93" s="56" t="s">
        <v>2156</v>
      </c>
      <c r="T93" s="56" t="s">
        <v>2157</v>
      </c>
      <c r="U93" s="56" t="s">
        <v>2158</v>
      </c>
      <c r="V93" s="56" t="s">
        <v>2159</v>
      </c>
      <c r="W93" s="56" t="s">
        <v>2160</v>
      </c>
      <c r="X93" s="56" t="s">
        <v>2195</v>
      </c>
      <c r="Y93" s="56" t="s">
        <v>2196</v>
      </c>
      <c r="Z93" s="56" t="s">
        <v>2197</v>
      </c>
      <c r="AA93" s="56" t="s">
        <v>2198</v>
      </c>
      <c r="AB93" s="56" t="s">
        <v>2199</v>
      </c>
      <c r="AC93" s="56" t="s">
        <v>1486</v>
      </c>
      <c r="AD93" s="56" t="s">
        <v>1487</v>
      </c>
      <c r="AE93" s="56" t="s">
        <v>2046</v>
      </c>
      <c r="AI93" s="56" t="s">
        <v>2200</v>
      </c>
    </row>
    <row r="94" spans="1:35" ht="101.5" x14ac:dyDescent="0.35">
      <c r="A94" s="56" t="s">
        <v>2181</v>
      </c>
      <c r="B94" s="56" t="s">
        <v>1451</v>
      </c>
      <c r="C94" s="56" t="s">
        <v>1452</v>
      </c>
      <c r="D94" s="56" t="s">
        <v>1224</v>
      </c>
      <c r="E94" s="56" t="s">
        <v>1453</v>
      </c>
      <c r="G94" s="56" t="s">
        <v>1279</v>
      </c>
      <c r="H94" s="56" t="s">
        <v>1336</v>
      </c>
      <c r="J94" s="56" t="s">
        <v>1239</v>
      </c>
      <c r="K94" s="56" t="s">
        <v>1332</v>
      </c>
      <c r="L94" s="56" t="s">
        <v>1333</v>
      </c>
      <c r="M94" s="56" t="s">
        <v>1334</v>
      </c>
      <c r="N94" s="56" t="s">
        <v>1335</v>
      </c>
      <c r="O94" s="56" t="s">
        <v>2152</v>
      </c>
      <c r="P94" s="56" t="s">
        <v>2153</v>
      </c>
      <c r="Q94" s="56" t="s">
        <v>2154</v>
      </c>
      <c r="R94" s="56" t="s">
        <v>2155</v>
      </c>
      <c r="S94" s="56" t="s">
        <v>2156</v>
      </c>
      <c r="T94" s="56" t="s">
        <v>2157</v>
      </c>
      <c r="U94" s="56" t="s">
        <v>2158</v>
      </c>
      <c r="V94" s="56" t="s">
        <v>2159</v>
      </c>
      <c r="W94" s="56" t="s">
        <v>2160</v>
      </c>
      <c r="X94" s="56" t="s">
        <v>2195</v>
      </c>
      <c r="Y94" s="56" t="s">
        <v>2196</v>
      </c>
      <c r="Z94" s="56" t="s">
        <v>2197</v>
      </c>
      <c r="AA94" s="56" t="s">
        <v>2198</v>
      </c>
      <c r="AB94" s="56" t="s">
        <v>2199</v>
      </c>
      <c r="AC94" s="56" t="s">
        <v>1488</v>
      </c>
      <c r="AD94" s="56" t="s">
        <v>1489</v>
      </c>
      <c r="AE94" s="56" t="s">
        <v>2046</v>
      </c>
      <c r="AI94" s="56" t="s">
        <v>2200</v>
      </c>
    </row>
    <row r="95" spans="1:35" ht="101.5" x14ac:dyDescent="0.35">
      <c r="A95" s="56" t="s">
        <v>2181</v>
      </c>
      <c r="B95" s="56" t="s">
        <v>1451</v>
      </c>
      <c r="C95" s="56" t="s">
        <v>1452</v>
      </c>
      <c r="D95" s="56" t="s">
        <v>1224</v>
      </c>
      <c r="E95" s="56" t="s">
        <v>1453</v>
      </c>
      <c r="G95" s="56" t="s">
        <v>1279</v>
      </c>
      <c r="H95" s="56" t="s">
        <v>1336</v>
      </c>
      <c r="J95" s="56" t="s">
        <v>1239</v>
      </c>
      <c r="K95" s="56" t="s">
        <v>1332</v>
      </c>
      <c r="L95" s="56" t="s">
        <v>1333</v>
      </c>
      <c r="M95" s="56" t="s">
        <v>1334</v>
      </c>
      <c r="N95" s="56" t="s">
        <v>1335</v>
      </c>
      <c r="O95" s="56" t="s">
        <v>2152</v>
      </c>
      <c r="P95" s="56" t="s">
        <v>2153</v>
      </c>
      <c r="Q95" s="56" t="s">
        <v>2154</v>
      </c>
      <c r="R95" s="56" t="s">
        <v>2155</v>
      </c>
      <c r="S95" s="56" t="s">
        <v>2156</v>
      </c>
      <c r="T95" s="56" t="s">
        <v>2157</v>
      </c>
      <c r="U95" s="56" t="s">
        <v>2158</v>
      </c>
      <c r="V95" s="56" t="s">
        <v>2159</v>
      </c>
      <c r="W95" s="56" t="s">
        <v>2160</v>
      </c>
      <c r="X95" s="56" t="s">
        <v>2195</v>
      </c>
      <c r="Y95" s="56" t="s">
        <v>2196</v>
      </c>
      <c r="Z95" s="56" t="s">
        <v>2197</v>
      </c>
      <c r="AA95" s="56" t="s">
        <v>2198</v>
      </c>
      <c r="AB95" s="56" t="s">
        <v>2199</v>
      </c>
      <c r="AC95" s="56" t="s">
        <v>1490</v>
      </c>
      <c r="AD95" s="56" t="s">
        <v>1491</v>
      </c>
      <c r="AE95" s="56" t="s">
        <v>2046</v>
      </c>
      <c r="AI95" s="56" t="s">
        <v>2200</v>
      </c>
    </row>
    <row r="96" spans="1:35" ht="101.5" x14ac:dyDescent="0.35">
      <c r="A96" s="56" t="s">
        <v>2181</v>
      </c>
      <c r="B96" s="56" t="s">
        <v>1451</v>
      </c>
      <c r="C96" s="56" t="s">
        <v>1452</v>
      </c>
      <c r="D96" s="56" t="s">
        <v>1224</v>
      </c>
      <c r="E96" s="56" t="s">
        <v>1453</v>
      </c>
      <c r="G96" s="56" t="s">
        <v>1279</v>
      </c>
      <c r="H96" s="56" t="s">
        <v>1336</v>
      </c>
      <c r="J96" s="56" t="s">
        <v>1239</v>
      </c>
      <c r="K96" s="56" t="s">
        <v>1332</v>
      </c>
      <c r="L96" s="56" t="s">
        <v>1333</v>
      </c>
      <c r="M96" s="56" t="s">
        <v>1334</v>
      </c>
      <c r="N96" s="56" t="s">
        <v>1335</v>
      </c>
      <c r="O96" s="56" t="s">
        <v>2152</v>
      </c>
      <c r="P96" s="56" t="s">
        <v>2153</v>
      </c>
      <c r="Q96" s="56" t="s">
        <v>2154</v>
      </c>
      <c r="R96" s="56" t="s">
        <v>2155</v>
      </c>
      <c r="S96" s="56" t="s">
        <v>2156</v>
      </c>
      <c r="T96" s="56" t="s">
        <v>2157</v>
      </c>
      <c r="U96" s="56" t="s">
        <v>2158</v>
      </c>
      <c r="V96" s="56" t="s">
        <v>2159</v>
      </c>
      <c r="W96" s="56" t="s">
        <v>2160</v>
      </c>
      <c r="X96" s="56" t="s">
        <v>2195</v>
      </c>
      <c r="Y96" s="56" t="s">
        <v>2196</v>
      </c>
      <c r="Z96" s="56" t="s">
        <v>2197</v>
      </c>
      <c r="AA96" s="56" t="s">
        <v>2198</v>
      </c>
      <c r="AB96" s="56" t="s">
        <v>2199</v>
      </c>
      <c r="AC96" s="56" t="s">
        <v>1492</v>
      </c>
      <c r="AD96" s="56" t="s">
        <v>1538</v>
      </c>
      <c r="AE96" s="56" t="s">
        <v>1493</v>
      </c>
      <c r="AI96" s="56" t="s">
        <v>2200</v>
      </c>
    </row>
    <row r="97" spans="1:35" ht="101.5" x14ac:dyDescent="0.35">
      <c r="A97" s="56" t="s">
        <v>2181</v>
      </c>
      <c r="B97" s="56" t="s">
        <v>1451</v>
      </c>
      <c r="C97" s="56" t="s">
        <v>1452</v>
      </c>
      <c r="D97" s="56" t="s">
        <v>1224</v>
      </c>
      <c r="E97" s="56" t="s">
        <v>1453</v>
      </c>
      <c r="G97" s="56" t="s">
        <v>1279</v>
      </c>
      <c r="H97" s="56" t="s">
        <v>1336</v>
      </c>
      <c r="J97" s="56" t="s">
        <v>1239</v>
      </c>
      <c r="K97" s="56" t="s">
        <v>1332</v>
      </c>
      <c r="L97" s="56" t="s">
        <v>1333</v>
      </c>
      <c r="M97" s="56" t="s">
        <v>1334</v>
      </c>
      <c r="N97" s="56" t="s">
        <v>1335</v>
      </c>
      <c r="O97" s="56" t="s">
        <v>2152</v>
      </c>
      <c r="P97" s="56" t="s">
        <v>2153</v>
      </c>
      <c r="Q97" s="56" t="s">
        <v>2154</v>
      </c>
      <c r="R97" s="56" t="s">
        <v>2155</v>
      </c>
      <c r="S97" s="56" t="s">
        <v>2156</v>
      </c>
      <c r="T97" s="56" t="s">
        <v>2157</v>
      </c>
      <c r="U97" s="56" t="s">
        <v>2158</v>
      </c>
      <c r="V97" s="56" t="s">
        <v>2159</v>
      </c>
      <c r="W97" s="56" t="s">
        <v>2160</v>
      </c>
      <c r="X97" s="56" t="s">
        <v>2195</v>
      </c>
      <c r="Y97" s="56" t="s">
        <v>2196</v>
      </c>
      <c r="Z97" s="56" t="s">
        <v>2197</v>
      </c>
      <c r="AA97" s="56" t="s">
        <v>2198</v>
      </c>
      <c r="AB97" s="56" t="s">
        <v>2199</v>
      </c>
      <c r="AC97" s="56" t="s">
        <v>1494</v>
      </c>
      <c r="AD97" s="56" t="s">
        <v>1539</v>
      </c>
      <c r="AE97" s="56" t="s">
        <v>1493</v>
      </c>
      <c r="AI97" s="56" t="s">
        <v>2200</v>
      </c>
    </row>
    <row r="98" spans="1:35" ht="101.5" x14ac:dyDescent="0.35">
      <c r="A98" s="56" t="s">
        <v>2181</v>
      </c>
      <c r="B98" s="56" t="s">
        <v>1451</v>
      </c>
      <c r="C98" s="56" t="s">
        <v>1452</v>
      </c>
      <c r="D98" s="56" t="s">
        <v>1224</v>
      </c>
      <c r="E98" s="56" t="s">
        <v>1453</v>
      </c>
      <c r="G98" s="56" t="s">
        <v>1279</v>
      </c>
      <c r="H98" s="56" t="s">
        <v>1336</v>
      </c>
      <c r="J98" s="56" t="s">
        <v>1239</v>
      </c>
      <c r="K98" s="56" t="s">
        <v>1332</v>
      </c>
      <c r="L98" s="56" t="s">
        <v>1333</v>
      </c>
      <c r="M98" s="56" t="s">
        <v>1334</v>
      </c>
      <c r="N98" s="56" t="s">
        <v>1335</v>
      </c>
      <c r="O98" s="56" t="s">
        <v>2152</v>
      </c>
      <c r="P98" s="56" t="s">
        <v>2153</v>
      </c>
      <c r="Q98" s="56" t="s">
        <v>2154</v>
      </c>
      <c r="R98" s="56" t="s">
        <v>2155</v>
      </c>
      <c r="S98" s="56" t="s">
        <v>2156</v>
      </c>
      <c r="T98" s="56" t="s">
        <v>2157</v>
      </c>
      <c r="U98" s="56" t="s">
        <v>2158</v>
      </c>
      <c r="V98" s="56" t="s">
        <v>2159</v>
      </c>
      <c r="W98" s="56" t="s">
        <v>2160</v>
      </c>
      <c r="X98" s="56" t="s">
        <v>2195</v>
      </c>
      <c r="Y98" s="56" t="s">
        <v>2196</v>
      </c>
      <c r="Z98" s="56" t="s">
        <v>2197</v>
      </c>
      <c r="AA98" s="56" t="s">
        <v>2198</v>
      </c>
      <c r="AB98" s="56" t="s">
        <v>2199</v>
      </c>
      <c r="AC98" s="56" t="s">
        <v>1495</v>
      </c>
      <c r="AE98" s="56" t="s">
        <v>1493</v>
      </c>
      <c r="AI98" s="56" t="s">
        <v>2200</v>
      </c>
    </row>
    <row r="99" spans="1:35" ht="101.5" x14ac:dyDescent="0.35">
      <c r="A99" s="56" t="s">
        <v>2181</v>
      </c>
      <c r="B99" s="56" t="s">
        <v>1451</v>
      </c>
      <c r="C99" s="56" t="s">
        <v>1452</v>
      </c>
      <c r="D99" s="56" t="s">
        <v>1224</v>
      </c>
      <c r="E99" s="56" t="s">
        <v>1453</v>
      </c>
      <c r="G99" s="56" t="s">
        <v>1279</v>
      </c>
      <c r="H99" s="56" t="s">
        <v>1336</v>
      </c>
      <c r="J99" s="56" t="s">
        <v>1239</v>
      </c>
      <c r="K99" s="56" t="s">
        <v>1332</v>
      </c>
      <c r="L99" s="56" t="s">
        <v>1333</v>
      </c>
      <c r="M99" s="56" t="s">
        <v>1334</v>
      </c>
      <c r="N99" s="56" t="s">
        <v>1335</v>
      </c>
      <c r="O99" s="56" t="s">
        <v>2152</v>
      </c>
      <c r="P99" s="56" t="s">
        <v>2153</v>
      </c>
      <c r="Q99" s="56" t="s">
        <v>2154</v>
      </c>
      <c r="R99" s="56" t="s">
        <v>2155</v>
      </c>
      <c r="S99" s="56" t="s">
        <v>2156</v>
      </c>
      <c r="T99" s="56" t="s">
        <v>2157</v>
      </c>
      <c r="U99" s="56" t="s">
        <v>2158</v>
      </c>
      <c r="V99" s="56" t="s">
        <v>2159</v>
      </c>
      <c r="W99" s="56" t="s">
        <v>2160</v>
      </c>
      <c r="X99" s="56" t="s">
        <v>2195</v>
      </c>
      <c r="Y99" s="56" t="s">
        <v>2196</v>
      </c>
      <c r="Z99" s="56" t="s">
        <v>2197</v>
      </c>
      <c r="AA99" s="56" t="s">
        <v>2198</v>
      </c>
      <c r="AB99" s="56" t="s">
        <v>2199</v>
      </c>
      <c r="AC99" s="56" t="s">
        <v>1496</v>
      </c>
      <c r="AE99" s="56" t="s">
        <v>1493</v>
      </c>
      <c r="AI99" s="56" t="s">
        <v>2200</v>
      </c>
    </row>
    <row r="100" spans="1:35" ht="101.5" x14ac:dyDescent="0.35">
      <c r="A100" s="56" t="s">
        <v>2181</v>
      </c>
      <c r="B100" s="56" t="s">
        <v>1451</v>
      </c>
      <c r="C100" s="56" t="s">
        <v>1452</v>
      </c>
      <c r="D100" s="56" t="s">
        <v>1224</v>
      </c>
      <c r="E100" s="56" t="s">
        <v>1453</v>
      </c>
      <c r="G100" s="56" t="s">
        <v>1279</v>
      </c>
      <c r="H100" s="56" t="s">
        <v>1336</v>
      </c>
      <c r="J100" s="56" t="s">
        <v>1239</v>
      </c>
      <c r="K100" s="56" t="s">
        <v>1332</v>
      </c>
      <c r="L100" s="56" t="s">
        <v>1333</v>
      </c>
      <c r="M100" s="56" t="s">
        <v>1334</v>
      </c>
      <c r="N100" s="56" t="s">
        <v>1335</v>
      </c>
      <c r="O100" s="56" t="s">
        <v>2152</v>
      </c>
      <c r="P100" s="56" t="s">
        <v>2153</v>
      </c>
      <c r="Q100" s="56" t="s">
        <v>2154</v>
      </c>
      <c r="R100" s="56" t="s">
        <v>2155</v>
      </c>
      <c r="S100" s="56" t="s">
        <v>2156</v>
      </c>
      <c r="T100" s="56" t="s">
        <v>2157</v>
      </c>
      <c r="U100" s="56" t="s">
        <v>2158</v>
      </c>
      <c r="V100" s="56" t="s">
        <v>2159</v>
      </c>
      <c r="W100" s="56" t="s">
        <v>2160</v>
      </c>
      <c r="X100" s="56" t="s">
        <v>2195</v>
      </c>
      <c r="Y100" s="56" t="s">
        <v>2196</v>
      </c>
      <c r="Z100" s="56" t="s">
        <v>2197</v>
      </c>
      <c r="AA100" s="56" t="s">
        <v>2198</v>
      </c>
      <c r="AB100" s="56" t="s">
        <v>2199</v>
      </c>
      <c r="AC100" s="56" t="s">
        <v>1499</v>
      </c>
      <c r="AE100" s="56" t="s">
        <v>1493</v>
      </c>
      <c r="AI100" s="56" t="s">
        <v>2200</v>
      </c>
    </row>
    <row r="101" spans="1:35" ht="101.5" x14ac:dyDescent="0.35">
      <c r="A101" s="56" t="s">
        <v>2181</v>
      </c>
      <c r="B101" s="56" t="s">
        <v>1451</v>
      </c>
      <c r="C101" s="56" t="s">
        <v>1452</v>
      </c>
      <c r="D101" s="56" t="s">
        <v>1224</v>
      </c>
      <c r="E101" s="56" t="s">
        <v>1453</v>
      </c>
      <c r="G101" s="56" t="s">
        <v>1279</v>
      </c>
      <c r="H101" s="56" t="s">
        <v>1336</v>
      </c>
      <c r="J101" s="56" t="s">
        <v>1239</v>
      </c>
      <c r="K101" s="56" t="s">
        <v>1332</v>
      </c>
      <c r="L101" s="56" t="s">
        <v>1333</v>
      </c>
      <c r="M101" s="56" t="s">
        <v>1334</v>
      </c>
      <c r="N101" s="56" t="s">
        <v>1335</v>
      </c>
      <c r="O101" s="56" t="s">
        <v>2152</v>
      </c>
      <c r="P101" s="56" t="s">
        <v>2153</v>
      </c>
      <c r="Q101" s="56" t="s">
        <v>2154</v>
      </c>
      <c r="R101" s="56" t="s">
        <v>2155</v>
      </c>
      <c r="S101" s="56" t="s">
        <v>2156</v>
      </c>
      <c r="T101" s="56" t="s">
        <v>2157</v>
      </c>
      <c r="U101" s="56" t="s">
        <v>2158</v>
      </c>
      <c r="V101" s="56" t="s">
        <v>2159</v>
      </c>
      <c r="W101" s="56" t="s">
        <v>2160</v>
      </c>
      <c r="X101" s="56" t="s">
        <v>2195</v>
      </c>
      <c r="Y101" s="56" t="s">
        <v>2196</v>
      </c>
      <c r="Z101" s="56" t="s">
        <v>2197</v>
      </c>
      <c r="AA101" s="56" t="s">
        <v>2198</v>
      </c>
      <c r="AB101" s="56" t="s">
        <v>2199</v>
      </c>
      <c r="AC101" s="56" t="s">
        <v>1500</v>
      </c>
      <c r="AE101" s="56" t="s">
        <v>1493</v>
      </c>
      <c r="AI101" s="56" t="s">
        <v>2200</v>
      </c>
    </row>
    <row r="102" spans="1:35" ht="101.5" x14ac:dyDescent="0.35">
      <c r="A102" s="56" t="s">
        <v>2181</v>
      </c>
      <c r="B102" s="56" t="s">
        <v>1451</v>
      </c>
      <c r="C102" s="56" t="s">
        <v>1452</v>
      </c>
      <c r="D102" s="56" t="s">
        <v>1224</v>
      </c>
      <c r="E102" s="56" t="s">
        <v>1453</v>
      </c>
      <c r="G102" s="56" t="s">
        <v>1279</v>
      </c>
      <c r="H102" s="56" t="s">
        <v>1336</v>
      </c>
      <c r="J102" s="56" t="s">
        <v>1239</v>
      </c>
      <c r="K102" s="56" t="s">
        <v>1332</v>
      </c>
      <c r="L102" s="56" t="s">
        <v>1333</v>
      </c>
      <c r="M102" s="56" t="s">
        <v>1334</v>
      </c>
      <c r="N102" s="56" t="s">
        <v>1335</v>
      </c>
      <c r="O102" s="56" t="s">
        <v>2152</v>
      </c>
      <c r="P102" s="56" t="s">
        <v>2153</v>
      </c>
      <c r="Q102" s="56" t="s">
        <v>2154</v>
      </c>
      <c r="R102" s="56" t="s">
        <v>2155</v>
      </c>
      <c r="S102" s="56" t="s">
        <v>2156</v>
      </c>
      <c r="T102" s="56" t="s">
        <v>2157</v>
      </c>
      <c r="U102" s="56" t="s">
        <v>2158</v>
      </c>
      <c r="V102" s="56" t="s">
        <v>2159</v>
      </c>
      <c r="W102" s="56" t="s">
        <v>2160</v>
      </c>
      <c r="X102" s="56" t="s">
        <v>2195</v>
      </c>
      <c r="Y102" s="56" t="s">
        <v>2196</v>
      </c>
      <c r="Z102" s="56" t="s">
        <v>2197</v>
      </c>
      <c r="AA102" s="56" t="s">
        <v>2198</v>
      </c>
      <c r="AB102" s="56" t="s">
        <v>2199</v>
      </c>
      <c r="AC102" s="56" t="s">
        <v>1501</v>
      </c>
      <c r="AE102" s="56" t="s">
        <v>1493</v>
      </c>
      <c r="AI102" s="56" t="s">
        <v>2200</v>
      </c>
    </row>
    <row r="103" spans="1:35" ht="101.5" x14ac:dyDescent="0.35">
      <c r="A103" s="56" t="s">
        <v>2181</v>
      </c>
      <c r="B103" s="56" t="s">
        <v>1451</v>
      </c>
      <c r="C103" s="56" t="s">
        <v>1452</v>
      </c>
      <c r="D103" s="56" t="s">
        <v>1224</v>
      </c>
      <c r="E103" s="56" t="s">
        <v>1453</v>
      </c>
      <c r="G103" s="56" t="s">
        <v>1279</v>
      </c>
      <c r="H103" s="56" t="s">
        <v>1336</v>
      </c>
      <c r="J103" s="56" t="s">
        <v>1239</v>
      </c>
      <c r="K103" s="56" t="s">
        <v>1332</v>
      </c>
      <c r="L103" s="56" t="s">
        <v>1333</v>
      </c>
      <c r="M103" s="56" t="s">
        <v>1334</v>
      </c>
      <c r="N103" s="56" t="s">
        <v>1335</v>
      </c>
      <c r="O103" s="56" t="s">
        <v>2152</v>
      </c>
      <c r="P103" s="56" t="s">
        <v>2153</v>
      </c>
      <c r="Q103" s="56" t="s">
        <v>2154</v>
      </c>
      <c r="R103" s="56" t="s">
        <v>2155</v>
      </c>
      <c r="S103" s="56" t="s">
        <v>2156</v>
      </c>
      <c r="T103" s="56" t="s">
        <v>2157</v>
      </c>
      <c r="U103" s="56" t="s">
        <v>2158</v>
      </c>
      <c r="V103" s="56" t="s">
        <v>2159</v>
      </c>
      <c r="W103" s="56" t="s">
        <v>2160</v>
      </c>
      <c r="X103" s="56" t="s">
        <v>2195</v>
      </c>
      <c r="Y103" s="56" t="s">
        <v>2196</v>
      </c>
      <c r="Z103" s="56" t="s">
        <v>2197</v>
      </c>
      <c r="AA103" s="56" t="s">
        <v>2198</v>
      </c>
      <c r="AB103" s="56" t="s">
        <v>2199</v>
      </c>
      <c r="AC103" s="56" t="s">
        <v>1502</v>
      </c>
      <c r="AE103" s="56" t="s">
        <v>1493</v>
      </c>
      <c r="AI103" s="56" t="s">
        <v>2200</v>
      </c>
    </row>
    <row r="104" spans="1:35" ht="101.5" x14ac:dyDescent="0.35">
      <c r="A104" s="56" t="s">
        <v>2181</v>
      </c>
      <c r="B104" s="56" t="s">
        <v>1451</v>
      </c>
      <c r="C104" s="56" t="s">
        <v>1452</v>
      </c>
      <c r="D104" s="56" t="s">
        <v>1224</v>
      </c>
      <c r="E104" s="56" t="s">
        <v>1453</v>
      </c>
      <c r="G104" s="56" t="s">
        <v>1279</v>
      </c>
      <c r="H104" s="56" t="s">
        <v>1336</v>
      </c>
      <c r="J104" s="56" t="s">
        <v>1239</v>
      </c>
      <c r="K104" s="56" t="s">
        <v>1332</v>
      </c>
      <c r="L104" s="56" t="s">
        <v>1333</v>
      </c>
      <c r="M104" s="56" t="s">
        <v>1334</v>
      </c>
      <c r="N104" s="56" t="s">
        <v>1335</v>
      </c>
      <c r="O104" s="56" t="s">
        <v>2152</v>
      </c>
      <c r="P104" s="56" t="s">
        <v>2153</v>
      </c>
      <c r="Q104" s="56" t="s">
        <v>2154</v>
      </c>
      <c r="R104" s="56" t="s">
        <v>2155</v>
      </c>
      <c r="S104" s="56" t="s">
        <v>2156</v>
      </c>
      <c r="T104" s="56" t="s">
        <v>2157</v>
      </c>
      <c r="U104" s="56" t="s">
        <v>2158</v>
      </c>
      <c r="V104" s="56" t="s">
        <v>2159</v>
      </c>
      <c r="W104" s="56" t="s">
        <v>2160</v>
      </c>
      <c r="X104" s="56" t="s">
        <v>2195</v>
      </c>
      <c r="Y104" s="56" t="s">
        <v>2196</v>
      </c>
      <c r="Z104" s="56" t="s">
        <v>2197</v>
      </c>
      <c r="AA104" s="56" t="s">
        <v>2198</v>
      </c>
      <c r="AB104" s="56" t="s">
        <v>2199</v>
      </c>
      <c r="AC104" s="56" t="s">
        <v>1503</v>
      </c>
      <c r="AE104" s="56" t="s">
        <v>1493</v>
      </c>
      <c r="AI104" s="56" t="s">
        <v>2200</v>
      </c>
    </row>
    <row r="105" spans="1:35" ht="101.5" x14ac:dyDescent="0.35">
      <c r="A105" s="56" t="s">
        <v>2181</v>
      </c>
      <c r="B105" s="56" t="s">
        <v>1451</v>
      </c>
      <c r="C105" s="56" t="s">
        <v>1452</v>
      </c>
      <c r="D105" s="56" t="s">
        <v>1224</v>
      </c>
      <c r="E105" s="56" t="s">
        <v>1453</v>
      </c>
      <c r="G105" s="56" t="s">
        <v>1279</v>
      </c>
      <c r="H105" s="56" t="s">
        <v>1336</v>
      </c>
      <c r="J105" s="56" t="s">
        <v>1239</v>
      </c>
      <c r="K105" s="56" t="s">
        <v>1332</v>
      </c>
      <c r="L105" s="56" t="s">
        <v>1333</v>
      </c>
      <c r="M105" s="56" t="s">
        <v>1334</v>
      </c>
      <c r="N105" s="56" t="s">
        <v>1335</v>
      </c>
      <c r="O105" s="56" t="s">
        <v>2152</v>
      </c>
      <c r="P105" s="56" t="s">
        <v>2153</v>
      </c>
      <c r="Q105" s="56" t="s">
        <v>2154</v>
      </c>
      <c r="R105" s="56" t="s">
        <v>2155</v>
      </c>
      <c r="S105" s="56" t="s">
        <v>2156</v>
      </c>
      <c r="T105" s="56" t="s">
        <v>2157</v>
      </c>
      <c r="U105" s="56" t="s">
        <v>2158</v>
      </c>
      <c r="V105" s="56" t="s">
        <v>2159</v>
      </c>
      <c r="W105" s="56" t="s">
        <v>2160</v>
      </c>
      <c r="X105" s="56" t="s">
        <v>2195</v>
      </c>
      <c r="Y105" s="56" t="s">
        <v>2196</v>
      </c>
      <c r="Z105" s="56" t="s">
        <v>2197</v>
      </c>
      <c r="AA105" s="56" t="s">
        <v>2198</v>
      </c>
      <c r="AB105" s="56" t="s">
        <v>2199</v>
      </c>
      <c r="AC105" s="56" t="s">
        <v>1504</v>
      </c>
      <c r="AE105" s="56" t="s">
        <v>1493</v>
      </c>
      <c r="AI105" s="56" t="s">
        <v>2200</v>
      </c>
    </row>
    <row r="106" spans="1:35" ht="101.5" x14ac:dyDescent="0.35">
      <c r="A106" s="56" t="s">
        <v>2181</v>
      </c>
      <c r="B106" s="56" t="s">
        <v>1451</v>
      </c>
      <c r="C106" s="56" t="s">
        <v>1452</v>
      </c>
      <c r="D106" s="56" t="s">
        <v>1224</v>
      </c>
      <c r="E106" s="56" t="s">
        <v>1453</v>
      </c>
      <c r="G106" s="56" t="s">
        <v>1279</v>
      </c>
      <c r="H106" s="56" t="s">
        <v>1336</v>
      </c>
      <c r="J106" s="56" t="s">
        <v>1239</v>
      </c>
      <c r="K106" s="56" t="s">
        <v>1332</v>
      </c>
      <c r="L106" s="56" t="s">
        <v>1333</v>
      </c>
      <c r="M106" s="56" t="s">
        <v>1334</v>
      </c>
      <c r="N106" s="56" t="s">
        <v>1335</v>
      </c>
      <c r="O106" s="56" t="s">
        <v>2152</v>
      </c>
      <c r="P106" s="56" t="s">
        <v>2153</v>
      </c>
      <c r="Q106" s="56" t="s">
        <v>2154</v>
      </c>
      <c r="R106" s="56" t="s">
        <v>2155</v>
      </c>
      <c r="S106" s="56" t="s">
        <v>2156</v>
      </c>
      <c r="T106" s="56" t="s">
        <v>2157</v>
      </c>
      <c r="U106" s="56" t="s">
        <v>2158</v>
      </c>
      <c r="V106" s="56" t="s">
        <v>2159</v>
      </c>
      <c r="W106" s="56" t="s">
        <v>2160</v>
      </c>
      <c r="X106" s="56" t="s">
        <v>2195</v>
      </c>
      <c r="Y106" s="56" t="s">
        <v>2196</v>
      </c>
      <c r="Z106" s="56" t="s">
        <v>2197</v>
      </c>
      <c r="AA106" s="56" t="s">
        <v>2198</v>
      </c>
      <c r="AB106" s="56" t="s">
        <v>2199</v>
      </c>
      <c r="AC106" s="56" t="s">
        <v>1505</v>
      </c>
      <c r="AE106" s="56" t="s">
        <v>1493</v>
      </c>
      <c r="AI106" s="56" t="s">
        <v>2200</v>
      </c>
    </row>
    <row r="107" spans="1:35" ht="101.5" x14ac:dyDescent="0.35">
      <c r="A107" s="56" t="s">
        <v>2181</v>
      </c>
      <c r="B107" s="56" t="s">
        <v>1451</v>
      </c>
      <c r="C107" s="56" t="s">
        <v>1452</v>
      </c>
      <c r="D107" s="56" t="s">
        <v>1224</v>
      </c>
      <c r="E107" s="56" t="s">
        <v>1453</v>
      </c>
      <c r="G107" s="56" t="s">
        <v>1279</v>
      </c>
      <c r="H107" s="56" t="s">
        <v>1336</v>
      </c>
      <c r="J107" s="56" t="s">
        <v>1239</v>
      </c>
      <c r="K107" s="56" t="s">
        <v>1332</v>
      </c>
      <c r="L107" s="56" t="s">
        <v>1333</v>
      </c>
      <c r="M107" s="56" t="s">
        <v>1334</v>
      </c>
      <c r="N107" s="56" t="s">
        <v>1335</v>
      </c>
      <c r="O107" s="56" t="s">
        <v>2152</v>
      </c>
      <c r="P107" s="56" t="s">
        <v>2153</v>
      </c>
      <c r="Q107" s="56" t="s">
        <v>2154</v>
      </c>
      <c r="R107" s="56" t="s">
        <v>2155</v>
      </c>
      <c r="S107" s="56" t="s">
        <v>2156</v>
      </c>
      <c r="T107" s="56" t="s">
        <v>2157</v>
      </c>
      <c r="U107" s="56" t="s">
        <v>2158</v>
      </c>
      <c r="V107" s="56" t="s">
        <v>2159</v>
      </c>
      <c r="W107" s="56" t="s">
        <v>2160</v>
      </c>
      <c r="X107" s="56" t="s">
        <v>2195</v>
      </c>
      <c r="Y107" s="56" t="s">
        <v>2196</v>
      </c>
      <c r="Z107" s="56" t="s">
        <v>2197</v>
      </c>
      <c r="AA107" s="56" t="s">
        <v>2198</v>
      </c>
      <c r="AB107" s="56" t="s">
        <v>2199</v>
      </c>
      <c r="AC107" s="56" t="s">
        <v>1506</v>
      </c>
      <c r="AE107" s="56" t="s">
        <v>1493</v>
      </c>
      <c r="AI107" s="56" t="s">
        <v>2200</v>
      </c>
    </row>
    <row r="108" spans="1:35" ht="101.5" x14ac:dyDescent="0.35">
      <c r="A108" s="56" t="s">
        <v>2181</v>
      </c>
      <c r="B108" s="56" t="s">
        <v>1451</v>
      </c>
      <c r="C108" s="56" t="s">
        <v>1452</v>
      </c>
      <c r="D108" s="56" t="s">
        <v>1224</v>
      </c>
      <c r="E108" s="56" t="s">
        <v>1453</v>
      </c>
      <c r="G108" s="56" t="s">
        <v>1279</v>
      </c>
      <c r="H108" s="56" t="s">
        <v>1336</v>
      </c>
      <c r="J108" s="56" t="s">
        <v>1239</v>
      </c>
      <c r="K108" s="56" t="s">
        <v>1332</v>
      </c>
      <c r="L108" s="56" t="s">
        <v>1333</v>
      </c>
      <c r="M108" s="56" t="s">
        <v>1334</v>
      </c>
      <c r="N108" s="56" t="s">
        <v>1335</v>
      </c>
      <c r="O108" s="56" t="s">
        <v>2152</v>
      </c>
      <c r="P108" s="56" t="s">
        <v>2153</v>
      </c>
      <c r="Q108" s="56" t="s">
        <v>2154</v>
      </c>
      <c r="R108" s="56" t="s">
        <v>2155</v>
      </c>
      <c r="S108" s="56" t="s">
        <v>2156</v>
      </c>
      <c r="T108" s="56" t="s">
        <v>2157</v>
      </c>
      <c r="U108" s="56" t="s">
        <v>2158</v>
      </c>
      <c r="V108" s="56" t="s">
        <v>2159</v>
      </c>
      <c r="W108" s="56" t="s">
        <v>2160</v>
      </c>
      <c r="X108" s="56" t="s">
        <v>2195</v>
      </c>
      <c r="Y108" s="56" t="s">
        <v>2196</v>
      </c>
      <c r="Z108" s="56" t="s">
        <v>2197</v>
      </c>
      <c r="AA108" s="56" t="s">
        <v>2198</v>
      </c>
      <c r="AB108" s="56" t="s">
        <v>2199</v>
      </c>
      <c r="AC108" s="56" t="s">
        <v>1507</v>
      </c>
      <c r="AE108" s="56" t="s">
        <v>1493</v>
      </c>
      <c r="AI108" s="56" t="s">
        <v>2200</v>
      </c>
    </row>
    <row r="109" spans="1:35" ht="159.5" x14ac:dyDescent="0.35">
      <c r="A109" s="56" t="s">
        <v>2181</v>
      </c>
      <c r="B109" s="56" t="s">
        <v>1451</v>
      </c>
      <c r="C109" s="56" t="s">
        <v>1452</v>
      </c>
      <c r="D109" s="56" t="s">
        <v>1224</v>
      </c>
      <c r="E109" s="56" t="s">
        <v>1453</v>
      </c>
      <c r="G109" s="56" t="s">
        <v>1279</v>
      </c>
      <c r="H109" s="56" t="s">
        <v>1336</v>
      </c>
      <c r="J109" s="56" t="s">
        <v>1239</v>
      </c>
      <c r="K109" s="56" t="s">
        <v>1332</v>
      </c>
      <c r="L109" s="56" t="s">
        <v>1333</v>
      </c>
      <c r="M109" s="56" t="s">
        <v>1334</v>
      </c>
      <c r="N109" s="56" t="s">
        <v>1335</v>
      </c>
      <c r="O109" s="56" t="s">
        <v>2152</v>
      </c>
      <c r="P109" s="56" t="s">
        <v>2153</v>
      </c>
      <c r="Q109" s="56" t="s">
        <v>2154</v>
      </c>
      <c r="R109" s="56" t="s">
        <v>2155</v>
      </c>
      <c r="S109" s="56" t="s">
        <v>2156</v>
      </c>
      <c r="T109" s="56" t="s">
        <v>2157</v>
      </c>
      <c r="U109" s="56" t="s">
        <v>2158</v>
      </c>
      <c r="V109" s="56" t="s">
        <v>2159</v>
      </c>
      <c r="W109" s="56" t="s">
        <v>2160</v>
      </c>
      <c r="X109" s="56" t="s">
        <v>2195</v>
      </c>
      <c r="Y109" s="56" t="s">
        <v>2196</v>
      </c>
      <c r="Z109" s="56" t="s">
        <v>2197</v>
      </c>
      <c r="AA109" s="56" t="s">
        <v>2198</v>
      </c>
      <c r="AB109" s="56" t="s">
        <v>2199</v>
      </c>
      <c r="AC109" s="56" t="s">
        <v>1508</v>
      </c>
      <c r="AE109" s="56" t="s">
        <v>1493</v>
      </c>
      <c r="AF109" s="56" t="s">
        <v>2060</v>
      </c>
      <c r="AG109" s="56" t="s">
        <v>2203</v>
      </c>
      <c r="AH109" s="56" t="s">
        <v>2204</v>
      </c>
      <c r="AI109" s="56" t="s">
        <v>2200</v>
      </c>
    </row>
    <row r="110" spans="1:35" ht="101.5" x14ac:dyDescent="0.35">
      <c r="A110" s="56" t="s">
        <v>2181</v>
      </c>
      <c r="B110" s="56" t="s">
        <v>1451</v>
      </c>
      <c r="C110" s="56" t="s">
        <v>1452</v>
      </c>
      <c r="D110" s="56" t="s">
        <v>1224</v>
      </c>
      <c r="E110" s="56" t="s">
        <v>1453</v>
      </c>
      <c r="G110" s="56" t="s">
        <v>1279</v>
      </c>
      <c r="H110" s="56" t="s">
        <v>1336</v>
      </c>
      <c r="J110" s="56" t="s">
        <v>1239</v>
      </c>
      <c r="K110" s="56" t="s">
        <v>1332</v>
      </c>
      <c r="L110" s="56" t="s">
        <v>1333</v>
      </c>
      <c r="M110" s="56" t="s">
        <v>1334</v>
      </c>
      <c r="N110" s="56" t="s">
        <v>1335</v>
      </c>
      <c r="O110" s="56" t="s">
        <v>2152</v>
      </c>
      <c r="P110" s="56" t="s">
        <v>2153</v>
      </c>
      <c r="Q110" s="56" t="s">
        <v>2154</v>
      </c>
      <c r="R110" s="56" t="s">
        <v>2155</v>
      </c>
      <c r="S110" s="56" t="s">
        <v>2156</v>
      </c>
      <c r="T110" s="56" t="s">
        <v>2157</v>
      </c>
      <c r="U110" s="56" t="s">
        <v>2158</v>
      </c>
      <c r="V110" s="56" t="s">
        <v>2159</v>
      </c>
      <c r="W110" s="56" t="s">
        <v>2160</v>
      </c>
      <c r="X110" s="56" t="s">
        <v>2195</v>
      </c>
      <c r="Y110" s="56" t="s">
        <v>2196</v>
      </c>
      <c r="Z110" s="56" t="s">
        <v>2197</v>
      </c>
      <c r="AA110" s="56" t="s">
        <v>2198</v>
      </c>
      <c r="AB110" s="56" t="s">
        <v>2199</v>
      </c>
      <c r="AC110" s="56" t="s">
        <v>1509</v>
      </c>
      <c r="AE110" s="56" t="s">
        <v>1493</v>
      </c>
      <c r="AI110" s="56" t="s">
        <v>2200</v>
      </c>
    </row>
    <row r="111" spans="1:35" ht="101.5" x14ac:dyDescent="0.35">
      <c r="A111" s="56" t="s">
        <v>2181</v>
      </c>
      <c r="B111" s="56" t="s">
        <v>1451</v>
      </c>
      <c r="C111" s="56" t="s">
        <v>1452</v>
      </c>
      <c r="D111" s="56" t="s">
        <v>1224</v>
      </c>
      <c r="E111" s="56" t="s">
        <v>1453</v>
      </c>
      <c r="G111" s="56" t="s">
        <v>1279</v>
      </c>
      <c r="H111" s="56" t="s">
        <v>1336</v>
      </c>
      <c r="J111" s="56" t="s">
        <v>1239</v>
      </c>
      <c r="K111" s="56" t="s">
        <v>1332</v>
      </c>
      <c r="L111" s="56" t="s">
        <v>1333</v>
      </c>
      <c r="M111" s="56" t="s">
        <v>1334</v>
      </c>
      <c r="N111" s="56" t="s">
        <v>1335</v>
      </c>
      <c r="O111" s="56" t="s">
        <v>2152</v>
      </c>
      <c r="P111" s="56" t="s">
        <v>2153</v>
      </c>
      <c r="Q111" s="56" t="s">
        <v>2154</v>
      </c>
      <c r="R111" s="56" t="s">
        <v>2155</v>
      </c>
      <c r="S111" s="56" t="s">
        <v>2156</v>
      </c>
      <c r="T111" s="56" t="s">
        <v>2157</v>
      </c>
      <c r="U111" s="56" t="s">
        <v>2158</v>
      </c>
      <c r="V111" s="56" t="s">
        <v>2159</v>
      </c>
      <c r="W111" s="56" t="s">
        <v>2160</v>
      </c>
      <c r="X111" s="56" t="s">
        <v>2195</v>
      </c>
      <c r="Y111" s="56" t="s">
        <v>2196</v>
      </c>
      <c r="Z111" s="56" t="s">
        <v>2197</v>
      </c>
      <c r="AA111" s="56" t="s">
        <v>2198</v>
      </c>
      <c r="AB111" s="56" t="s">
        <v>2199</v>
      </c>
      <c r="AC111" s="56" t="s">
        <v>1510</v>
      </c>
      <c r="AE111" s="56" t="s">
        <v>1493</v>
      </c>
      <c r="AI111" s="56" t="s">
        <v>2200</v>
      </c>
    </row>
    <row r="112" spans="1:35" ht="101.5" x14ac:dyDescent="0.35">
      <c r="A112" s="56" t="s">
        <v>2181</v>
      </c>
      <c r="B112" s="56" t="s">
        <v>1451</v>
      </c>
      <c r="C112" s="56" t="s">
        <v>1452</v>
      </c>
      <c r="D112" s="56" t="s">
        <v>1224</v>
      </c>
      <c r="E112" s="56" t="s">
        <v>1453</v>
      </c>
      <c r="G112" s="56" t="s">
        <v>1279</v>
      </c>
      <c r="H112" s="56" t="s">
        <v>1336</v>
      </c>
      <c r="J112" s="56" t="s">
        <v>1239</v>
      </c>
      <c r="K112" s="56" t="s">
        <v>1332</v>
      </c>
      <c r="L112" s="56" t="s">
        <v>1333</v>
      </c>
      <c r="M112" s="56" t="s">
        <v>1334</v>
      </c>
      <c r="N112" s="56" t="s">
        <v>1335</v>
      </c>
      <c r="O112" s="56" t="s">
        <v>2152</v>
      </c>
      <c r="P112" s="56" t="s">
        <v>2153</v>
      </c>
      <c r="Q112" s="56" t="s">
        <v>2154</v>
      </c>
      <c r="R112" s="56" t="s">
        <v>2155</v>
      </c>
      <c r="S112" s="56" t="s">
        <v>2156</v>
      </c>
      <c r="T112" s="56" t="s">
        <v>2157</v>
      </c>
      <c r="U112" s="56" t="s">
        <v>2158</v>
      </c>
      <c r="V112" s="56" t="s">
        <v>2159</v>
      </c>
      <c r="W112" s="56" t="s">
        <v>2160</v>
      </c>
      <c r="X112" s="56" t="s">
        <v>2195</v>
      </c>
      <c r="Y112" s="56" t="s">
        <v>2196</v>
      </c>
      <c r="Z112" s="56" t="s">
        <v>2197</v>
      </c>
      <c r="AA112" s="56" t="s">
        <v>2198</v>
      </c>
      <c r="AB112" s="56" t="s">
        <v>2199</v>
      </c>
      <c r="AC112" s="56" t="s">
        <v>1511</v>
      </c>
      <c r="AE112" s="56" t="s">
        <v>1493</v>
      </c>
      <c r="AI112" s="56" t="s">
        <v>2200</v>
      </c>
    </row>
    <row r="113" spans="1:35" ht="101.5" x14ac:dyDescent="0.35">
      <c r="A113" s="56" t="s">
        <v>2181</v>
      </c>
      <c r="B113" s="56" t="s">
        <v>1451</v>
      </c>
      <c r="C113" s="56" t="s">
        <v>1452</v>
      </c>
      <c r="D113" s="56" t="s">
        <v>1224</v>
      </c>
      <c r="E113" s="56" t="s">
        <v>1453</v>
      </c>
      <c r="G113" s="56" t="s">
        <v>1279</v>
      </c>
      <c r="H113" s="56" t="s">
        <v>1336</v>
      </c>
      <c r="J113" s="56" t="s">
        <v>1239</v>
      </c>
      <c r="K113" s="56" t="s">
        <v>1332</v>
      </c>
      <c r="L113" s="56" t="s">
        <v>1333</v>
      </c>
      <c r="M113" s="56" t="s">
        <v>1334</v>
      </c>
      <c r="N113" s="56" t="s">
        <v>1335</v>
      </c>
      <c r="O113" s="56" t="s">
        <v>2152</v>
      </c>
      <c r="P113" s="56" t="s">
        <v>2153</v>
      </c>
      <c r="Q113" s="56" t="s">
        <v>2154</v>
      </c>
      <c r="R113" s="56" t="s">
        <v>2155</v>
      </c>
      <c r="S113" s="56" t="s">
        <v>2156</v>
      </c>
      <c r="T113" s="56" t="s">
        <v>2157</v>
      </c>
      <c r="U113" s="56" t="s">
        <v>2158</v>
      </c>
      <c r="V113" s="56" t="s">
        <v>2159</v>
      </c>
      <c r="W113" s="56" t="s">
        <v>2160</v>
      </c>
      <c r="X113" s="56" t="s">
        <v>2195</v>
      </c>
      <c r="Y113" s="56" t="s">
        <v>2196</v>
      </c>
      <c r="Z113" s="56" t="s">
        <v>2197</v>
      </c>
      <c r="AA113" s="56" t="s">
        <v>2198</v>
      </c>
      <c r="AB113" s="56" t="s">
        <v>2199</v>
      </c>
      <c r="AC113" s="56" t="s">
        <v>1512</v>
      </c>
      <c r="AE113" s="56" t="s">
        <v>1493</v>
      </c>
      <c r="AI113" s="56" t="s">
        <v>2200</v>
      </c>
    </row>
    <row r="114" spans="1:35" ht="101.5" x14ac:dyDescent="0.35">
      <c r="A114" s="56" t="s">
        <v>2181</v>
      </c>
      <c r="B114" s="56" t="s">
        <v>1451</v>
      </c>
      <c r="C114" s="56" t="s">
        <v>1452</v>
      </c>
      <c r="D114" s="56" t="s">
        <v>1224</v>
      </c>
      <c r="E114" s="56" t="s">
        <v>1453</v>
      </c>
      <c r="G114" s="56" t="s">
        <v>1279</v>
      </c>
      <c r="H114" s="56" t="s">
        <v>1336</v>
      </c>
      <c r="J114" s="56" t="s">
        <v>1239</v>
      </c>
      <c r="K114" s="56" t="s">
        <v>1332</v>
      </c>
      <c r="L114" s="56" t="s">
        <v>1333</v>
      </c>
      <c r="M114" s="56" t="s">
        <v>1334</v>
      </c>
      <c r="N114" s="56" t="s">
        <v>1335</v>
      </c>
      <c r="O114" s="56" t="s">
        <v>2152</v>
      </c>
      <c r="P114" s="56" t="s">
        <v>2153</v>
      </c>
      <c r="Q114" s="56" t="s">
        <v>2154</v>
      </c>
      <c r="R114" s="56" t="s">
        <v>2155</v>
      </c>
      <c r="S114" s="56" t="s">
        <v>2156</v>
      </c>
      <c r="T114" s="56" t="s">
        <v>2157</v>
      </c>
      <c r="U114" s="56" t="s">
        <v>2158</v>
      </c>
      <c r="V114" s="56" t="s">
        <v>2159</v>
      </c>
      <c r="W114" s="56" t="s">
        <v>2160</v>
      </c>
      <c r="X114" s="56" t="s">
        <v>2195</v>
      </c>
      <c r="Y114" s="56" t="s">
        <v>2196</v>
      </c>
      <c r="Z114" s="56" t="s">
        <v>2197</v>
      </c>
      <c r="AA114" s="56" t="s">
        <v>2198</v>
      </c>
      <c r="AB114" s="56" t="s">
        <v>2199</v>
      </c>
      <c r="AC114" s="56" t="s">
        <v>1513</v>
      </c>
      <c r="AE114" s="56" t="s">
        <v>1493</v>
      </c>
      <c r="AI114" s="56" t="s">
        <v>2200</v>
      </c>
    </row>
    <row r="115" spans="1:35" ht="101.5" x14ac:dyDescent="0.35">
      <c r="A115" s="56" t="s">
        <v>2181</v>
      </c>
      <c r="B115" s="56" t="s">
        <v>1451</v>
      </c>
      <c r="C115" s="56" t="s">
        <v>1452</v>
      </c>
      <c r="D115" s="56" t="s">
        <v>1224</v>
      </c>
      <c r="E115" s="56" t="s">
        <v>1453</v>
      </c>
      <c r="G115" s="56" t="s">
        <v>1279</v>
      </c>
      <c r="H115" s="56" t="s">
        <v>1336</v>
      </c>
      <c r="J115" s="56" t="s">
        <v>1239</v>
      </c>
      <c r="K115" s="56" t="s">
        <v>1332</v>
      </c>
      <c r="L115" s="56" t="s">
        <v>1333</v>
      </c>
      <c r="M115" s="56" t="s">
        <v>1334</v>
      </c>
      <c r="N115" s="56" t="s">
        <v>1335</v>
      </c>
      <c r="O115" s="56" t="s">
        <v>2152</v>
      </c>
      <c r="P115" s="56" t="s">
        <v>2153</v>
      </c>
      <c r="Q115" s="56" t="s">
        <v>2154</v>
      </c>
      <c r="R115" s="56" t="s">
        <v>2155</v>
      </c>
      <c r="S115" s="56" t="s">
        <v>2156</v>
      </c>
      <c r="T115" s="56" t="s">
        <v>2157</v>
      </c>
      <c r="U115" s="56" t="s">
        <v>2158</v>
      </c>
      <c r="V115" s="56" t="s">
        <v>2159</v>
      </c>
      <c r="W115" s="56" t="s">
        <v>2160</v>
      </c>
      <c r="X115" s="56" t="s">
        <v>2195</v>
      </c>
      <c r="Y115" s="56" t="s">
        <v>2196</v>
      </c>
      <c r="Z115" s="56" t="s">
        <v>2197</v>
      </c>
      <c r="AA115" s="56" t="s">
        <v>2198</v>
      </c>
      <c r="AB115" s="56" t="s">
        <v>2199</v>
      </c>
      <c r="AC115" s="56" t="s">
        <v>1514</v>
      </c>
      <c r="AE115" s="56" t="s">
        <v>1493</v>
      </c>
      <c r="AI115" s="56" t="s">
        <v>2200</v>
      </c>
    </row>
    <row r="116" spans="1:35" ht="101.5" x14ac:dyDescent="0.35">
      <c r="A116" s="56" t="s">
        <v>2181</v>
      </c>
      <c r="B116" s="56" t="s">
        <v>1451</v>
      </c>
      <c r="C116" s="56" t="s">
        <v>1452</v>
      </c>
      <c r="D116" s="56" t="s">
        <v>1224</v>
      </c>
      <c r="E116" s="56" t="s">
        <v>1453</v>
      </c>
      <c r="G116" s="56" t="s">
        <v>1279</v>
      </c>
      <c r="H116" s="56" t="s">
        <v>1336</v>
      </c>
      <c r="J116" s="56" t="s">
        <v>1239</v>
      </c>
      <c r="K116" s="56" t="s">
        <v>1332</v>
      </c>
      <c r="L116" s="56" t="s">
        <v>1333</v>
      </c>
      <c r="M116" s="56" t="s">
        <v>1334</v>
      </c>
      <c r="N116" s="56" t="s">
        <v>1335</v>
      </c>
      <c r="O116" s="56" t="s">
        <v>2152</v>
      </c>
      <c r="P116" s="56" t="s">
        <v>2153</v>
      </c>
      <c r="Q116" s="56" t="s">
        <v>2154</v>
      </c>
      <c r="R116" s="56" t="s">
        <v>2155</v>
      </c>
      <c r="S116" s="56" t="s">
        <v>2156</v>
      </c>
      <c r="T116" s="56" t="s">
        <v>2157</v>
      </c>
      <c r="U116" s="56" t="s">
        <v>2158</v>
      </c>
      <c r="V116" s="56" t="s">
        <v>2159</v>
      </c>
      <c r="W116" s="56" t="s">
        <v>2160</v>
      </c>
      <c r="X116" s="56" t="s">
        <v>2195</v>
      </c>
      <c r="Y116" s="56" t="s">
        <v>2196</v>
      </c>
      <c r="Z116" s="56" t="s">
        <v>2197</v>
      </c>
      <c r="AA116" s="56" t="s">
        <v>2198</v>
      </c>
      <c r="AB116" s="56" t="s">
        <v>2199</v>
      </c>
      <c r="AC116" s="56" t="s">
        <v>1515</v>
      </c>
      <c r="AE116" s="56" t="s">
        <v>1493</v>
      </c>
      <c r="AI116" s="56" t="s">
        <v>2200</v>
      </c>
    </row>
    <row r="117" spans="1:35" ht="101.5" x14ac:dyDescent="0.35">
      <c r="A117" s="56" t="s">
        <v>2181</v>
      </c>
      <c r="B117" s="56" t="s">
        <v>1451</v>
      </c>
      <c r="C117" s="56" t="s">
        <v>1452</v>
      </c>
      <c r="D117" s="56" t="s">
        <v>1224</v>
      </c>
      <c r="E117" s="56" t="s">
        <v>1453</v>
      </c>
      <c r="G117" s="56" t="s">
        <v>1279</v>
      </c>
      <c r="H117" s="56" t="s">
        <v>1336</v>
      </c>
      <c r="J117" s="56" t="s">
        <v>1239</v>
      </c>
      <c r="K117" s="56" t="s">
        <v>1332</v>
      </c>
      <c r="L117" s="56" t="s">
        <v>1333</v>
      </c>
      <c r="M117" s="56" t="s">
        <v>1334</v>
      </c>
      <c r="N117" s="56" t="s">
        <v>1335</v>
      </c>
      <c r="O117" s="56" t="s">
        <v>2152</v>
      </c>
      <c r="P117" s="56" t="s">
        <v>2153</v>
      </c>
      <c r="Q117" s="56" t="s">
        <v>2154</v>
      </c>
      <c r="R117" s="56" t="s">
        <v>2155</v>
      </c>
      <c r="S117" s="56" t="s">
        <v>2156</v>
      </c>
      <c r="T117" s="56" t="s">
        <v>2157</v>
      </c>
      <c r="U117" s="56" t="s">
        <v>2158</v>
      </c>
      <c r="V117" s="56" t="s">
        <v>2159</v>
      </c>
      <c r="W117" s="56" t="s">
        <v>2160</v>
      </c>
      <c r="X117" s="56" t="s">
        <v>2195</v>
      </c>
      <c r="Y117" s="56" t="s">
        <v>2196</v>
      </c>
      <c r="Z117" s="56" t="s">
        <v>2197</v>
      </c>
      <c r="AA117" s="56" t="s">
        <v>2198</v>
      </c>
      <c r="AB117" s="56" t="s">
        <v>2199</v>
      </c>
      <c r="AC117" s="56" t="s">
        <v>1516</v>
      </c>
      <c r="AE117" s="56" t="s">
        <v>1493</v>
      </c>
      <c r="AI117" s="56" t="s">
        <v>2200</v>
      </c>
    </row>
    <row r="118" spans="1:35" ht="101.5" x14ac:dyDescent="0.35">
      <c r="A118" s="56" t="s">
        <v>2181</v>
      </c>
      <c r="B118" s="56" t="s">
        <v>1451</v>
      </c>
      <c r="C118" s="56" t="s">
        <v>1452</v>
      </c>
      <c r="D118" s="56" t="s">
        <v>1224</v>
      </c>
      <c r="E118" s="56" t="s">
        <v>1453</v>
      </c>
      <c r="G118" s="56" t="s">
        <v>1279</v>
      </c>
      <c r="H118" s="56" t="s">
        <v>1336</v>
      </c>
      <c r="J118" s="56" t="s">
        <v>1239</v>
      </c>
      <c r="K118" s="56" t="s">
        <v>1332</v>
      </c>
      <c r="L118" s="56" t="s">
        <v>1333</v>
      </c>
      <c r="M118" s="56" t="s">
        <v>1334</v>
      </c>
      <c r="N118" s="56" t="s">
        <v>1335</v>
      </c>
      <c r="O118" s="56" t="s">
        <v>2152</v>
      </c>
      <c r="P118" s="56" t="s">
        <v>2153</v>
      </c>
      <c r="Q118" s="56" t="s">
        <v>2154</v>
      </c>
      <c r="R118" s="56" t="s">
        <v>2155</v>
      </c>
      <c r="S118" s="56" t="s">
        <v>2156</v>
      </c>
      <c r="T118" s="56" t="s">
        <v>2157</v>
      </c>
      <c r="U118" s="56" t="s">
        <v>2158</v>
      </c>
      <c r="V118" s="56" t="s">
        <v>2159</v>
      </c>
      <c r="W118" s="56" t="s">
        <v>2160</v>
      </c>
      <c r="X118" s="56" t="s">
        <v>2195</v>
      </c>
      <c r="Y118" s="56" t="s">
        <v>2196</v>
      </c>
      <c r="Z118" s="56" t="s">
        <v>2197</v>
      </c>
      <c r="AA118" s="56" t="s">
        <v>2198</v>
      </c>
      <c r="AB118" s="56" t="s">
        <v>2199</v>
      </c>
      <c r="AC118" s="56" t="s">
        <v>1517</v>
      </c>
      <c r="AE118" s="56" t="s">
        <v>1493</v>
      </c>
      <c r="AI118" s="56" t="s">
        <v>2200</v>
      </c>
    </row>
    <row r="119" spans="1:35" ht="101.5" x14ac:dyDescent="0.35">
      <c r="A119" s="56" t="s">
        <v>2181</v>
      </c>
      <c r="B119" s="56" t="s">
        <v>1451</v>
      </c>
      <c r="C119" s="56" t="s">
        <v>1452</v>
      </c>
      <c r="D119" s="56" t="s">
        <v>1224</v>
      </c>
      <c r="E119" s="56" t="s">
        <v>1453</v>
      </c>
      <c r="G119" s="56" t="s">
        <v>1279</v>
      </c>
      <c r="H119" s="56" t="s">
        <v>1336</v>
      </c>
      <c r="J119" s="56" t="s">
        <v>1239</v>
      </c>
      <c r="K119" s="56" t="s">
        <v>1332</v>
      </c>
      <c r="L119" s="56" t="s">
        <v>1333</v>
      </c>
      <c r="M119" s="56" t="s">
        <v>1334</v>
      </c>
      <c r="N119" s="56" t="s">
        <v>1335</v>
      </c>
      <c r="O119" s="56" t="s">
        <v>2152</v>
      </c>
      <c r="P119" s="56" t="s">
        <v>2153</v>
      </c>
      <c r="Q119" s="56" t="s">
        <v>2154</v>
      </c>
      <c r="R119" s="56" t="s">
        <v>2155</v>
      </c>
      <c r="S119" s="56" t="s">
        <v>2156</v>
      </c>
      <c r="T119" s="56" t="s">
        <v>2157</v>
      </c>
      <c r="U119" s="56" t="s">
        <v>2158</v>
      </c>
      <c r="V119" s="56" t="s">
        <v>2159</v>
      </c>
      <c r="W119" s="56" t="s">
        <v>2160</v>
      </c>
      <c r="X119" s="56" t="s">
        <v>2195</v>
      </c>
      <c r="Y119" s="56" t="s">
        <v>2196</v>
      </c>
      <c r="Z119" s="56" t="s">
        <v>2197</v>
      </c>
      <c r="AA119" s="56" t="s">
        <v>2198</v>
      </c>
      <c r="AB119" s="56" t="s">
        <v>2199</v>
      </c>
      <c r="AC119" s="56" t="s">
        <v>1524</v>
      </c>
      <c r="AE119" s="56" t="s">
        <v>1493</v>
      </c>
      <c r="AI119" s="56" t="s">
        <v>2200</v>
      </c>
    </row>
    <row r="120" spans="1:35" ht="101.5" x14ac:dyDescent="0.35">
      <c r="A120" s="56" t="s">
        <v>2181</v>
      </c>
      <c r="B120" s="56" t="s">
        <v>1451</v>
      </c>
      <c r="C120" s="56" t="s">
        <v>1452</v>
      </c>
      <c r="D120" s="56" t="s">
        <v>1224</v>
      </c>
      <c r="E120" s="56" t="s">
        <v>1453</v>
      </c>
      <c r="G120" s="56" t="s">
        <v>1279</v>
      </c>
      <c r="H120" s="56" t="s">
        <v>1336</v>
      </c>
      <c r="J120" s="56" t="s">
        <v>1239</v>
      </c>
      <c r="K120" s="56" t="s">
        <v>1332</v>
      </c>
      <c r="L120" s="56" t="s">
        <v>1333</v>
      </c>
      <c r="M120" s="56" t="s">
        <v>1334</v>
      </c>
      <c r="N120" s="56" t="s">
        <v>1335</v>
      </c>
      <c r="O120" s="56" t="s">
        <v>2152</v>
      </c>
      <c r="P120" s="56" t="s">
        <v>2153</v>
      </c>
      <c r="Q120" s="56" t="s">
        <v>2154</v>
      </c>
      <c r="R120" s="56" t="s">
        <v>2155</v>
      </c>
      <c r="S120" s="56" t="s">
        <v>2156</v>
      </c>
      <c r="T120" s="56" t="s">
        <v>2157</v>
      </c>
      <c r="U120" s="56" t="s">
        <v>2158</v>
      </c>
      <c r="V120" s="56" t="s">
        <v>2159</v>
      </c>
      <c r="W120" s="56" t="s">
        <v>2160</v>
      </c>
      <c r="X120" s="56" t="s">
        <v>2195</v>
      </c>
      <c r="Y120" s="56" t="s">
        <v>2196</v>
      </c>
      <c r="Z120" s="56" t="s">
        <v>2197</v>
      </c>
      <c r="AA120" s="56" t="s">
        <v>2198</v>
      </c>
      <c r="AB120" s="56" t="s">
        <v>2199</v>
      </c>
      <c r="AC120" s="56" t="s">
        <v>1528</v>
      </c>
      <c r="AE120" s="56" t="s">
        <v>1493</v>
      </c>
      <c r="AI120" s="56" t="s">
        <v>2200</v>
      </c>
    </row>
    <row r="121" spans="1:35" ht="101.5" x14ac:dyDescent="0.35">
      <c r="A121" s="56" t="s">
        <v>2181</v>
      </c>
      <c r="B121" s="56" t="s">
        <v>1451</v>
      </c>
      <c r="C121" s="56" t="s">
        <v>1452</v>
      </c>
      <c r="D121" s="56" t="s">
        <v>1224</v>
      </c>
      <c r="E121" s="56" t="s">
        <v>1453</v>
      </c>
      <c r="G121" s="56" t="s">
        <v>1279</v>
      </c>
      <c r="H121" s="56" t="s">
        <v>1336</v>
      </c>
      <c r="J121" s="56" t="s">
        <v>1239</v>
      </c>
      <c r="K121" s="56" t="s">
        <v>1332</v>
      </c>
      <c r="L121" s="56" t="s">
        <v>1333</v>
      </c>
      <c r="M121" s="56" t="s">
        <v>1334</v>
      </c>
      <c r="N121" s="56" t="s">
        <v>1335</v>
      </c>
      <c r="O121" s="56" t="s">
        <v>2152</v>
      </c>
      <c r="P121" s="56" t="s">
        <v>2153</v>
      </c>
      <c r="Q121" s="56" t="s">
        <v>2154</v>
      </c>
      <c r="R121" s="56" t="s">
        <v>2155</v>
      </c>
      <c r="S121" s="56" t="s">
        <v>2156</v>
      </c>
      <c r="T121" s="56" t="s">
        <v>2157</v>
      </c>
      <c r="U121" s="56" t="s">
        <v>2158</v>
      </c>
      <c r="V121" s="56" t="s">
        <v>2159</v>
      </c>
      <c r="W121" s="56" t="s">
        <v>2160</v>
      </c>
      <c r="X121" s="56" t="s">
        <v>2195</v>
      </c>
      <c r="Y121" s="56" t="s">
        <v>2196</v>
      </c>
      <c r="Z121" s="56" t="s">
        <v>2197</v>
      </c>
      <c r="AA121" s="56" t="s">
        <v>2198</v>
      </c>
      <c r="AB121" s="56" t="s">
        <v>2199</v>
      </c>
      <c r="AC121" s="56" t="s">
        <v>1529</v>
      </c>
      <c r="AE121" s="56" t="s">
        <v>1493</v>
      </c>
      <c r="AI121" s="56" t="s">
        <v>2200</v>
      </c>
    </row>
    <row r="122" spans="1:35" ht="101.5" x14ac:dyDescent="0.35">
      <c r="A122" s="56" t="s">
        <v>2181</v>
      </c>
      <c r="B122" s="56" t="s">
        <v>1451</v>
      </c>
      <c r="C122" s="56" t="s">
        <v>1452</v>
      </c>
      <c r="D122" s="56" t="s">
        <v>1224</v>
      </c>
      <c r="E122" s="56" t="s">
        <v>1453</v>
      </c>
      <c r="G122" s="56" t="s">
        <v>1279</v>
      </c>
      <c r="H122" s="56" t="s">
        <v>1336</v>
      </c>
      <c r="J122" s="56" t="s">
        <v>1239</v>
      </c>
      <c r="K122" s="56" t="s">
        <v>1332</v>
      </c>
      <c r="L122" s="56" t="s">
        <v>1333</v>
      </c>
      <c r="M122" s="56" t="s">
        <v>1334</v>
      </c>
      <c r="N122" s="56" t="s">
        <v>1335</v>
      </c>
      <c r="O122" s="56" t="s">
        <v>2152</v>
      </c>
      <c r="P122" s="56" t="s">
        <v>2153</v>
      </c>
      <c r="Q122" s="56" t="s">
        <v>2154</v>
      </c>
      <c r="R122" s="56" t="s">
        <v>2155</v>
      </c>
      <c r="S122" s="56" t="s">
        <v>2156</v>
      </c>
      <c r="T122" s="56" t="s">
        <v>2157</v>
      </c>
      <c r="U122" s="56" t="s">
        <v>2158</v>
      </c>
      <c r="V122" s="56" t="s">
        <v>2159</v>
      </c>
      <c r="W122" s="56" t="s">
        <v>2160</v>
      </c>
      <c r="X122" s="56" t="s">
        <v>2195</v>
      </c>
      <c r="Y122" s="56" t="s">
        <v>2196</v>
      </c>
      <c r="Z122" s="56" t="s">
        <v>2197</v>
      </c>
      <c r="AA122" s="56" t="s">
        <v>2198</v>
      </c>
      <c r="AB122" s="56" t="s">
        <v>2199</v>
      </c>
      <c r="AC122" s="56" t="s">
        <v>1530</v>
      </c>
      <c r="AE122" s="56" t="s">
        <v>1493</v>
      </c>
      <c r="AI122" s="56" t="s">
        <v>2200</v>
      </c>
    </row>
    <row r="123" spans="1:35" ht="101.5" x14ac:dyDescent="0.35">
      <c r="A123" s="56" t="s">
        <v>2181</v>
      </c>
      <c r="B123" s="56" t="s">
        <v>1451</v>
      </c>
      <c r="C123" s="56" t="s">
        <v>1452</v>
      </c>
      <c r="D123" s="56" t="s">
        <v>1224</v>
      </c>
      <c r="E123" s="56" t="s">
        <v>1453</v>
      </c>
      <c r="G123" s="56" t="s">
        <v>1279</v>
      </c>
      <c r="H123" s="56" t="s">
        <v>1336</v>
      </c>
      <c r="J123" s="56" t="s">
        <v>1239</v>
      </c>
      <c r="K123" s="56" t="s">
        <v>1332</v>
      </c>
      <c r="L123" s="56" t="s">
        <v>1333</v>
      </c>
      <c r="M123" s="56" t="s">
        <v>1334</v>
      </c>
      <c r="N123" s="56" t="s">
        <v>1335</v>
      </c>
      <c r="O123" s="56" t="s">
        <v>2152</v>
      </c>
      <c r="P123" s="56" t="s">
        <v>2153</v>
      </c>
      <c r="Q123" s="56" t="s">
        <v>2154</v>
      </c>
      <c r="R123" s="56" t="s">
        <v>2155</v>
      </c>
      <c r="S123" s="56" t="s">
        <v>2156</v>
      </c>
      <c r="T123" s="56" t="s">
        <v>2157</v>
      </c>
      <c r="U123" s="56" t="s">
        <v>2158</v>
      </c>
      <c r="V123" s="56" t="s">
        <v>2159</v>
      </c>
      <c r="W123" s="56" t="s">
        <v>2160</v>
      </c>
      <c r="X123" s="56" t="s">
        <v>2195</v>
      </c>
      <c r="Y123" s="56" t="s">
        <v>2196</v>
      </c>
      <c r="Z123" s="56" t="s">
        <v>2197</v>
      </c>
      <c r="AA123" s="56" t="s">
        <v>2198</v>
      </c>
      <c r="AB123" s="56" t="s">
        <v>2199</v>
      </c>
      <c r="AC123" s="56" t="s">
        <v>1531</v>
      </c>
      <c r="AE123" s="56" t="s">
        <v>1493</v>
      </c>
      <c r="AI123" s="56" t="s">
        <v>2200</v>
      </c>
    </row>
    <row r="124" spans="1:35" ht="101.5" x14ac:dyDescent="0.35">
      <c r="A124" s="56" t="s">
        <v>2181</v>
      </c>
      <c r="B124" s="56" t="s">
        <v>1451</v>
      </c>
      <c r="C124" s="56" t="s">
        <v>1452</v>
      </c>
      <c r="D124" s="56" t="s">
        <v>1224</v>
      </c>
      <c r="E124" s="56" t="s">
        <v>1453</v>
      </c>
      <c r="G124" s="56" t="s">
        <v>1279</v>
      </c>
      <c r="H124" s="56" t="s">
        <v>1336</v>
      </c>
      <c r="J124" s="56" t="s">
        <v>1239</v>
      </c>
      <c r="K124" s="56" t="s">
        <v>1332</v>
      </c>
      <c r="L124" s="56" t="s">
        <v>1333</v>
      </c>
      <c r="M124" s="56" t="s">
        <v>1334</v>
      </c>
      <c r="N124" s="56" t="s">
        <v>1335</v>
      </c>
      <c r="O124" s="56" t="s">
        <v>2152</v>
      </c>
      <c r="P124" s="56" t="s">
        <v>2153</v>
      </c>
      <c r="Q124" s="56" t="s">
        <v>2154</v>
      </c>
      <c r="R124" s="56" t="s">
        <v>2155</v>
      </c>
      <c r="S124" s="56" t="s">
        <v>2156</v>
      </c>
      <c r="T124" s="56" t="s">
        <v>2157</v>
      </c>
      <c r="U124" s="56" t="s">
        <v>2158</v>
      </c>
      <c r="V124" s="56" t="s">
        <v>2159</v>
      </c>
      <c r="W124" s="56" t="s">
        <v>2160</v>
      </c>
      <c r="X124" s="56" t="s">
        <v>2195</v>
      </c>
      <c r="Y124" s="56" t="s">
        <v>2196</v>
      </c>
      <c r="Z124" s="56" t="s">
        <v>2197</v>
      </c>
      <c r="AA124" s="56" t="s">
        <v>2198</v>
      </c>
      <c r="AB124" s="56" t="s">
        <v>2199</v>
      </c>
      <c r="AC124" s="56" t="s">
        <v>1532</v>
      </c>
      <c r="AE124" s="56" t="s">
        <v>1493</v>
      </c>
      <c r="AI124" s="56" t="s">
        <v>2200</v>
      </c>
    </row>
    <row r="125" spans="1:35" ht="275.5" x14ac:dyDescent="0.35">
      <c r="A125" s="56" t="s">
        <v>2205</v>
      </c>
      <c r="B125" s="56" t="s">
        <v>1451</v>
      </c>
      <c r="C125" s="56" t="s">
        <v>1452</v>
      </c>
      <c r="D125" s="56" t="s">
        <v>1224</v>
      </c>
      <c r="E125" s="56" t="s">
        <v>1453</v>
      </c>
      <c r="G125" s="56" t="s">
        <v>1291</v>
      </c>
      <c r="H125" s="56" t="s">
        <v>1379</v>
      </c>
      <c r="J125" s="56" t="s">
        <v>1290</v>
      </c>
      <c r="K125" s="56" t="s">
        <v>1375</v>
      </c>
      <c r="L125" s="56" t="s">
        <v>1376</v>
      </c>
      <c r="M125" s="56" t="s">
        <v>1377</v>
      </c>
      <c r="N125" s="56" t="s">
        <v>1378</v>
      </c>
      <c r="O125" s="56" t="s">
        <v>2152</v>
      </c>
      <c r="P125" s="56" t="s">
        <v>2153</v>
      </c>
      <c r="Q125" s="56" t="s">
        <v>2154</v>
      </c>
      <c r="R125" s="56" t="s">
        <v>2155</v>
      </c>
      <c r="S125" s="56" t="s">
        <v>2156</v>
      </c>
      <c r="T125" s="56" t="s">
        <v>2157</v>
      </c>
      <c r="U125" s="56" t="s">
        <v>2158</v>
      </c>
      <c r="V125" s="56" t="s">
        <v>2159</v>
      </c>
      <c r="W125" s="56" t="s">
        <v>2160</v>
      </c>
      <c r="X125" s="56" t="s">
        <v>2195</v>
      </c>
      <c r="Y125" s="56" t="s">
        <v>2196</v>
      </c>
      <c r="Z125" s="56" t="s">
        <v>2197</v>
      </c>
      <c r="AA125" s="56" t="s">
        <v>2198</v>
      </c>
      <c r="AB125" s="56" t="s">
        <v>2199</v>
      </c>
      <c r="AC125" s="56" t="s">
        <v>1454</v>
      </c>
      <c r="AD125" s="56" t="s">
        <v>1455</v>
      </c>
      <c r="AE125" s="56" t="s">
        <v>2046</v>
      </c>
      <c r="AF125" s="56" t="s">
        <v>2062</v>
      </c>
      <c r="AG125" s="56" t="s">
        <v>2206</v>
      </c>
      <c r="AH125" s="56" t="s">
        <v>2207</v>
      </c>
      <c r="AI125" s="56" t="s">
        <v>2208</v>
      </c>
    </row>
    <row r="126" spans="1:35" ht="130.5" x14ac:dyDescent="0.35">
      <c r="A126" s="56" t="s">
        <v>2205</v>
      </c>
      <c r="B126" s="56" t="s">
        <v>1451</v>
      </c>
      <c r="C126" s="56" t="s">
        <v>1452</v>
      </c>
      <c r="D126" s="56" t="s">
        <v>1224</v>
      </c>
      <c r="E126" s="56" t="s">
        <v>1453</v>
      </c>
      <c r="G126" s="56" t="s">
        <v>1291</v>
      </c>
      <c r="H126" s="56" t="s">
        <v>1379</v>
      </c>
      <c r="J126" s="56" t="s">
        <v>1290</v>
      </c>
      <c r="K126" s="56" t="s">
        <v>1375</v>
      </c>
      <c r="L126" s="56" t="s">
        <v>1376</v>
      </c>
      <c r="M126" s="56" t="s">
        <v>1377</v>
      </c>
      <c r="N126" s="56" t="s">
        <v>1378</v>
      </c>
      <c r="O126" s="56" t="s">
        <v>2152</v>
      </c>
      <c r="P126" s="56" t="s">
        <v>2153</v>
      </c>
      <c r="Q126" s="56" t="s">
        <v>2154</v>
      </c>
      <c r="R126" s="56" t="s">
        <v>2155</v>
      </c>
      <c r="S126" s="56" t="s">
        <v>2156</v>
      </c>
      <c r="T126" s="56" t="s">
        <v>2157</v>
      </c>
      <c r="U126" s="56" t="s">
        <v>2158</v>
      </c>
      <c r="V126" s="56" t="s">
        <v>2159</v>
      </c>
      <c r="W126" s="56" t="s">
        <v>2160</v>
      </c>
      <c r="X126" s="56" t="s">
        <v>2195</v>
      </c>
      <c r="Y126" s="56" t="s">
        <v>2196</v>
      </c>
      <c r="Z126" s="56" t="s">
        <v>2197</v>
      </c>
      <c r="AA126" s="56" t="s">
        <v>2198</v>
      </c>
      <c r="AB126" s="56" t="s">
        <v>2199</v>
      </c>
      <c r="AC126" s="56" t="s">
        <v>1463</v>
      </c>
      <c r="AD126" s="56" t="s">
        <v>1464</v>
      </c>
      <c r="AE126" s="56" t="s">
        <v>2046</v>
      </c>
      <c r="AI126" s="56" t="s">
        <v>2208</v>
      </c>
    </row>
    <row r="127" spans="1:35" ht="130.5" x14ac:dyDescent="0.35">
      <c r="A127" s="56" t="s">
        <v>2205</v>
      </c>
      <c r="B127" s="56" t="s">
        <v>1451</v>
      </c>
      <c r="C127" s="56" t="s">
        <v>1452</v>
      </c>
      <c r="D127" s="56" t="s">
        <v>1224</v>
      </c>
      <c r="E127" s="56" t="s">
        <v>1453</v>
      </c>
      <c r="G127" s="56" t="s">
        <v>1291</v>
      </c>
      <c r="H127" s="56" t="s">
        <v>1379</v>
      </c>
      <c r="J127" s="56" t="s">
        <v>1290</v>
      </c>
      <c r="K127" s="56" t="s">
        <v>1375</v>
      </c>
      <c r="L127" s="56" t="s">
        <v>1376</v>
      </c>
      <c r="M127" s="56" t="s">
        <v>1377</v>
      </c>
      <c r="N127" s="56" t="s">
        <v>1378</v>
      </c>
      <c r="O127" s="56" t="s">
        <v>2152</v>
      </c>
      <c r="P127" s="56" t="s">
        <v>2153</v>
      </c>
      <c r="Q127" s="56" t="s">
        <v>2154</v>
      </c>
      <c r="R127" s="56" t="s">
        <v>2155</v>
      </c>
      <c r="S127" s="56" t="s">
        <v>2156</v>
      </c>
      <c r="T127" s="56" t="s">
        <v>2157</v>
      </c>
      <c r="U127" s="56" t="s">
        <v>2158</v>
      </c>
      <c r="V127" s="56" t="s">
        <v>2159</v>
      </c>
      <c r="W127" s="56" t="s">
        <v>2160</v>
      </c>
      <c r="X127" s="56" t="s">
        <v>2195</v>
      </c>
      <c r="Y127" s="56" t="s">
        <v>2196</v>
      </c>
      <c r="Z127" s="56" t="s">
        <v>2197</v>
      </c>
      <c r="AA127" s="56" t="s">
        <v>2198</v>
      </c>
      <c r="AB127" s="56" t="s">
        <v>2199</v>
      </c>
      <c r="AC127" s="56" t="s">
        <v>1465</v>
      </c>
      <c r="AD127" s="56" t="s">
        <v>1466</v>
      </c>
      <c r="AE127" s="56" t="s">
        <v>2046</v>
      </c>
      <c r="AI127" s="56" t="s">
        <v>2208</v>
      </c>
    </row>
    <row r="128" spans="1:35" ht="130.5" x14ac:dyDescent="0.35">
      <c r="A128" s="56" t="s">
        <v>2205</v>
      </c>
      <c r="B128" s="56" t="s">
        <v>1451</v>
      </c>
      <c r="C128" s="56" t="s">
        <v>1452</v>
      </c>
      <c r="D128" s="56" t="s">
        <v>1224</v>
      </c>
      <c r="E128" s="56" t="s">
        <v>1453</v>
      </c>
      <c r="G128" s="56" t="s">
        <v>1291</v>
      </c>
      <c r="H128" s="56" t="s">
        <v>1379</v>
      </c>
      <c r="J128" s="56" t="s">
        <v>1290</v>
      </c>
      <c r="K128" s="56" t="s">
        <v>1375</v>
      </c>
      <c r="L128" s="56" t="s">
        <v>1376</v>
      </c>
      <c r="M128" s="56" t="s">
        <v>1377</v>
      </c>
      <c r="N128" s="56" t="s">
        <v>1378</v>
      </c>
      <c r="O128" s="56" t="s">
        <v>2152</v>
      </c>
      <c r="P128" s="56" t="s">
        <v>2153</v>
      </c>
      <c r="Q128" s="56" t="s">
        <v>2154</v>
      </c>
      <c r="R128" s="56" t="s">
        <v>2155</v>
      </c>
      <c r="S128" s="56" t="s">
        <v>2156</v>
      </c>
      <c r="T128" s="56" t="s">
        <v>2157</v>
      </c>
      <c r="U128" s="56" t="s">
        <v>2158</v>
      </c>
      <c r="V128" s="56" t="s">
        <v>2159</v>
      </c>
      <c r="W128" s="56" t="s">
        <v>2160</v>
      </c>
      <c r="X128" s="56" t="s">
        <v>2195</v>
      </c>
      <c r="Y128" s="56" t="s">
        <v>2196</v>
      </c>
      <c r="Z128" s="56" t="s">
        <v>2197</v>
      </c>
      <c r="AA128" s="56" t="s">
        <v>2198</v>
      </c>
      <c r="AB128" s="56" t="s">
        <v>2199</v>
      </c>
      <c r="AC128" s="56" t="s">
        <v>1467</v>
      </c>
      <c r="AD128" s="56" t="s">
        <v>1468</v>
      </c>
      <c r="AE128" s="56" t="s">
        <v>2046</v>
      </c>
      <c r="AI128" s="56" t="s">
        <v>2208</v>
      </c>
    </row>
    <row r="129" spans="1:35" ht="261" x14ac:dyDescent="0.35">
      <c r="A129" s="56" t="s">
        <v>2205</v>
      </c>
      <c r="B129" s="56" t="s">
        <v>1451</v>
      </c>
      <c r="C129" s="56" t="s">
        <v>1452</v>
      </c>
      <c r="D129" s="56" t="s">
        <v>1224</v>
      </c>
      <c r="E129" s="56" t="s">
        <v>1453</v>
      </c>
      <c r="G129" s="56" t="s">
        <v>1291</v>
      </c>
      <c r="H129" s="56" t="s">
        <v>1379</v>
      </c>
      <c r="J129" s="56" t="s">
        <v>1290</v>
      </c>
      <c r="K129" s="56" t="s">
        <v>1375</v>
      </c>
      <c r="L129" s="56" t="s">
        <v>1376</v>
      </c>
      <c r="M129" s="56" t="s">
        <v>1377</v>
      </c>
      <c r="N129" s="56" t="s">
        <v>1378</v>
      </c>
      <c r="O129" s="56" t="s">
        <v>2152</v>
      </c>
      <c r="P129" s="56" t="s">
        <v>2153</v>
      </c>
      <c r="Q129" s="56" t="s">
        <v>2154</v>
      </c>
      <c r="R129" s="56" t="s">
        <v>2155</v>
      </c>
      <c r="S129" s="56" t="s">
        <v>2156</v>
      </c>
      <c r="T129" s="56" t="s">
        <v>2157</v>
      </c>
      <c r="U129" s="56" t="s">
        <v>2158</v>
      </c>
      <c r="V129" s="56" t="s">
        <v>2159</v>
      </c>
      <c r="W129" s="56" t="s">
        <v>2160</v>
      </c>
      <c r="X129" s="56" t="s">
        <v>2195</v>
      </c>
      <c r="Y129" s="56" t="s">
        <v>2196</v>
      </c>
      <c r="Z129" s="56" t="s">
        <v>2197</v>
      </c>
      <c r="AA129" s="56" t="s">
        <v>2198</v>
      </c>
      <c r="AB129" s="56" t="s">
        <v>2199</v>
      </c>
      <c r="AC129" s="56" t="s">
        <v>1471</v>
      </c>
      <c r="AD129" s="56" t="s">
        <v>1472</v>
      </c>
      <c r="AE129" s="56" t="s">
        <v>2046</v>
      </c>
      <c r="AF129" s="56" t="s">
        <v>2064</v>
      </c>
      <c r="AG129" s="56" t="s">
        <v>2209</v>
      </c>
      <c r="AH129" s="56" t="s">
        <v>2210</v>
      </c>
      <c r="AI129" s="56" t="s">
        <v>2208</v>
      </c>
    </row>
    <row r="130" spans="1:35" ht="130.5" x14ac:dyDescent="0.35">
      <c r="A130" s="56" t="s">
        <v>2205</v>
      </c>
      <c r="B130" s="56" t="s">
        <v>1451</v>
      </c>
      <c r="C130" s="56" t="s">
        <v>1452</v>
      </c>
      <c r="D130" s="56" t="s">
        <v>1224</v>
      </c>
      <c r="E130" s="56" t="s">
        <v>1453</v>
      </c>
      <c r="G130" s="56" t="s">
        <v>1291</v>
      </c>
      <c r="H130" s="56" t="s">
        <v>1379</v>
      </c>
      <c r="J130" s="56" t="s">
        <v>1290</v>
      </c>
      <c r="K130" s="56" t="s">
        <v>1375</v>
      </c>
      <c r="L130" s="56" t="s">
        <v>1376</v>
      </c>
      <c r="M130" s="56" t="s">
        <v>1377</v>
      </c>
      <c r="N130" s="56" t="s">
        <v>1378</v>
      </c>
      <c r="O130" s="56" t="s">
        <v>2152</v>
      </c>
      <c r="P130" s="56" t="s">
        <v>2153</v>
      </c>
      <c r="Q130" s="56" t="s">
        <v>2154</v>
      </c>
      <c r="R130" s="56" t="s">
        <v>2155</v>
      </c>
      <c r="S130" s="56" t="s">
        <v>2156</v>
      </c>
      <c r="T130" s="56" t="s">
        <v>2157</v>
      </c>
      <c r="U130" s="56" t="s">
        <v>2158</v>
      </c>
      <c r="V130" s="56" t="s">
        <v>2159</v>
      </c>
      <c r="W130" s="56" t="s">
        <v>2160</v>
      </c>
      <c r="X130" s="56" t="s">
        <v>2195</v>
      </c>
      <c r="Y130" s="56" t="s">
        <v>2196</v>
      </c>
      <c r="Z130" s="56" t="s">
        <v>2197</v>
      </c>
      <c r="AA130" s="56" t="s">
        <v>2198</v>
      </c>
      <c r="AB130" s="56" t="s">
        <v>2199</v>
      </c>
      <c r="AC130" s="56" t="s">
        <v>1475</v>
      </c>
      <c r="AD130" s="56" t="s">
        <v>1476</v>
      </c>
      <c r="AE130" s="56" t="s">
        <v>2046</v>
      </c>
      <c r="AI130" s="56" t="s">
        <v>2208</v>
      </c>
    </row>
    <row r="131" spans="1:35" ht="246.5" x14ac:dyDescent="0.35">
      <c r="A131" s="56" t="s">
        <v>2205</v>
      </c>
      <c r="B131" s="56" t="s">
        <v>1451</v>
      </c>
      <c r="C131" s="56" t="s">
        <v>1452</v>
      </c>
      <c r="D131" s="56" t="s">
        <v>1224</v>
      </c>
      <c r="E131" s="56" t="s">
        <v>1453</v>
      </c>
      <c r="G131" s="56" t="s">
        <v>1291</v>
      </c>
      <c r="H131" s="56" t="s">
        <v>1379</v>
      </c>
      <c r="J131" s="56" t="s">
        <v>1290</v>
      </c>
      <c r="K131" s="56" t="s">
        <v>1375</v>
      </c>
      <c r="L131" s="56" t="s">
        <v>1376</v>
      </c>
      <c r="M131" s="56" t="s">
        <v>1377</v>
      </c>
      <c r="N131" s="56" t="s">
        <v>1378</v>
      </c>
      <c r="O131" s="56" t="s">
        <v>2152</v>
      </c>
      <c r="P131" s="56" t="s">
        <v>2153</v>
      </c>
      <c r="Q131" s="56" t="s">
        <v>2154</v>
      </c>
      <c r="R131" s="56" t="s">
        <v>2155</v>
      </c>
      <c r="S131" s="56" t="s">
        <v>2156</v>
      </c>
      <c r="T131" s="56" t="s">
        <v>2157</v>
      </c>
      <c r="U131" s="56" t="s">
        <v>2158</v>
      </c>
      <c r="V131" s="56" t="s">
        <v>2159</v>
      </c>
      <c r="W131" s="56" t="s">
        <v>2160</v>
      </c>
      <c r="X131" s="56" t="s">
        <v>2195</v>
      </c>
      <c r="Y131" s="56" t="s">
        <v>2196</v>
      </c>
      <c r="Z131" s="56" t="s">
        <v>2197</v>
      </c>
      <c r="AA131" s="56" t="s">
        <v>2198</v>
      </c>
      <c r="AB131" s="56" t="s">
        <v>2199</v>
      </c>
      <c r="AC131" s="56" t="s">
        <v>1477</v>
      </c>
      <c r="AD131" s="56" t="s">
        <v>1478</v>
      </c>
      <c r="AE131" s="56" t="s">
        <v>2046</v>
      </c>
      <c r="AF131" s="56" t="s">
        <v>2066</v>
      </c>
      <c r="AG131" s="56" t="s">
        <v>2211</v>
      </c>
      <c r="AH131" s="56" t="s">
        <v>2212</v>
      </c>
      <c r="AI131" s="56" t="s">
        <v>2208</v>
      </c>
    </row>
    <row r="132" spans="1:35" ht="130.5" x14ac:dyDescent="0.35">
      <c r="A132" s="56" t="s">
        <v>2205</v>
      </c>
      <c r="B132" s="56" t="s">
        <v>1451</v>
      </c>
      <c r="C132" s="56" t="s">
        <v>1452</v>
      </c>
      <c r="D132" s="56" t="s">
        <v>1224</v>
      </c>
      <c r="E132" s="56" t="s">
        <v>1453</v>
      </c>
      <c r="G132" s="56" t="s">
        <v>1291</v>
      </c>
      <c r="H132" s="56" t="s">
        <v>1379</v>
      </c>
      <c r="J132" s="56" t="s">
        <v>1290</v>
      </c>
      <c r="K132" s="56" t="s">
        <v>1375</v>
      </c>
      <c r="L132" s="56" t="s">
        <v>1376</v>
      </c>
      <c r="M132" s="56" t="s">
        <v>1377</v>
      </c>
      <c r="N132" s="56" t="s">
        <v>1378</v>
      </c>
      <c r="O132" s="56" t="s">
        <v>2152</v>
      </c>
      <c r="P132" s="56" t="s">
        <v>2153</v>
      </c>
      <c r="Q132" s="56" t="s">
        <v>2154</v>
      </c>
      <c r="R132" s="56" t="s">
        <v>2155</v>
      </c>
      <c r="S132" s="56" t="s">
        <v>2156</v>
      </c>
      <c r="T132" s="56" t="s">
        <v>2157</v>
      </c>
      <c r="U132" s="56" t="s">
        <v>2158</v>
      </c>
      <c r="V132" s="56" t="s">
        <v>2159</v>
      </c>
      <c r="W132" s="56" t="s">
        <v>2160</v>
      </c>
      <c r="X132" s="56" t="s">
        <v>2195</v>
      </c>
      <c r="Y132" s="56" t="s">
        <v>2196</v>
      </c>
      <c r="Z132" s="56" t="s">
        <v>2197</v>
      </c>
      <c r="AA132" s="56" t="s">
        <v>2198</v>
      </c>
      <c r="AB132" s="56" t="s">
        <v>2199</v>
      </c>
      <c r="AC132" s="56" t="s">
        <v>1481</v>
      </c>
      <c r="AD132" s="56" t="s">
        <v>1482</v>
      </c>
      <c r="AE132" s="56" t="s">
        <v>2046</v>
      </c>
      <c r="AI132" s="56" t="s">
        <v>2208</v>
      </c>
    </row>
    <row r="133" spans="1:35" ht="130.5" x14ac:dyDescent="0.35">
      <c r="A133" s="56" t="s">
        <v>2205</v>
      </c>
      <c r="B133" s="56" t="s">
        <v>1451</v>
      </c>
      <c r="C133" s="56" t="s">
        <v>1452</v>
      </c>
      <c r="D133" s="56" t="s">
        <v>1224</v>
      </c>
      <c r="E133" s="56" t="s">
        <v>1453</v>
      </c>
      <c r="G133" s="56" t="s">
        <v>1291</v>
      </c>
      <c r="H133" s="56" t="s">
        <v>1379</v>
      </c>
      <c r="J133" s="56" t="s">
        <v>1290</v>
      </c>
      <c r="K133" s="56" t="s">
        <v>1375</v>
      </c>
      <c r="L133" s="56" t="s">
        <v>1376</v>
      </c>
      <c r="M133" s="56" t="s">
        <v>1377</v>
      </c>
      <c r="N133" s="56" t="s">
        <v>1378</v>
      </c>
      <c r="O133" s="56" t="s">
        <v>2152</v>
      </c>
      <c r="P133" s="56" t="s">
        <v>2153</v>
      </c>
      <c r="Q133" s="56" t="s">
        <v>2154</v>
      </c>
      <c r="R133" s="56" t="s">
        <v>2155</v>
      </c>
      <c r="S133" s="56" t="s">
        <v>2156</v>
      </c>
      <c r="T133" s="56" t="s">
        <v>2157</v>
      </c>
      <c r="U133" s="56" t="s">
        <v>2158</v>
      </c>
      <c r="V133" s="56" t="s">
        <v>2159</v>
      </c>
      <c r="W133" s="56" t="s">
        <v>2160</v>
      </c>
      <c r="X133" s="56" t="s">
        <v>2195</v>
      </c>
      <c r="Y133" s="56" t="s">
        <v>2196</v>
      </c>
      <c r="Z133" s="56" t="s">
        <v>2197</v>
      </c>
      <c r="AA133" s="56" t="s">
        <v>2198</v>
      </c>
      <c r="AB133" s="56" t="s">
        <v>2199</v>
      </c>
      <c r="AC133" s="56" t="s">
        <v>1483</v>
      </c>
      <c r="AD133" s="56" t="s">
        <v>1484</v>
      </c>
      <c r="AE133" s="56" t="s">
        <v>2046</v>
      </c>
      <c r="AI133" s="56" t="s">
        <v>2208</v>
      </c>
    </row>
    <row r="134" spans="1:35" ht="130.5" x14ac:dyDescent="0.35">
      <c r="A134" s="56" t="s">
        <v>2205</v>
      </c>
      <c r="B134" s="56" t="s">
        <v>1451</v>
      </c>
      <c r="C134" s="56" t="s">
        <v>1452</v>
      </c>
      <c r="D134" s="56" t="s">
        <v>1224</v>
      </c>
      <c r="E134" s="56" t="s">
        <v>1453</v>
      </c>
      <c r="G134" s="56" t="s">
        <v>1291</v>
      </c>
      <c r="H134" s="56" t="s">
        <v>1379</v>
      </c>
      <c r="J134" s="56" t="s">
        <v>1290</v>
      </c>
      <c r="K134" s="56" t="s">
        <v>1375</v>
      </c>
      <c r="L134" s="56" t="s">
        <v>1376</v>
      </c>
      <c r="M134" s="56" t="s">
        <v>1377</v>
      </c>
      <c r="N134" s="56" t="s">
        <v>1378</v>
      </c>
      <c r="O134" s="56" t="s">
        <v>2152</v>
      </c>
      <c r="P134" s="56" t="s">
        <v>2153</v>
      </c>
      <c r="Q134" s="56" t="s">
        <v>2154</v>
      </c>
      <c r="R134" s="56" t="s">
        <v>2155</v>
      </c>
      <c r="S134" s="56" t="s">
        <v>2156</v>
      </c>
      <c r="T134" s="56" t="s">
        <v>2157</v>
      </c>
      <c r="U134" s="56" t="s">
        <v>2158</v>
      </c>
      <c r="V134" s="56" t="s">
        <v>2159</v>
      </c>
      <c r="W134" s="56" t="s">
        <v>2160</v>
      </c>
      <c r="X134" s="56" t="s">
        <v>2195</v>
      </c>
      <c r="Y134" s="56" t="s">
        <v>2196</v>
      </c>
      <c r="Z134" s="56" t="s">
        <v>2197</v>
      </c>
      <c r="AA134" s="56" t="s">
        <v>2198</v>
      </c>
      <c r="AB134" s="56" t="s">
        <v>2199</v>
      </c>
      <c r="AC134" s="56" t="s">
        <v>1486</v>
      </c>
      <c r="AD134" s="56" t="s">
        <v>1487</v>
      </c>
      <c r="AE134" s="56" t="s">
        <v>2046</v>
      </c>
      <c r="AI134" s="56" t="s">
        <v>2208</v>
      </c>
    </row>
    <row r="135" spans="1:35" ht="130.5" x14ac:dyDescent="0.35">
      <c r="A135" s="56" t="s">
        <v>2205</v>
      </c>
      <c r="B135" s="56" t="s">
        <v>1451</v>
      </c>
      <c r="C135" s="56" t="s">
        <v>1452</v>
      </c>
      <c r="D135" s="56" t="s">
        <v>1224</v>
      </c>
      <c r="E135" s="56" t="s">
        <v>1453</v>
      </c>
      <c r="G135" s="56" t="s">
        <v>1291</v>
      </c>
      <c r="H135" s="56" t="s">
        <v>1379</v>
      </c>
      <c r="J135" s="56" t="s">
        <v>1290</v>
      </c>
      <c r="K135" s="56" t="s">
        <v>1375</v>
      </c>
      <c r="L135" s="56" t="s">
        <v>1376</v>
      </c>
      <c r="M135" s="56" t="s">
        <v>1377</v>
      </c>
      <c r="N135" s="56" t="s">
        <v>1378</v>
      </c>
      <c r="O135" s="56" t="s">
        <v>2152</v>
      </c>
      <c r="P135" s="56" t="s">
        <v>2153</v>
      </c>
      <c r="Q135" s="56" t="s">
        <v>2154</v>
      </c>
      <c r="R135" s="56" t="s">
        <v>2155</v>
      </c>
      <c r="S135" s="56" t="s">
        <v>2156</v>
      </c>
      <c r="T135" s="56" t="s">
        <v>2157</v>
      </c>
      <c r="U135" s="56" t="s">
        <v>2158</v>
      </c>
      <c r="V135" s="56" t="s">
        <v>2159</v>
      </c>
      <c r="W135" s="56" t="s">
        <v>2160</v>
      </c>
      <c r="X135" s="56" t="s">
        <v>2195</v>
      </c>
      <c r="Y135" s="56" t="s">
        <v>2196</v>
      </c>
      <c r="Z135" s="56" t="s">
        <v>2197</v>
      </c>
      <c r="AA135" s="56" t="s">
        <v>2198</v>
      </c>
      <c r="AB135" s="56" t="s">
        <v>2199</v>
      </c>
      <c r="AC135" s="56" t="s">
        <v>1488</v>
      </c>
      <c r="AD135" s="56" t="s">
        <v>1489</v>
      </c>
      <c r="AE135" s="56" t="s">
        <v>2046</v>
      </c>
      <c r="AI135" s="56" t="s">
        <v>2208</v>
      </c>
    </row>
    <row r="136" spans="1:35" ht="130.5" x14ac:dyDescent="0.35">
      <c r="A136" s="56" t="s">
        <v>2205</v>
      </c>
      <c r="B136" s="56" t="s">
        <v>1451</v>
      </c>
      <c r="C136" s="56" t="s">
        <v>1452</v>
      </c>
      <c r="D136" s="56" t="s">
        <v>1224</v>
      </c>
      <c r="E136" s="56" t="s">
        <v>1453</v>
      </c>
      <c r="G136" s="56" t="s">
        <v>1291</v>
      </c>
      <c r="H136" s="56" t="s">
        <v>1379</v>
      </c>
      <c r="J136" s="56" t="s">
        <v>1290</v>
      </c>
      <c r="K136" s="56" t="s">
        <v>1375</v>
      </c>
      <c r="L136" s="56" t="s">
        <v>1376</v>
      </c>
      <c r="M136" s="56" t="s">
        <v>1377</v>
      </c>
      <c r="N136" s="56" t="s">
        <v>1378</v>
      </c>
      <c r="O136" s="56" t="s">
        <v>2152</v>
      </c>
      <c r="P136" s="56" t="s">
        <v>2153</v>
      </c>
      <c r="Q136" s="56" t="s">
        <v>2154</v>
      </c>
      <c r="R136" s="56" t="s">
        <v>2155</v>
      </c>
      <c r="S136" s="56" t="s">
        <v>2156</v>
      </c>
      <c r="T136" s="56" t="s">
        <v>2157</v>
      </c>
      <c r="U136" s="56" t="s">
        <v>2158</v>
      </c>
      <c r="V136" s="56" t="s">
        <v>2159</v>
      </c>
      <c r="W136" s="56" t="s">
        <v>2160</v>
      </c>
      <c r="X136" s="56" t="s">
        <v>2195</v>
      </c>
      <c r="Y136" s="56" t="s">
        <v>2196</v>
      </c>
      <c r="Z136" s="56" t="s">
        <v>2197</v>
      </c>
      <c r="AA136" s="56" t="s">
        <v>2198</v>
      </c>
      <c r="AB136" s="56" t="s">
        <v>2199</v>
      </c>
      <c r="AC136" s="56" t="s">
        <v>1490</v>
      </c>
      <c r="AD136" s="56" t="s">
        <v>1491</v>
      </c>
      <c r="AE136" s="56" t="s">
        <v>2046</v>
      </c>
      <c r="AI136" s="56" t="s">
        <v>2208</v>
      </c>
    </row>
    <row r="137" spans="1:35" ht="130.5" x14ac:dyDescent="0.35">
      <c r="A137" s="56" t="s">
        <v>2205</v>
      </c>
      <c r="B137" s="56" t="s">
        <v>1451</v>
      </c>
      <c r="C137" s="56" t="s">
        <v>1452</v>
      </c>
      <c r="D137" s="56" t="s">
        <v>1224</v>
      </c>
      <c r="E137" s="56" t="s">
        <v>1453</v>
      </c>
      <c r="G137" s="56" t="s">
        <v>1291</v>
      </c>
      <c r="H137" s="56" t="s">
        <v>1379</v>
      </c>
      <c r="J137" s="56" t="s">
        <v>1290</v>
      </c>
      <c r="K137" s="56" t="s">
        <v>1375</v>
      </c>
      <c r="L137" s="56" t="s">
        <v>1376</v>
      </c>
      <c r="M137" s="56" t="s">
        <v>1377</v>
      </c>
      <c r="N137" s="56" t="s">
        <v>1378</v>
      </c>
      <c r="O137" s="56" t="s">
        <v>2152</v>
      </c>
      <c r="P137" s="56" t="s">
        <v>2153</v>
      </c>
      <c r="Q137" s="56" t="s">
        <v>2154</v>
      </c>
      <c r="R137" s="56" t="s">
        <v>2155</v>
      </c>
      <c r="S137" s="56" t="s">
        <v>2156</v>
      </c>
      <c r="T137" s="56" t="s">
        <v>2157</v>
      </c>
      <c r="U137" s="56" t="s">
        <v>2158</v>
      </c>
      <c r="V137" s="56" t="s">
        <v>2159</v>
      </c>
      <c r="W137" s="56" t="s">
        <v>2160</v>
      </c>
      <c r="X137" s="56" t="s">
        <v>2195</v>
      </c>
      <c r="Y137" s="56" t="s">
        <v>2196</v>
      </c>
      <c r="Z137" s="56" t="s">
        <v>2197</v>
      </c>
      <c r="AA137" s="56" t="s">
        <v>2198</v>
      </c>
      <c r="AB137" s="56" t="s">
        <v>2199</v>
      </c>
      <c r="AC137" s="56" t="s">
        <v>1492</v>
      </c>
      <c r="AD137" s="56" t="s">
        <v>1538</v>
      </c>
      <c r="AE137" s="56" t="s">
        <v>1493</v>
      </c>
      <c r="AI137" s="56" t="s">
        <v>2208</v>
      </c>
    </row>
    <row r="138" spans="1:35" ht="130.5" x14ac:dyDescent="0.35">
      <c r="A138" s="56" t="s">
        <v>2205</v>
      </c>
      <c r="B138" s="56" t="s">
        <v>1451</v>
      </c>
      <c r="C138" s="56" t="s">
        <v>1452</v>
      </c>
      <c r="D138" s="56" t="s">
        <v>1224</v>
      </c>
      <c r="E138" s="56" t="s">
        <v>1453</v>
      </c>
      <c r="G138" s="56" t="s">
        <v>1291</v>
      </c>
      <c r="H138" s="56" t="s">
        <v>1379</v>
      </c>
      <c r="J138" s="56" t="s">
        <v>1290</v>
      </c>
      <c r="K138" s="56" t="s">
        <v>1375</v>
      </c>
      <c r="L138" s="56" t="s">
        <v>1376</v>
      </c>
      <c r="M138" s="56" t="s">
        <v>1377</v>
      </c>
      <c r="N138" s="56" t="s">
        <v>1378</v>
      </c>
      <c r="O138" s="56" t="s">
        <v>2152</v>
      </c>
      <c r="P138" s="56" t="s">
        <v>2153</v>
      </c>
      <c r="Q138" s="56" t="s">
        <v>2154</v>
      </c>
      <c r="R138" s="56" t="s">
        <v>2155</v>
      </c>
      <c r="S138" s="56" t="s">
        <v>2156</v>
      </c>
      <c r="T138" s="56" t="s">
        <v>2157</v>
      </c>
      <c r="U138" s="56" t="s">
        <v>2158</v>
      </c>
      <c r="V138" s="56" t="s">
        <v>2159</v>
      </c>
      <c r="W138" s="56" t="s">
        <v>2160</v>
      </c>
      <c r="X138" s="56" t="s">
        <v>2195</v>
      </c>
      <c r="Y138" s="56" t="s">
        <v>2196</v>
      </c>
      <c r="Z138" s="56" t="s">
        <v>2197</v>
      </c>
      <c r="AA138" s="56" t="s">
        <v>2198</v>
      </c>
      <c r="AB138" s="56" t="s">
        <v>2199</v>
      </c>
      <c r="AC138" s="56" t="s">
        <v>1494</v>
      </c>
      <c r="AD138" s="56" t="s">
        <v>1539</v>
      </c>
      <c r="AE138" s="56" t="s">
        <v>1493</v>
      </c>
      <c r="AI138" s="56" t="s">
        <v>2208</v>
      </c>
    </row>
    <row r="139" spans="1:35" ht="130.5" x14ac:dyDescent="0.35">
      <c r="A139" s="56" t="s">
        <v>2205</v>
      </c>
      <c r="B139" s="56" t="s">
        <v>1451</v>
      </c>
      <c r="C139" s="56" t="s">
        <v>1452</v>
      </c>
      <c r="D139" s="56" t="s">
        <v>1224</v>
      </c>
      <c r="E139" s="56" t="s">
        <v>1453</v>
      </c>
      <c r="G139" s="56" t="s">
        <v>1291</v>
      </c>
      <c r="H139" s="56" t="s">
        <v>1379</v>
      </c>
      <c r="J139" s="56" t="s">
        <v>1290</v>
      </c>
      <c r="K139" s="56" t="s">
        <v>1375</v>
      </c>
      <c r="L139" s="56" t="s">
        <v>1376</v>
      </c>
      <c r="M139" s="56" t="s">
        <v>1377</v>
      </c>
      <c r="N139" s="56" t="s">
        <v>1378</v>
      </c>
      <c r="O139" s="56" t="s">
        <v>2152</v>
      </c>
      <c r="P139" s="56" t="s">
        <v>2153</v>
      </c>
      <c r="Q139" s="56" t="s">
        <v>2154</v>
      </c>
      <c r="R139" s="56" t="s">
        <v>2155</v>
      </c>
      <c r="S139" s="56" t="s">
        <v>2156</v>
      </c>
      <c r="T139" s="56" t="s">
        <v>2157</v>
      </c>
      <c r="U139" s="56" t="s">
        <v>2158</v>
      </c>
      <c r="V139" s="56" t="s">
        <v>2159</v>
      </c>
      <c r="W139" s="56" t="s">
        <v>2160</v>
      </c>
      <c r="X139" s="56" t="s">
        <v>2195</v>
      </c>
      <c r="Y139" s="56" t="s">
        <v>2196</v>
      </c>
      <c r="Z139" s="56" t="s">
        <v>2197</v>
      </c>
      <c r="AA139" s="56" t="s">
        <v>2198</v>
      </c>
      <c r="AB139" s="56" t="s">
        <v>2199</v>
      </c>
      <c r="AC139" s="56" t="s">
        <v>1495</v>
      </c>
      <c r="AE139" s="56" t="s">
        <v>1493</v>
      </c>
      <c r="AI139" s="56" t="s">
        <v>2208</v>
      </c>
    </row>
    <row r="140" spans="1:35" ht="130.5" x14ac:dyDescent="0.35">
      <c r="A140" s="56" t="s">
        <v>2205</v>
      </c>
      <c r="B140" s="56" t="s">
        <v>1451</v>
      </c>
      <c r="C140" s="56" t="s">
        <v>1452</v>
      </c>
      <c r="D140" s="56" t="s">
        <v>1224</v>
      </c>
      <c r="E140" s="56" t="s">
        <v>1453</v>
      </c>
      <c r="G140" s="56" t="s">
        <v>1291</v>
      </c>
      <c r="H140" s="56" t="s">
        <v>1379</v>
      </c>
      <c r="J140" s="56" t="s">
        <v>1290</v>
      </c>
      <c r="K140" s="56" t="s">
        <v>1375</v>
      </c>
      <c r="L140" s="56" t="s">
        <v>1376</v>
      </c>
      <c r="M140" s="56" t="s">
        <v>1377</v>
      </c>
      <c r="N140" s="56" t="s">
        <v>1378</v>
      </c>
      <c r="O140" s="56" t="s">
        <v>2152</v>
      </c>
      <c r="P140" s="56" t="s">
        <v>2153</v>
      </c>
      <c r="Q140" s="56" t="s">
        <v>2154</v>
      </c>
      <c r="R140" s="56" t="s">
        <v>2155</v>
      </c>
      <c r="S140" s="56" t="s">
        <v>2156</v>
      </c>
      <c r="T140" s="56" t="s">
        <v>2157</v>
      </c>
      <c r="U140" s="56" t="s">
        <v>2158</v>
      </c>
      <c r="V140" s="56" t="s">
        <v>2159</v>
      </c>
      <c r="W140" s="56" t="s">
        <v>2160</v>
      </c>
      <c r="X140" s="56" t="s">
        <v>2195</v>
      </c>
      <c r="Y140" s="56" t="s">
        <v>2196</v>
      </c>
      <c r="Z140" s="56" t="s">
        <v>2197</v>
      </c>
      <c r="AA140" s="56" t="s">
        <v>2198</v>
      </c>
      <c r="AB140" s="56" t="s">
        <v>2199</v>
      </c>
      <c r="AC140" s="56" t="s">
        <v>1496</v>
      </c>
      <c r="AE140" s="56" t="s">
        <v>1493</v>
      </c>
      <c r="AI140" s="56" t="s">
        <v>2208</v>
      </c>
    </row>
    <row r="141" spans="1:35" ht="130.5" x14ac:dyDescent="0.35">
      <c r="A141" s="56" t="s">
        <v>2205</v>
      </c>
      <c r="B141" s="56" t="s">
        <v>1451</v>
      </c>
      <c r="C141" s="56" t="s">
        <v>1452</v>
      </c>
      <c r="D141" s="56" t="s">
        <v>1224</v>
      </c>
      <c r="E141" s="56" t="s">
        <v>1453</v>
      </c>
      <c r="G141" s="56" t="s">
        <v>1291</v>
      </c>
      <c r="H141" s="56" t="s">
        <v>1379</v>
      </c>
      <c r="J141" s="56" t="s">
        <v>1290</v>
      </c>
      <c r="K141" s="56" t="s">
        <v>1375</v>
      </c>
      <c r="L141" s="56" t="s">
        <v>1376</v>
      </c>
      <c r="M141" s="56" t="s">
        <v>1377</v>
      </c>
      <c r="N141" s="56" t="s">
        <v>1378</v>
      </c>
      <c r="O141" s="56" t="s">
        <v>2152</v>
      </c>
      <c r="P141" s="56" t="s">
        <v>2153</v>
      </c>
      <c r="Q141" s="56" t="s">
        <v>2154</v>
      </c>
      <c r="R141" s="56" t="s">
        <v>2155</v>
      </c>
      <c r="S141" s="56" t="s">
        <v>2156</v>
      </c>
      <c r="T141" s="56" t="s">
        <v>2157</v>
      </c>
      <c r="U141" s="56" t="s">
        <v>2158</v>
      </c>
      <c r="V141" s="56" t="s">
        <v>2159</v>
      </c>
      <c r="W141" s="56" t="s">
        <v>2160</v>
      </c>
      <c r="X141" s="56" t="s">
        <v>2195</v>
      </c>
      <c r="Y141" s="56" t="s">
        <v>2196</v>
      </c>
      <c r="Z141" s="56" t="s">
        <v>2197</v>
      </c>
      <c r="AA141" s="56" t="s">
        <v>2198</v>
      </c>
      <c r="AB141" s="56" t="s">
        <v>2199</v>
      </c>
      <c r="AC141" s="56" t="s">
        <v>1499</v>
      </c>
      <c r="AE141" s="56" t="s">
        <v>1493</v>
      </c>
      <c r="AI141" s="56" t="s">
        <v>2208</v>
      </c>
    </row>
    <row r="142" spans="1:35" ht="130.5" x14ac:dyDescent="0.35">
      <c r="A142" s="56" t="s">
        <v>2205</v>
      </c>
      <c r="B142" s="56" t="s">
        <v>1451</v>
      </c>
      <c r="C142" s="56" t="s">
        <v>1452</v>
      </c>
      <c r="D142" s="56" t="s">
        <v>1224</v>
      </c>
      <c r="E142" s="56" t="s">
        <v>1453</v>
      </c>
      <c r="G142" s="56" t="s">
        <v>1291</v>
      </c>
      <c r="H142" s="56" t="s">
        <v>1379</v>
      </c>
      <c r="J142" s="56" t="s">
        <v>1290</v>
      </c>
      <c r="K142" s="56" t="s">
        <v>1375</v>
      </c>
      <c r="L142" s="56" t="s">
        <v>1376</v>
      </c>
      <c r="M142" s="56" t="s">
        <v>1377</v>
      </c>
      <c r="N142" s="56" t="s">
        <v>1378</v>
      </c>
      <c r="O142" s="56" t="s">
        <v>2152</v>
      </c>
      <c r="P142" s="56" t="s">
        <v>2153</v>
      </c>
      <c r="Q142" s="56" t="s">
        <v>2154</v>
      </c>
      <c r="R142" s="56" t="s">
        <v>2155</v>
      </c>
      <c r="S142" s="56" t="s">
        <v>2156</v>
      </c>
      <c r="T142" s="56" t="s">
        <v>2157</v>
      </c>
      <c r="U142" s="56" t="s">
        <v>2158</v>
      </c>
      <c r="V142" s="56" t="s">
        <v>2159</v>
      </c>
      <c r="W142" s="56" t="s">
        <v>2160</v>
      </c>
      <c r="X142" s="56" t="s">
        <v>2195</v>
      </c>
      <c r="Y142" s="56" t="s">
        <v>2196</v>
      </c>
      <c r="Z142" s="56" t="s">
        <v>2197</v>
      </c>
      <c r="AA142" s="56" t="s">
        <v>2198</v>
      </c>
      <c r="AB142" s="56" t="s">
        <v>2199</v>
      </c>
      <c r="AC142" s="56" t="s">
        <v>1500</v>
      </c>
      <c r="AE142" s="56" t="s">
        <v>1493</v>
      </c>
      <c r="AI142" s="56" t="s">
        <v>2208</v>
      </c>
    </row>
    <row r="143" spans="1:35" ht="130.5" x14ac:dyDescent="0.35">
      <c r="A143" s="56" t="s">
        <v>2205</v>
      </c>
      <c r="B143" s="56" t="s">
        <v>1451</v>
      </c>
      <c r="C143" s="56" t="s">
        <v>1452</v>
      </c>
      <c r="D143" s="56" t="s">
        <v>1224</v>
      </c>
      <c r="E143" s="56" t="s">
        <v>1453</v>
      </c>
      <c r="G143" s="56" t="s">
        <v>1291</v>
      </c>
      <c r="H143" s="56" t="s">
        <v>1379</v>
      </c>
      <c r="J143" s="56" t="s">
        <v>1290</v>
      </c>
      <c r="K143" s="56" t="s">
        <v>1375</v>
      </c>
      <c r="L143" s="56" t="s">
        <v>1376</v>
      </c>
      <c r="M143" s="56" t="s">
        <v>1377</v>
      </c>
      <c r="N143" s="56" t="s">
        <v>1378</v>
      </c>
      <c r="O143" s="56" t="s">
        <v>2152</v>
      </c>
      <c r="P143" s="56" t="s">
        <v>2153</v>
      </c>
      <c r="Q143" s="56" t="s">
        <v>2154</v>
      </c>
      <c r="R143" s="56" t="s">
        <v>2155</v>
      </c>
      <c r="S143" s="56" t="s">
        <v>2156</v>
      </c>
      <c r="T143" s="56" t="s">
        <v>2157</v>
      </c>
      <c r="U143" s="56" t="s">
        <v>2158</v>
      </c>
      <c r="V143" s="56" t="s">
        <v>2159</v>
      </c>
      <c r="W143" s="56" t="s">
        <v>2160</v>
      </c>
      <c r="X143" s="56" t="s">
        <v>2195</v>
      </c>
      <c r="Y143" s="56" t="s">
        <v>2196</v>
      </c>
      <c r="Z143" s="56" t="s">
        <v>2197</v>
      </c>
      <c r="AA143" s="56" t="s">
        <v>2198</v>
      </c>
      <c r="AB143" s="56" t="s">
        <v>2199</v>
      </c>
      <c r="AC143" s="56" t="s">
        <v>1501</v>
      </c>
      <c r="AE143" s="56" t="s">
        <v>1493</v>
      </c>
      <c r="AI143" s="56" t="s">
        <v>2208</v>
      </c>
    </row>
    <row r="144" spans="1:35" ht="130.5" x14ac:dyDescent="0.35">
      <c r="A144" s="56" t="s">
        <v>2205</v>
      </c>
      <c r="B144" s="56" t="s">
        <v>1451</v>
      </c>
      <c r="C144" s="56" t="s">
        <v>1452</v>
      </c>
      <c r="D144" s="56" t="s">
        <v>1224</v>
      </c>
      <c r="E144" s="56" t="s">
        <v>1453</v>
      </c>
      <c r="G144" s="56" t="s">
        <v>1291</v>
      </c>
      <c r="H144" s="56" t="s">
        <v>1379</v>
      </c>
      <c r="J144" s="56" t="s">
        <v>1290</v>
      </c>
      <c r="K144" s="56" t="s">
        <v>1375</v>
      </c>
      <c r="L144" s="56" t="s">
        <v>1376</v>
      </c>
      <c r="M144" s="56" t="s">
        <v>1377</v>
      </c>
      <c r="N144" s="56" t="s">
        <v>1378</v>
      </c>
      <c r="O144" s="56" t="s">
        <v>2152</v>
      </c>
      <c r="P144" s="56" t="s">
        <v>2153</v>
      </c>
      <c r="Q144" s="56" t="s">
        <v>2154</v>
      </c>
      <c r="R144" s="56" t="s">
        <v>2155</v>
      </c>
      <c r="S144" s="56" t="s">
        <v>2156</v>
      </c>
      <c r="T144" s="56" t="s">
        <v>2157</v>
      </c>
      <c r="U144" s="56" t="s">
        <v>2158</v>
      </c>
      <c r="V144" s="56" t="s">
        <v>2159</v>
      </c>
      <c r="W144" s="56" t="s">
        <v>2160</v>
      </c>
      <c r="X144" s="56" t="s">
        <v>2195</v>
      </c>
      <c r="Y144" s="56" t="s">
        <v>2196</v>
      </c>
      <c r="Z144" s="56" t="s">
        <v>2197</v>
      </c>
      <c r="AA144" s="56" t="s">
        <v>2198</v>
      </c>
      <c r="AB144" s="56" t="s">
        <v>2199</v>
      </c>
      <c r="AC144" s="56" t="s">
        <v>1502</v>
      </c>
      <c r="AE144" s="56" t="s">
        <v>1493</v>
      </c>
      <c r="AI144" s="56" t="s">
        <v>2208</v>
      </c>
    </row>
    <row r="145" spans="1:35" ht="130.5" x14ac:dyDescent="0.35">
      <c r="A145" s="56" t="s">
        <v>2205</v>
      </c>
      <c r="B145" s="56" t="s">
        <v>1451</v>
      </c>
      <c r="C145" s="56" t="s">
        <v>1452</v>
      </c>
      <c r="D145" s="56" t="s">
        <v>1224</v>
      </c>
      <c r="E145" s="56" t="s">
        <v>1453</v>
      </c>
      <c r="G145" s="56" t="s">
        <v>1291</v>
      </c>
      <c r="H145" s="56" t="s">
        <v>1379</v>
      </c>
      <c r="J145" s="56" t="s">
        <v>1290</v>
      </c>
      <c r="K145" s="56" t="s">
        <v>1375</v>
      </c>
      <c r="L145" s="56" t="s">
        <v>1376</v>
      </c>
      <c r="M145" s="56" t="s">
        <v>1377</v>
      </c>
      <c r="N145" s="56" t="s">
        <v>1378</v>
      </c>
      <c r="O145" s="56" t="s">
        <v>2152</v>
      </c>
      <c r="P145" s="56" t="s">
        <v>2153</v>
      </c>
      <c r="Q145" s="56" t="s">
        <v>2154</v>
      </c>
      <c r="R145" s="56" t="s">
        <v>2155</v>
      </c>
      <c r="S145" s="56" t="s">
        <v>2156</v>
      </c>
      <c r="T145" s="56" t="s">
        <v>2157</v>
      </c>
      <c r="U145" s="56" t="s">
        <v>2158</v>
      </c>
      <c r="V145" s="56" t="s">
        <v>2159</v>
      </c>
      <c r="W145" s="56" t="s">
        <v>2160</v>
      </c>
      <c r="X145" s="56" t="s">
        <v>2195</v>
      </c>
      <c r="Y145" s="56" t="s">
        <v>2196</v>
      </c>
      <c r="Z145" s="56" t="s">
        <v>2197</v>
      </c>
      <c r="AA145" s="56" t="s">
        <v>2198</v>
      </c>
      <c r="AB145" s="56" t="s">
        <v>2199</v>
      </c>
      <c r="AC145" s="56" t="s">
        <v>1503</v>
      </c>
      <c r="AE145" s="56" t="s">
        <v>1493</v>
      </c>
      <c r="AI145" s="56" t="s">
        <v>2208</v>
      </c>
    </row>
    <row r="146" spans="1:35" ht="130.5" x14ac:dyDescent="0.35">
      <c r="A146" s="56" t="s">
        <v>2205</v>
      </c>
      <c r="B146" s="56" t="s">
        <v>1451</v>
      </c>
      <c r="C146" s="56" t="s">
        <v>1452</v>
      </c>
      <c r="D146" s="56" t="s">
        <v>1224</v>
      </c>
      <c r="E146" s="56" t="s">
        <v>1453</v>
      </c>
      <c r="G146" s="56" t="s">
        <v>1291</v>
      </c>
      <c r="H146" s="56" t="s">
        <v>1379</v>
      </c>
      <c r="J146" s="56" t="s">
        <v>1290</v>
      </c>
      <c r="K146" s="56" t="s">
        <v>1375</v>
      </c>
      <c r="L146" s="56" t="s">
        <v>1376</v>
      </c>
      <c r="M146" s="56" t="s">
        <v>1377</v>
      </c>
      <c r="N146" s="56" t="s">
        <v>1378</v>
      </c>
      <c r="O146" s="56" t="s">
        <v>2152</v>
      </c>
      <c r="P146" s="56" t="s">
        <v>2153</v>
      </c>
      <c r="Q146" s="56" t="s">
        <v>2154</v>
      </c>
      <c r="R146" s="56" t="s">
        <v>2155</v>
      </c>
      <c r="S146" s="56" t="s">
        <v>2156</v>
      </c>
      <c r="T146" s="56" t="s">
        <v>2157</v>
      </c>
      <c r="U146" s="56" t="s">
        <v>2158</v>
      </c>
      <c r="V146" s="56" t="s">
        <v>2159</v>
      </c>
      <c r="W146" s="56" t="s">
        <v>2160</v>
      </c>
      <c r="X146" s="56" t="s">
        <v>2195</v>
      </c>
      <c r="Y146" s="56" t="s">
        <v>2196</v>
      </c>
      <c r="Z146" s="56" t="s">
        <v>2197</v>
      </c>
      <c r="AA146" s="56" t="s">
        <v>2198</v>
      </c>
      <c r="AB146" s="56" t="s">
        <v>2199</v>
      </c>
      <c r="AC146" s="56" t="s">
        <v>1504</v>
      </c>
      <c r="AE146" s="56" t="s">
        <v>1493</v>
      </c>
      <c r="AI146" s="56" t="s">
        <v>2208</v>
      </c>
    </row>
    <row r="147" spans="1:35" ht="130.5" x14ac:dyDescent="0.35">
      <c r="A147" s="56" t="s">
        <v>2205</v>
      </c>
      <c r="B147" s="56" t="s">
        <v>1451</v>
      </c>
      <c r="C147" s="56" t="s">
        <v>1452</v>
      </c>
      <c r="D147" s="56" t="s">
        <v>1224</v>
      </c>
      <c r="E147" s="56" t="s">
        <v>1453</v>
      </c>
      <c r="G147" s="56" t="s">
        <v>1291</v>
      </c>
      <c r="H147" s="56" t="s">
        <v>1379</v>
      </c>
      <c r="J147" s="56" t="s">
        <v>1290</v>
      </c>
      <c r="K147" s="56" t="s">
        <v>1375</v>
      </c>
      <c r="L147" s="56" t="s">
        <v>1376</v>
      </c>
      <c r="M147" s="56" t="s">
        <v>1377</v>
      </c>
      <c r="N147" s="56" t="s">
        <v>1378</v>
      </c>
      <c r="O147" s="56" t="s">
        <v>2152</v>
      </c>
      <c r="P147" s="56" t="s">
        <v>2153</v>
      </c>
      <c r="Q147" s="56" t="s">
        <v>2154</v>
      </c>
      <c r="R147" s="56" t="s">
        <v>2155</v>
      </c>
      <c r="S147" s="56" t="s">
        <v>2156</v>
      </c>
      <c r="T147" s="56" t="s">
        <v>2157</v>
      </c>
      <c r="U147" s="56" t="s">
        <v>2158</v>
      </c>
      <c r="V147" s="56" t="s">
        <v>2159</v>
      </c>
      <c r="W147" s="56" t="s">
        <v>2160</v>
      </c>
      <c r="X147" s="56" t="s">
        <v>2195</v>
      </c>
      <c r="Y147" s="56" t="s">
        <v>2196</v>
      </c>
      <c r="Z147" s="56" t="s">
        <v>2197</v>
      </c>
      <c r="AA147" s="56" t="s">
        <v>2198</v>
      </c>
      <c r="AB147" s="56" t="s">
        <v>2199</v>
      </c>
      <c r="AC147" s="56" t="s">
        <v>1505</v>
      </c>
      <c r="AE147" s="56" t="s">
        <v>1493</v>
      </c>
      <c r="AI147" s="56" t="s">
        <v>2208</v>
      </c>
    </row>
    <row r="148" spans="1:35" ht="130.5" x14ac:dyDescent="0.35">
      <c r="A148" s="56" t="s">
        <v>2205</v>
      </c>
      <c r="B148" s="56" t="s">
        <v>1451</v>
      </c>
      <c r="C148" s="56" t="s">
        <v>1452</v>
      </c>
      <c r="D148" s="56" t="s">
        <v>1224</v>
      </c>
      <c r="E148" s="56" t="s">
        <v>1453</v>
      </c>
      <c r="G148" s="56" t="s">
        <v>1291</v>
      </c>
      <c r="H148" s="56" t="s">
        <v>1379</v>
      </c>
      <c r="J148" s="56" t="s">
        <v>1290</v>
      </c>
      <c r="K148" s="56" t="s">
        <v>1375</v>
      </c>
      <c r="L148" s="56" t="s">
        <v>1376</v>
      </c>
      <c r="M148" s="56" t="s">
        <v>1377</v>
      </c>
      <c r="N148" s="56" t="s">
        <v>1378</v>
      </c>
      <c r="O148" s="56" t="s">
        <v>2152</v>
      </c>
      <c r="P148" s="56" t="s">
        <v>2153</v>
      </c>
      <c r="Q148" s="56" t="s">
        <v>2154</v>
      </c>
      <c r="R148" s="56" t="s">
        <v>2155</v>
      </c>
      <c r="S148" s="56" t="s">
        <v>2156</v>
      </c>
      <c r="T148" s="56" t="s">
        <v>2157</v>
      </c>
      <c r="U148" s="56" t="s">
        <v>2158</v>
      </c>
      <c r="V148" s="56" t="s">
        <v>2159</v>
      </c>
      <c r="W148" s="56" t="s">
        <v>2160</v>
      </c>
      <c r="X148" s="56" t="s">
        <v>2195</v>
      </c>
      <c r="Y148" s="56" t="s">
        <v>2196</v>
      </c>
      <c r="Z148" s="56" t="s">
        <v>2197</v>
      </c>
      <c r="AA148" s="56" t="s">
        <v>2198</v>
      </c>
      <c r="AB148" s="56" t="s">
        <v>2199</v>
      </c>
      <c r="AC148" s="56" t="s">
        <v>1506</v>
      </c>
      <c r="AE148" s="56" t="s">
        <v>1493</v>
      </c>
      <c r="AI148" s="56" t="s">
        <v>2208</v>
      </c>
    </row>
    <row r="149" spans="1:35" ht="130.5" x14ac:dyDescent="0.35">
      <c r="A149" s="56" t="s">
        <v>2205</v>
      </c>
      <c r="B149" s="56" t="s">
        <v>1451</v>
      </c>
      <c r="C149" s="56" t="s">
        <v>1452</v>
      </c>
      <c r="D149" s="56" t="s">
        <v>1224</v>
      </c>
      <c r="E149" s="56" t="s">
        <v>1453</v>
      </c>
      <c r="G149" s="56" t="s">
        <v>1291</v>
      </c>
      <c r="H149" s="56" t="s">
        <v>1379</v>
      </c>
      <c r="J149" s="56" t="s">
        <v>1290</v>
      </c>
      <c r="K149" s="56" t="s">
        <v>1375</v>
      </c>
      <c r="L149" s="56" t="s">
        <v>1376</v>
      </c>
      <c r="M149" s="56" t="s">
        <v>1377</v>
      </c>
      <c r="N149" s="56" t="s">
        <v>1378</v>
      </c>
      <c r="O149" s="56" t="s">
        <v>2152</v>
      </c>
      <c r="P149" s="56" t="s">
        <v>2153</v>
      </c>
      <c r="Q149" s="56" t="s">
        <v>2154</v>
      </c>
      <c r="R149" s="56" t="s">
        <v>2155</v>
      </c>
      <c r="S149" s="56" t="s">
        <v>2156</v>
      </c>
      <c r="T149" s="56" t="s">
        <v>2157</v>
      </c>
      <c r="U149" s="56" t="s">
        <v>2158</v>
      </c>
      <c r="V149" s="56" t="s">
        <v>2159</v>
      </c>
      <c r="W149" s="56" t="s">
        <v>2160</v>
      </c>
      <c r="X149" s="56" t="s">
        <v>2195</v>
      </c>
      <c r="Y149" s="56" t="s">
        <v>2196</v>
      </c>
      <c r="Z149" s="56" t="s">
        <v>2197</v>
      </c>
      <c r="AA149" s="56" t="s">
        <v>2198</v>
      </c>
      <c r="AB149" s="56" t="s">
        <v>2199</v>
      </c>
      <c r="AC149" s="56" t="s">
        <v>1507</v>
      </c>
      <c r="AE149" s="56" t="s">
        <v>1493</v>
      </c>
      <c r="AI149" s="56" t="s">
        <v>2208</v>
      </c>
    </row>
    <row r="150" spans="1:35" ht="130.5" x14ac:dyDescent="0.35">
      <c r="A150" s="56" t="s">
        <v>2205</v>
      </c>
      <c r="B150" s="56" t="s">
        <v>1451</v>
      </c>
      <c r="C150" s="56" t="s">
        <v>1452</v>
      </c>
      <c r="D150" s="56" t="s">
        <v>1224</v>
      </c>
      <c r="E150" s="56" t="s">
        <v>1453</v>
      </c>
      <c r="G150" s="56" t="s">
        <v>1291</v>
      </c>
      <c r="H150" s="56" t="s">
        <v>1379</v>
      </c>
      <c r="J150" s="56" t="s">
        <v>1290</v>
      </c>
      <c r="K150" s="56" t="s">
        <v>1375</v>
      </c>
      <c r="L150" s="56" t="s">
        <v>1376</v>
      </c>
      <c r="M150" s="56" t="s">
        <v>1377</v>
      </c>
      <c r="N150" s="56" t="s">
        <v>1378</v>
      </c>
      <c r="O150" s="56" t="s">
        <v>2152</v>
      </c>
      <c r="P150" s="56" t="s">
        <v>2153</v>
      </c>
      <c r="Q150" s="56" t="s">
        <v>2154</v>
      </c>
      <c r="R150" s="56" t="s">
        <v>2155</v>
      </c>
      <c r="S150" s="56" t="s">
        <v>2156</v>
      </c>
      <c r="T150" s="56" t="s">
        <v>2157</v>
      </c>
      <c r="U150" s="56" t="s">
        <v>2158</v>
      </c>
      <c r="V150" s="56" t="s">
        <v>2159</v>
      </c>
      <c r="W150" s="56" t="s">
        <v>2160</v>
      </c>
      <c r="X150" s="56" t="s">
        <v>2195</v>
      </c>
      <c r="Y150" s="56" t="s">
        <v>2196</v>
      </c>
      <c r="Z150" s="56" t="s">
        <v>2197</v>
      </c>
      <c r="AA150" s="56" t="s">
        <v>2198</v>
      </c>
      <c r="AB150" s="56" t="s">
        <v>2199</v>
      </c>
      <c r="AC150" s="56" t="s">
        <v>1508</v>
      </c>
      <c r="AE150" s="56" t="s">
        <v>1493</v>
      </c>
      <c r="AI150" s="56" t="s">
        <v>2208</v>
      </c>
    </row>
    <row r="151" spans="1:35" ht="130.5" x14ac:dyDescent="0.35">
      <c r="A151" s="56" t="s">
        <v>2205</v>
      </c>
      <c r="B151" s="56" t="s">
        <v>1451</v>
      </c>
      <c r="C151" s="56" t="s">
        <v>1452</v>
      </c>
      <c r="D151" s="56" t="s">
        <v>1224</v>
      </c>
      <c r="E151" s="56" t="s">
        <v>1453</v>
      </c>
      <c r="G151" s="56" t="s">
        <v>1291</v>
      </c>
      <c r="H151" s="56" t="s">
        <v>1379</v>
      </c>
      <c r="J151" s="56" t="s">
        <v>1290</v>
      </c>
      <c r="K151" s="56" t="s">
        <v>1375</v>
      </c>
      <c r="L151" s="56" t="s">
        <v>1376</v>
      </c>
      <c r="M151" s="56" t="s">
        <v>1377</v>
      </c>
      <c r="N151" s="56" t="s">
        <v>1378</v>
      </c>
      <c r="O151" s="56" t="s">
        <v>2152</v>
      </c>
      <c r="P151" s="56" t="s">
        <v>2153</v>
      </c>
      <c r="Q151" s="56" t="s">
        <v>2154</v>
      </c>
      <c r="R151" s="56" t="s">
        <v>2155</v>
      </c>
      <c r="S151" s="56" t="s">
        <v>2156</v>
      </c>
      <c r="T151" s="56" t="s">
        <v>2157</v>
      </c>
      <c r="U151" s="56" t="s">
        <v>2158</v>
      </c>
      <c r="V151" s="56" t="s">
        <v>2159</v>
      </c>
      <c r="W151" s="56" t="s">
        <v>2160</v>
      </c>
      <c r="X151" s="56" t="s">
        <v>2195</v>
      </c>
      <c r="Y151" s="56" t="s">
        <v>2196</v>
      </c>
      <c r="Z151" s="56" t="s">
        <v>2197</v>
      </c>
      <c r="AA151" s="56" t="s">
        <v>2198</v>
      </c>
      <c r="AB151" s="56" t="s">
        <v>2199</v>
      </c>
      <c r="AC151" s="56" t="s">
        <v>1509</v>
      </c>
      <c r="AE151" s="56" t="s">
        <v>1493</v>
      </c>
      <c r="AI151" s="56" t="s">
        <v>2208</v>
      </c>
    </row>
    <row r="152" spans="1:35" ht="130.5" x14ac:dyDescent="0.35">
      <c r="A152" s="56" t="s">
        <v>2205</v>
      </c>
      <c r="B152" s="56" t="s">
        <v>1451</v>
      </c>
      <c r="C152" s="56" t="s">
        <v>1452</v>
      </c>
      <c r="D152" s="56" t="s">
        <v>1224</v>
      </c>
      <c r="E152" s="56" t="s">
        <v>1453</v>
      </c>
      <c r="G152" s="56" t="s">
        <v>1291</v>
      </c>
      <c r="H152" s="56" t="s">
        <v>1379</v>
      </c>
      <c r="J152" s="56" t="s">
        <v>1290</v>
      </c>
      <c r="K152" s="56" t="s">
        <v>1375</v>
      </c>
      <c r="L152" s="56" t="s">
        <v>1376</v>
      </c>
      <c r="M152" s="56" t="s">
        <v>1377</v>
      </c>
      <c r="N152" s="56" t="s">
        <v>1378</v>
      </c>
      <c r="O152" s="56" t="s">
        <v>2152</v>
      </c>
      <c r="P152" s="56" t="s">
        <v>2153</v>
      </c>
      <c r="Q152" s="56" t="s">
        <v>2154</v>
      </c>
      <c r="R152" s="56" t="s">
        <v>2155</v>
      </c>
      <c r="S152" s="56" t="s">
        <v>2156</v>
      </c>
      <c r="T152" s="56" t="s">
        <v>2157</v>
      </c>
      <c r="U152" s="56" t="s">
        <v>2158</v>
      </c>
      <c r="V152" s="56" t="s">
        <v>2159</v>
      </c>
      <c r="W152" s="56" t="s">
        <v>2160</v>
      </c>
      <c r="X152" s="56" t="s">
        <v>2195</v>
      </c>
      <c r="Y152" s="56" t="s">
        <v>2196</v>
      </c>
      <c r="Z152" s="56" t="s">
        <v>2197</v>
      </c>
      <c r="AA152" s="56" t="s">
        <v>2198</v>
      </c>
      <c r="AB152" s="56" t="s">
        <v>2199</v>
      </c>
      <c r="AC152" s="56" t="s">
        <v>1510</v>
      </c>
      <c r="AE152" s="56" t="s">
        <v>1493</v>
      </c>
      <c r="AI152" s="56" t="s">
        <v>2208</v>
      </c>
    </row>
    <row r="153" spans="1:35" ht="130.5" x14ac:dyDescent="0.35">
      <c r="A153" s="56" t="s">
        <v>2205</v>
      </c>
      <c r="B153" s="56" t="s">
        <v>1451</v>
      </c>
      <c r="C153" s="56" t="s">
        <v>1452</v>
      </c>
      <c r="D153" s="56" t="s">
        <v>1224</v>
      </c>
      <c r="E153" s="56" t="s">
        <v>1453</v>
      </c>
      <c r="G153" s="56" t="s">
        <v>1291</v>
      </c>
      <c r="H153" s="56" t="s">
        <v>1379</v>
      </c>
      <c r="J153" s="56" t="s">
        <v>1290</v>
      </c>
      <c r="K153" s="56" t="s">
        <v>1375</v>
      </c>
      <c r="L153" s="56" t="s">
        <v>1376</v>
      </c>
      <c r="M153" s="56" t="s">
        <v>1377</v>
      </c>
      <c r="N153" s="56" t="s">
        <v>1378</v>
      </c>
      <c r="O153" s="56" t="s">
        <v>2152</v>
      </c>
      <c r="P153" s="56" t="s">
        <v>2153</v>
      </c>
      <c r="Q153" s="56" t="s">
        <v>2154</v>
      </c>
      <c r="R153" s="56" t="s">
        <v>2155</v>
      </c>
      <c r="S153" s="56" t="s">
        <v>2156</v>
      </c>
      <c r="T153" s="56" t="s">
        <v>2157</v>
      </c>
      <c r="U153" s="56" t="s">
        <v>2158</v>
      </c>
      <c r="V153" s="56" t="s">
        <v>2159</v>
      </c>
      <c r="W153" s="56" t="s">
        <v>2160</v>
      </c>
      <c r="X153" s="56" t="s">
        <v>2195</v>
      </c>
      <c r="Y153" s="56" t="s">
        <v>2196</v>
      </c>
      <c r="Z153" s="56" t="s">
        <v>2197</v>
      </c>
      <c r="AA153" s="56" t="s">
        <v>2198</v>
      </c>
      <c r="AB153" s="56" t="s">
        <v>2199</v>
      </c>
      <c r="AC153" s="56" t="s">
        <v>1511</v>
      </c>
      <c r="AE153" s="56" t="s">
        <v>1493</v>
      </c>
      <c r="AI153" s="56" t="s">
        <v>2208</v>
      </c>
    </row>
    <row r="154" spans="1:35" ht="130.5" x14ac:dyDescent="0.35">
      <c r="A154" s="56" t="s">
        <v>2205</v>
      </c>
      <c r="B154" s="56" t="s">
        <v>1451</v>
      </c>
      <c r="C154" s="56" t="s">
        <v>1452</v>
      </c>
      <c r="D154" s="56" t="s">
        <v>1224</v>
      </c>
      <c r="E154" s="56" t="s">
        <v>1453</v>
      </c>
      <c r="G154" s="56" t="s">
        <v>1291</v>
      </c>
      <c r="H154" s="56" t="s">
        <v>1379</v>
      </c>
      <c r="J154" s="56" t="s">
        <v>1290</v>
      </c>
      <c r="K154" s="56" t="s">
        <v>1375</v>
      </c>
      <c r="L154" s="56" t="s">
        <v>1376</v>
      </c>
      <c r="M154" s="56" t="s">
        <v>1377</v>
      </c>
      <c r="N154" s="56" t="s">
        <v>1378</v>
      </c>
      <c r="O154" s="56" t="s">
        <v>2152</v>
      </c>
      <c r="P154" s="56" t="s">
        <v>2153</v>
      </c>
      <c r="Q154" s="56" t="s">
        <v>2154</v>
      </c>
      <c r="R154" s="56" t="s">
        <v>2155</v>
      </c>
      <c r="S154" s="56" t="s">
        <v>2156</v>
      </c>
      <c r="T154" s="56" t="s">
        <v>2157</v>
      </c>
      <c r="U154" s="56" t="s">
        <v>2158</v>
      </c>
      <c r="V154" s="56" t="s">
        <v>2159</v>
      </c>
      <c r="W154" s="56" t="s">
        <v>2160</v>
      </c>
      <c r="X154" s="56" t="s">
        <v>2195</v>
      </c>
      <c r="Y154" s="56" t="s">
        <v>2196</v>
      </c>
      <c r="Z154" s="56" t="s">
        <v>2197</v>
      </c>
      <c r="AA154" s="56" t="s">
        <v>2198</v>
      </c>
      <c r="AB154" s="56" t="s">
        <v>2199</v>
      </c>
      <c r="AC154" s="56" t="s">
        <v>1512</v>
      </c>
      <c r="AE154" s="56" t="s">
        <v>1493</v>
      </c>
      <c r="AI154" s="56" t="s">
        <v>2208</v>
      </c>
    </row>
    <row r="155" spans="1:35" ht="130.5" x14ac:dyDescent="0.35">
      <c r="A155" s="56" t="s">
        <v>2205</v>
      </c>
      <c r="B155" s="56" t="s">
        <v>1451</v>
      </c>
      <c r="C155" s="56" t="s">
        <v>1452</v>
      </c>
      <c r="D155" s="56" t="s">
        <v>1224</v>
      </c>
      <c r="E155" s="56" t="s">
        <v>1453</v>
      </c>
      <c r="G155" s="56" t="s">
        <v>1291</v>
      </c>
      <c r="H155" s="56" t="s">
        <v>1379</v>
      </c>
      <c r="J155" s="56" t="s">
        <v>1290</v>
      </c>
      <c r="K155" s="56" t="s">
        <v>1375</v>
      </c>
      <c r="L155" s="56" t="s">
        <v>1376</v>
      </c>
      <c r="M155" s="56" t="s">
        <v>1377</v>
      </c>
      <c r="N155" s="56" t="s">
        <v>1378</v>
      </c>
      <c r="O155" s="56" t="s">
        <v>2152</v>
      </c>
      <c r="P155" s="56" t="s">
        <v>2153</v>
      </c>
      <c r="Q155" s="56" t="s">
        <v>2154</v>
      </c>
      <c r="R155" s="56" t="s">
        <v>2155</v>
      </c>
      <c r="S155" s="56" t="s">
        <v>2156</v>
      </c>
      <c r="T155" s="56" t="s">
        <v>2157</v>
      </c>
      <c r="U155" s="56" t="s">
        <v>2158</v>
      </c>
      <c r="V155" s="56" t="s">
        <v>2159</v>
      </c>
      <c r="W155" s="56" t="s">
        <v>2160</v>
      </c>
      <c r="X155" s="56" t="s">
        <v>2195</v>
      </c>
      <c r="Y155" s="56" t="s">
        <v>2196</v>
      </c>
      <c r="Z155" s="56" t="s">
        <v>2197</v>
      </c>
      <c r="AA155" s="56" t="s">
        <v>2198</v>
      </c>
      <c r="AB155" s="56" t="s">
        <v>2199</v>
      </c>
      <c r="AC155" s="56" t="s">
        <v>1513</v>
      </c>
      <c r="AE155" s="56" t="s">
        <v>1493</v>
      </c>
      <c r="AI155" s="56" t="s">
        <v>2208</v>
      </c>
    </row>
    <row r="156" spans="1:35" ht="130.5" x14ac:dyDescent="0.35">
      <c r="A156" s="56" t="s">
        <v>2205</v>
      </c>
      <c r="B156" s="56" t="s">
        <v>1451</v>
      </c>
      <c r="C156" s="56" t="s">
        <v>1452</v>
      </c>
      <c r="D156" s="56" t="s">
        <v>1224</v>
      </c>
      <c r="E156" s="56" t="s">
        <v>1453</v>
      </c>
      <c r="G156" s="56" t="s">
        <v>1291</v>
      </c>
      <c r="H156" s="56" t="s">
        <v>1379</v>
      </c>
      <c r="J156" s="56" t="s">
        <v>1290</v>
      </c>
      <c r="K156" s="56" t="s">
        <v>1375</v>
      </c>
      <c r="L156" s="56" t="s">
        <v>1376</v>
      </c>
      <c r="M156" s="56" t="s">
        <v>1377</v>
      </c>
      <c r="N156" s="56" t="s">
        <v>1378</v>
      </c>
      <c r="O156" s="56" t="s">
        <v>2152</v>
      </c>
      <c r="P156" s="56" t="s">
        <v>2153</v>
      </c>
      <c r="Q156" s="56" t="s">
        <v>2154</v>
      </c>
      <c r="R156" s="56" t="s">
        <v>2155</v>
      </c>
      <c r="S156" s="56" t="s">
        <v>2156</v>
      </c>
      <c r="T156" s="56" t="s">
        <v>2157</v>
      </c>
      <c r="U156" s="56" t="s">
        <v>2158</v>
      </c>
      <c r="V156" s="56" t="s">
        <v>2159</v>
      </c>
      <c r="W156" s="56" t="s">
        <v>2160</v>
      </c>
      <c r="X156" s="56" t="s">
        <v>2195</v>
      </c>
      <c r="Y156" s="56" t="s">
        <v>2196</v>
      </c>
      <c r="Z156" s="56" t="s">
        <v>2197</v>
      </c>
      <c r="AA156" s="56" t="s">
        <v>2198</v>
      </c>
      <c r="AB156" s="56" t="s">
        <v>2199</v>
      </c>
      <c r="AC156" s="56" t="s">
        <v>1514</v>
      </c>
      <c r="AE156" s="56" t="s">
        <v>1493</v>
      </c>
      <c r="AI156" s="56" t="s">
        <v>2208</v>
      </c>
    </row>
    <row r="157" spans="1:35" ht="130.5" x14ac:dyDescent="0.35">
      <c r="A157" s="56" t="s">
        <v>2205</v>
      </c>
      <c r="B157" s="56" t="s">
        <v>1451</v>
      </c>
      <c r="C157" s="56" t="s">
        <v>1452</v>
      </c>
      <c r="D157" s="56" t="s">
        <v>1224</v>
      </c>
      <c r="E157" s="56" t="s">
        <v>1453</v>
      </c>
      <c r="G157" s="56" t="s">
        <v>1291</v>
      </c>
      <c r="H157" s="56" t="s">
        <v>1379</v>
      </c>
      <c r="J157" s="56" t="s">
        <v>1290</v>
      </c>
      <c r="K157" s="56" t="s">
        <v>1375</v>
      </c>
      <c r="L157" s="56" t="s">
        <v>1376</v>
      </c>
      <c r="M157" s="56" t="s">
        <v>1377</v>
      </c>
      <c r="N157" s="56" t="s">
        <v>1378</v>
      </c>
      <c r="O157" s="56" t="s">
        <v>2152</v>
      </c>
      <c r="P157" s="56" t="s">
        <v>2153</v>
      </c>
      <c r="Q157" s="56" t="s">
        <v>2154</v>
      </c>
      <c r="R157" s="56" t="s">
        <v>2155</v>
      </c>
      <c r="S157" s="56" t="s">
        <v>2156</v>
      </c>
      <c r="T157" s="56" t="s">
        <v>2157</v>
      </c>
      <c r="U157" s="56" t="s">
        <v>2158</v>
      </c>
      <c r="V157" s="56" t="s">
        <v>2159</v>
      </c>
      <c r="W157" s="56" t="s">
        <v>2160</v>
      </c>
      <c r="X157" s="56" t="s">
        <v>2195</v>
      </c>
      <c r="Y157" s="56" t="s">
        <v>2196</v>
      </c>
      <c r="Z157" s="56" t="s">
        <v>2197</v>
      </c>
      <c r="AA157" s="56" t="s">
        <v>2198</v>
      </c>
      <c r="AB157" s="56" t="s">
        <v>2199</v>
      </c>
      <c r="AC157" s="56" t="s">
        <v>1515</v>
      </c>
      <c r="AE157" s="56" t="s">
        <v>1493</v>
      </c>
      <c r="AI157" s="56" t="s">
        <v>2208</v>
      </c>
    </row>
    <row r="158" spans="1:35" ht="130.5" x14ac:dyDescent="0.35">
      <c r="A158" s="56" t="s">
        <v>2205</v>
      </c>
      <c r="B158" s="56" t="s">
        <v>1451</v>
      </c>
      <c r="C158" s="56" t="s">
        <v>1452</v>
      </c>
      <c r="D158" s="56" t="s">
        <v>1224</v>
      </c>
      <c r="E158" s="56" t="s">
        <v>1453</v>
      </c>
      <c r="G158" s="56" t="s">
        <v>1291</v>
      </c>
      <c r="H158" s="56" t="s">
        <v>1379</v>
      </c>
      <c r="J158" s="56" t="s">
        <v>1290</v>
      </c>
      <c r="K158" s="56" t="s">
        <v>1375</v>
      </c>
      <c r="L158" s="56" t="s">
        <v>1376</v>
      </c>
      <c r="M158" s="56" t="s">
        <v>1377</v>
      </c>
      <c r="N158" s="56" t="s">
        <v>1378</v>
      </c>
      <c r="O158" s="56" t="s">
        <v>2152</v>
      </c>
      <c r="P158" s="56" t="s">
        <v>2153</v>
      </c>
      <c r="Q158" s="56" t="s">
        <v>2154</v>
      </c>
      <c r="R158" s="56" t="s">
        <v>2155</v>
      </c>
      <c r="S158" s="56" t="s">
        <v>2156</v>
      </c>
      <c r="T158" s="56" t="s">
        <v>2157</v>
      </c>
      <c r="U158" s="56" t="s">
        <v>2158</v>
      </c>
      <c r="V158" s="56" t="s">
        <v>2159</v>
      </c>
      <c r="W158" s="56" t="s">
        <v>2160</v>
      </c>
      <c r="X158" s="56" t="s">
        <v>2195</v>
      </c>
      <c r="Y158" s="56" t="s">
        <v>2196</v>
      </c>
      <c r="Z158" s="56" t="s">
        <v>2197</v>
      </c>
      <c r="AA158" s="56" t="s">
        <v>2198</v>
      </c>
      <c r="AB158" s="56" t="s">
        <v>2199</v>
      </c>
      <c r="AC158" s="56" t="s">
        <v>1516</v>
      </c>
      <c r="AE158" s="56" t="s">
        <v>1493</v>
      </c>
      <c r="AI158" s="56" t="s">
        <v>2208</v>
      </c>
    </row>
    <row r="159" spans="1:35" ht="130.5" x14ac:dyDescent="0.35">
      <c r="A159" s="56" t="s">
        <v>2205</v>
      </c>
      <c r="B159" s="56" t="s">
        <v>1451</v>
      </c>
      <c r="C159" s="56" t="s">
        <v>1452</v>
      </c>
      <c r="D159" s="56" t="s">
        <v>1224</v>
      </c>
      <c r="E159" s="56" t="s">
        <v>1453</v>
      </c>
      <c r="G159" s="56" t="s">
        <v>1291</v>
      </c>
      <c r="H159" s="56" t="s">
        <v>1379</v>
      </c>
      <c r="J159" s="56" t="s">
        <v>1290</v>
      </c>
      <c r="K159" s="56" t="s">
        <v>1375</v>
      </c>
      <c r="L159" s="56" t="s">
        <v>1376</v>
      </c>
      <c r="M159" s="56" t="s">
        <v>1377</v>
      </c>
      <c r="N159" s="56" t="s">
        <v>1378</v>
      </c>
      <c r="O159" s="56" t="s">
        <v>2152</v>
      </c>
      <c r="P159" s="56" t="s">
        <v>2153</v>
      </c>
      <c r="Q159" s="56" t="s">
        <v>2154</v>
      </c>
      <c r="R159" s="56" t="s">
        <v>2155</v>
      </c>
      <c r="S159" s="56" t="s">
        <v>2156</v>
      </c>
      <c r="T159" s="56" t="s">
        <v>2157</v>
      </c>
      <c r="U159" s="56" t="s">
        <v>2158</v>
      </c>
      <c r="V159" s="56" t="s">
        <v>2159</v>
      </c>
      <c r="W159" s="56" t="s">
        <v>2160</v>
      </c>
      <c r="X159" s="56" t="s">
        <v>2195</v>
      </c>
      <c r="Y159" s="56" t="s">
        <v>2196</v>
      </c>
      <c r="Z159" s="56" t="s">
        <v>2197</v>
      </c>
      <c r="AA159" s="56" t="s">
        <v>2198</v>
      </c>
      <c r="AB159" s="56" t="s">
        <v>2199</v>
      </c>
      <c r="AC159" s="56" t="s">
        <v>1517</v>
      </c>
      <c r="AE159" s="56" t="s">
        <v>1493</v>
      </c>
      <c r="AI159" s="56" t="s">
        <v>2208</v>
      </c>
    </row>
    <row r="160" spans="1:35" ht="130.5" x14ac:dyDescent="0.35">
      <c r="A160" s="56" t="s">
        <v>2205</v>
      </c>
      <c r="B160" s="56" t="s">
        <v>1451</v>
      </c>
      <c r="C160" s="56" t="s">
        <v>1452</v>
      </c>
      <c r="D160" s="56" t="s">
        <v>1224</v>
      </c>
      <c r="E160" s="56" t="s">
        <v>1453</v>
      </c>
      <c r="G160" s="56" t="s">
        <v>1291</v>
      </c>
      <c r="H160" s="56" t="s">
        <v>1379</v>
      </c>
      <c r="J160" s="56" t="s">
        <v>1290</v>
      </c>
      <c r="K160" s="56" t="s">
        <v>1375</v>
      </c>
      <c r="L160" s="56" t="s">
        <v>1376</v>
      </c>
      <c r="M160" s="56" t="s">
        <v>1377</v>
      </c>
      <c r="N160" s="56" t="s">
        <v>1378</v>
      </c>
      <c r="O160" s="56" t="s">
        <v>2152</v>
      </c>
      <c r="P160" s="56" t="s">
        <v>2153</v>
      </c>
      <c r="Q160" s="56" t="s">
        <v>2154</v>
      </c>
      <c r="R160" s="56" t="s">
        <v>2155</v>
      </c>
      <c r="S160" s="56" t="s">
        <v>2156</v>
      </c>
      <c r="T160" s="56" t="s">
        <v>2157</v>
      </c>
      <c r="U160" s="56" t="s">
        <v>2158</v>
      </c>
      <c r="V160" s="56" t="s">
        <v>2159</v>
      </c>
      <c r="W160" s="56" t="s">
        <v>2160</v>
      </c>
      <c r="X160" s="56" t="s">
        <v>2195</v>
      </c>
      <c r="Y160" s="56" t="s">
        <v>2196</v>
      </c>
      <c r="Z160" s="56" t="s">
        <v>2197</v>
      </c>
      <c r="AA160" s="56" t="s">
        <v>2198</v>
      </c>
      <c r="AB160" s="56" t="s">
        <v>2199</v>
      </c>
      <c r="AC160" s="56" t="s">
        <v>1524</v>
      </c>
      <c r="AE160" s="56" t="s">
        <v>1493</v>
      </c>
      <c r="AI160" s="56" t="s">
        <v>2208</v>
      </c>
    </row>
    <row r="161" spans="1:35" ht="130.5" x14ac:dyDescent="0.35">
      <c r="A161" s="56" t="s">
        <v>2205</v>
      </c>
      <c r="B161" s="56" t="s">
        <v>1451</v>
      </c>
      <c r="C161" s="56" t="s">
        <v>1452</v>
      </c>
      <c r="D161" s="56" t="s">
        <v>1224</v>
      </c>
      <c r="E161" s="56" t="s">
        <v>1453</v>
      </c>
      <c r="G161" s="56" t="s">
        <v>1291</v>
      </c>
      <c r="H161" s="56" t="s">
        <v>1379</v>
      </c>
      <c r="J161" s="56" t="s">
        <v>1290</v>
      </c>
      <c r="K161" s="56" t="s">
        <v>1375</v>
      </c>
      <c r="L161" s="56" t="s">
        <v>1376</v>
      </c>
      <c r="M161" s="56" t="s">
        <v>1377</v>
      </c>
      <c r="N161" s="56" t="s">
        <v>1378</v>
      </c>
      <c r="O161" s="56" t="s">
        <v>2152</v>
      </c>
      <c r="P161" s="56" t="s">
        <v>2153</v>
      </c>
      <c r="Q161" s="56" t="s">
        <v>2154</v>
      </c>
      <c r="R161" s="56" t="s">
        <v>2155</v>
      </c>
      <c r="S161" s="56" t="s">
        <v>2156</v>
      </c>
      <c r="T161" s="56" t="s">
        <v>2157</v>
      </c>
      <c r="U161" s="56" t="s">
        <v>2158</v>
      </c>
      <c r="V161" s="56" t="s">
        <v>2159</v>
      </c>
      <c r="W161" s="56" t="s">
        <v>2160</v>
      </c>
      <c r="X161" s="56" t="s">
        <v>2195</v>
      </c>
      <c r="Y161" s="56" t="s">
        <v>2196</v>
      </c>
      <c r="Z161" s="56" t="s">
        <v>2197</v>
      </c>
      <c r="AA161" s="56" t="s">
        <v>2198</v>
      </c>
      <c r="AB161" s="56" t="s">
        <v>2199</v>
      </c>
      <c r="AC161" s="56" t="s">
        <v>1528</v>
      </c>
      <c r="AE161" s="56" t="s">
        <v>1493</v>
      </c>
      <c r="AI161" s="56" t="s">
        <v>2208</v>
      </c>
    </row>
    <row r="162" spans="1:35" ht="130.5" x14ac:dyDescent="0.35">
      <c r="A162" s="56" t="s">
        <v>2205</v>
      </c>
      <c r="B162" s="56" t="s">
        <v>1451</v>
      </c>
      <c r="C162" s="56" t="s">
        <v>1452</v>
      </c>
      <c r="D162" s="56" t="s">
        <v>1224</v>
      </c>
      <c r="E162" s="56" t="s">
        <v>1453</v>
      </c>
      <c r="G162" s="56" t="s">
        <v>1291</v>
      </c>
      <c r="H162" s="56" t="s">
        <v>1379</v>
      </c>
      <c r="J162" s="56" t="s">
        <v>1290</v>
      </c>
      <c r="K162" s="56" t="s">
        <v>1375</v>
      </c>
      <c r="L162" s="56" t="s">
        <v>1376</v>
      </c>
      <c r="M162" s="56" t="s">
        <v>1377</v>
      </c>
      <c r="N162" s="56" t="s">
        <v>1378</v>
      </c>
      <c r="O162" s="56" t="s">
        <v>2152</v>
      </c>
      <c r="P162" s="56" t="s">
        <v>2153</v>
      </c>
      <c r="Q162" s="56" t="s">
        <v>2154</v>
      </c>
      <c r="R162" s="56" t="s">
        <v>2155</v>
      </c>
      <c r="S162" s="56" t="s">
        <v>2156</v>
      </c>
      <c r="T162" s="56" t="s">
        <v>2157</v>
      </c>
      <c r="U162" s="56" t="s">
        <v>2158</v>
      </c>
      <c r="V162" s="56" t="s">
        <v>2159</v>
      </c>
      <c r="W162" s="56" t="s">
        <v>2160</v>
      </c>
      <c r="X162" s="56" t="s">
        <v>2195</v>
      </c>
      <c r="Y162" s="56" t="s">
        <v>2196</v>
      </c>
      <c r="Z162" s="56" t="s">
        <v>2197</v>
      </c>
      <c r="AA162" s="56" t="s">
        <v>2198</v>
      </c>
      <c r="AB162" s="56" t="s">
        <v>2199</v>
      </c>
      <c r="AC162" s="56" t="s">
        <v>1529</v>
      </c>
      <c r="AE162" s="56" t="s">
        <v>1493</v>
      </c>
      <c r="AI162" s="56" t="s">
        <v>2208</v>
      </c>
    </row>
    <row r="163" spans="1:35" ht="130.5" x14ac:dyDescent="0.35">
      <c r="A163" s="56" t="s">
        <v>2205</v>
      </c>
      <c r="B163" s="56" t="s">
        <v>1451</v>
      </c>
      <c r="C163" s="56" t="s">
        <v>1452</v>
      </c>
      <c r="D163" s="56" t="s">
        <v>1224</v>
      </c>
      <c r="E163" s="56" t="s">
        <v>1453</v>
      </c>
      <c r="G163" s="56" t="s">
        <v>1291</v>
      </c>
      <c r="H163" s="56" t="s">
        <v>1379</v>
      </c>
      <c r="J163" s="56" t="s">
        <v>1290</v>
      </c>
      <c r="K163" s="56" t="s">
        <v>1375</v>
      </c>
      <c r="L163" s="56" t="s">
        <v>1376</v>
      </c>
      <c r="M163" s="56" t="s">
        <v>1377</v>
      </c>
      <c r="N163" s="56" t="s">
        <v>1378</v>
      </c>
      <c r="O163" s="56" t="s">
        <v>2152</v>
      </c>
      <c r="P163" s="56" t="s">
        <v>2153</v>
      </c>
      <c r="Q163" s="56" t="s">
        <v>2154</v>
      </c>
      <c r="R163" s="56" t="s">
        <v>2155</v>
      </c>
      <c r="S163" s="56" t="s">
        <v>2156</v>
      </c>
      <c r="T163" s="56" t="s">
        <v>2157</v>
      </c>
      <c r="U163" s="56" t="s">
        <v>2158</v>
      </c>
      <c r="V163" s="56" t="s">
        <v>2159</v>
      </c>
      <c r="W163" s="56" t="s">
        <v>2160</v>
      </c>
      <c r="X163" s="56" t="s">
        <v>2195</v>
      </c>
      <c r="Y163" s="56" t="s">
        <v>2196</v>
      </c>
      <c r="Z163" s="56" t="s">
        <v>2197</v>
      </c>
      <c r="AA163" s="56" t="s">
        <v>2198</v>
      </c>
      <c r="AB163" s="56" t="s">
        <v>2199</v>
      </c>
      <c r="AC163" s="56" t="s">
        <v>1530</v>
      </c>
      <c r="AE163" s="56" t="s">
        <v>1493</v>
      </c>
      <c r="AI163" s="56" t="s">
        <v>2208</v>
      </c>
    </row>
    <row r="164" spans="1:35" ht="130.5" x14ac:dyDescent="0.35">
      <c r="A164" s="56" t="s">
        <v>2205</v>
      </c>
      <c r="B164" s="56" t="s">
        <v>1451</v>
      </c>
      <c r="C164" s="56" t="s">
        <v>1452</v>
      </c>
      <c r="D164" s="56" t="s">
        <v>1224</v>
      </c>
      <c r="E164" s="56" t="s">
        <v>1453</v>
      </c>
      <c r="G164" s="56" t="s">
        <v>1291</v>
      </c>
      <c r="H164" s="56" t="s">
        <v>1379</v>
      </c>
      <c r="J164" s="56" t="s">
        <v>1290</v>
      </c>
      <c r="K164" s="56" t="s">
        <v>1375</v>
      </c>
      <c r="L164" s="56" t="s">
        <v>1376</v>
      </c>
      <c r="M164" s="56" t="s">
        <v>1377</v>
      </c>
      <c r="N164" s="56" t="s">
        <v>1378</v>
      </c>
      <c r="O164" s="56" t="s">
        <v>2152</v>
      </c>
      <c r="P164" s="56" t="s">
        <v>2153</v>
      </c>
      <c r="Q164" s="56" t="s">
        <v>2154</v>
      </c>
      <c r="R164" s="56" t="s">
        <v>2155</v>
      </c>
      <c r="S164" s="56" t="s">
        <v>2156</v>
      </c>
      <c r="T164" s="56" t="s">
        <v>2157</v>
      </c>
      <c r="U164" s="56" t="s">
        <v>2158</v>
      </c>
      <c r="V164" s="56" t="s">
        <v>2159</v>
      </c>
      <c r="W164" s="56" t="s">
        <v>2160</v>
      </c>
      <c r="X164" s="56" t="s">
        <v>2195</v>
      </c>
      <c r="Y164" s="56" t="s">
        <v>2196</v>
      </c>
      <c r="Z164" s="56" t="s">
        <v>2197</v>
      </c>
      <c r="AA164" s="56" t="s">
        <v>2198</v>
      </c>
      <c r="AB164" s="56" t="s">
        <v>2199</v>
      </c>
      <c r="AC164" s="56" t="s">
        <v>1531</v>
      </c>
      <c r="AE164" s="56" t="s">
        <v>1493</v>
      </c>
      <c r="AI164" s="56" t="s">
        <v>2208</v>
      </c>
    </row>
    <row r="165" spans="1:35" ht="130.5" x14ac:dyDescent="0.35">
      <c r="A165" s="56" t="s">
        <v>2205</v>
      </c>
      <c r="B165" s="56" t="s">
        <v>1451</v>
      </c>
      <c r="C165" s="56" t="s">
        <v>1452</v>
      </c>
      <c r="D165" s="56" t="s">
        <v>1224</v>
      </c>
      <c r="E165" s="56" t="s">
        <v>1453</v>
      </c>
      <c r="G165" s="56" t="s">
        <v>1291</v>
      </c>
      <c r="H165" s="56" t="s">
        <v>1379</v>
      </c>
      <c r="J165" s="56" t="s">
        <v>1290</v>
      </c>
      <c r="K165" s="56" t="s">
        <v>1375</v>
      </c>
      <c r="L165" s="56" t="s">
        <v>1376</v>
      </c>
      <c r="M165" s="56" t="s">
        <v>1377</v>
      </c>
      <c r="N165" s="56" t="s">
        <v>1378</v>
      </c>
      <c r="O165" s="56" t="s">
        <v>2152</v>
      </c>
      <c r="P165" s="56" t="s">
        <v>2153</v>
      </c>
      <c r="Q165" s="56" t="s">
        <v>2154</v>
      </c>
      <c r="R165" s="56" t="s">
        <v>2155</v>
      </c>
      <c r="S165" s="56" t="s">
        <v>2156</v>
      </c>
      <c r="T165" s="56" t="s">
        <v>2157</v>
      </c>
      <c r="U165" s="56" t="s">
        <v>2158</v>
      </c>
      <c r="V165" s="56" t="s">
        <v>2159</v>
      </c>
      <c r="W165" s="56" t="s">
        <v>2160</v>
      </c>
      <c r="X165" s="56" t="s">
        <v>2195</v>
      </c>
      <c r="Y165" s="56" t="s">
        <v>2196</v>
      </c>
      <c r="Z165" s="56" t="s">
        <v>2197</v>
      </c>
      <c r="AA165" s="56" t="s">
        <v>2198</v>
      </c>
      <c r="AB165" s="56" t="s">
        <v>2199</v>
      </c>
      <c r="AC165" s="56" t="s">
        <v>1532</v>
      </c>
      <c r="AE165" s="56" t="s">
        <v>1493</v>
      </c>
      <c r="AI165" s="56" t="s">
        <v>2208</v>
      </c>
    </row>
    <row r="166" spans="1:35" ht="232" x14ac:dyDescent="0.35">
      <c r="A166" s="56" t="s">
        <v>2213</v>
      </c>
      <c r="B166" s="56" t="s">
        <v>1451</v>
      </c>
      <c r="C166" s="56" t="s">
        <v>1452</v>
      </c>
      <c r="D166" s="56" t="s">
        <v>1224</v>
      </c>
      <c r="E166" s="56" t="s">
        <v>1453</v>
      </c>
      <c r="G166" s="56" t="s">
        <v>1281</v>
      </c>
      <c r="H166" s="56" t="s">
        <v>1326</v>
      </c>
      <c r="J166" s="56" t="s">
        <v>1239</v>
      </c>
      <c r="K166" s="56" t="s">
        <v>1322</v>
      </c>
      <c r="L166" s="56" t="s">
        <v>1323</v>
      </c>
      <c r="M166" s="56" t="s">
        <v>1324</v>
      </c>
      <c r="N166" s="56" t="s">
        <v>1325</v>
      </c>
      <c r="O166" s="56" t="s">
        <v>2205</v>
      </c>
      <c r="P166" s="56" t="s">
        <v>2153</v>
      </c>
      <c r="Q166" s="56" t="s">
        <v>2154</v>
      </c>
      <c r="R166" s="56" t="s">
        <v>2155</v>
      </c>
      <c r="S166" s="56" t="s">
        <v>2156</v>
      </c>
      <c r="T166" s="56" t="s">
        <v>2157</v>
      </c>
      <c r="U166" s="56" t="s">
        <v>2158</v>
      </c>
      <c r="V166" s="56" t="s">
        <v>2159</v>
      </c>
      <c r="W166" s="56" t="s">
        <v>2160</v>
      </c>
      <c r="X166" s="56" t="s">
        <v>2195</v>
      </c>
      <c r="Y166" s="56" t="s">
        <v>2160</v>
      </c>
      <c r="Z166" s="56" t="s">
        <v>2214</v>
      </c>
      <c r="AA166" s="56" t="s">
        <v>2215</v>
      </c>
      <c r="AB166" s="56" t="s">
        <v>2216</v>
      </c>
      <c r="AC166" s="56" t="s">
        <v>1454</v>
      </c>
      <c r="AD166" s="56" t="s">
        <v>1455</v>
      </c>
      <c r="AE166" s="56" t="s">
        <v>2046</v>
      </c>
      <c r="AF166" s="56" t="s">
        <v>1571</v>
      </c>
      <c r="AG166" s="56" t="s">
        <v>2217</v>
      </c>
      <c r="AH166" s="56" t="s">
        <v>2218</v>
      </c>
      <c r="AI166" s="56" t="s">
        <v>2219</v>
      </c>
    </row>
    <row r="167" spans="1:35" ht="116" x14ac:dyDescent="0.35">
      <c r="A167" s="56" t="s">
        <v>2213</v>
      </c>
      <c r="B167" s="56" t="s">
        <v>1451</v>
      </c>
      <c r="C167" s="56" t="s">
        <v>1452</v>
      </c>
      <c r="D167" s="56" t="s">
        <v>1224</v>
      </c>
      <c r="E167" s="56" t="s">
        <v>1453</v>
      </c>
      <c r="G167" s="56" t="s">
        <v>1281</v>
      </c>
      <c r="H167" s="56" t="s">
        <v>1326</v>
      </c>
      <c r="J167" s="56" t="s">
        <v>1239</v>
      </c>
      <c r="K167" s="56" t="s">
        <v>1322</v>
      </c>
      <c r="L167" s="56" t="s">
        <v>1323</v>
      </c>
      <c r="M167" s="56" t="s">
        <v>1324</v>
      </c>
      <c r="N167" s="56" t="s">
        <v>1325</v>
      </c>
      <c r="O167" s="56" t="s">
        <v>2205</v>
      </c>
      <c r="P167" s="56" t="s">
        <v>2153</v>
      </c>
      <c r="Q167" s="56" t="s">
        <v>2154</v>
      </c>
      <c r="R167" s="56" t="s">
        <v>2155</v>
      </c>
      <c r="S167" s="56" t="s">
        <v>2156</v>
      </c>
      <c r="T167" s="56" t="s">
        <v>2157</v>
      </c>
      <c r="U167" s="56" t="s">
        <v>2158</v>
      </c>
      <c r="V167" s="56" t="s">
        <v>2159</v>
      </c>
      <c r="W167" s="56" t="s">
        <v>2160</v>
      </c>
      <c r="X167" s="56" t="s">
        <v>2195</v>
      </c>
      <c r="Y167" s="56" t="s">
        <v>2160</v>
      </c>
      <c r="Z167" s="56" t="s">
        <v>2214</v>
      </c>
      <c r="AA167" s="56" t="s">
        <v>2215</v>
      </c>
      <c r="AB167" s="56" t="s">
        <v>2216</v>
      </c>
      <c r="AC167" s="56" t="s">
        <v>1463</v>
      </c>
      <c r="AD167" s="56" t="s">
        <v>1464</v>
      </c>
      <c r="AE167" s="56" t="s">
        <v>2046</v>
      </c>
      <c r="AI167" s="56" t="s">
        <v>2219</v>
      </c>
    </row>
    <row r="168" spans="1:35" ht="116" x14ac:dyDescent="0.35">
      <c r="A168" s="56" t="s">
        <v>2213</v>
      </c>
      <c r="B168" s="56" t="s">
        <v>1451</v>
      </c>
      <c r="C168" s="56" t="s">
        <v>1452</v>
      </c>
      <c r="D168" s="56" t="s">
        <v>1224</v>
      </c>
      <c r="E168" s="56" t="s">
        <v>1453</v>
      </c>
      <c r="G168" s="56" t="s">
        <v>1281</v>
      </c>
      <c r="H168" s="56" t="s">
        <v>1326</v>
      </c>
      <c r="J168" s="56" t="s">
        <v>1239</v>
      </c>
      <c r="K168" s="56" t="s">
        <v>1322</v>
      </c>
      <c r="L168" s="56" t="s">
        <v>1323</v>
      </c>
      <c r="M168" s="56" t="s">
        <v>1324</v>
      </c>
      <c r="N168" s="56" t="s">
        <v>1325</v>
      </c>
      <c r="O168" s="56" t="s">
        <v>2205</v>
      </c>
      <c r="P168" s="56" t="s">
        <v>2153</v>
      </c>
      <c r="Q168" s="56" t="s">
        <v>2154</v>
      </c>
      <c r="R168" s="56" t="s">
        <v>2155</v>
      </c>
      <c r="S168" s="56" t="s">
        <v>2156</v>
      </c>
      <c r="T168" s="56" t="s">
        <v>2157</v>
      </c>
      <c r="U168" s="56" t="s">
        <v>2158</v>
      </c>
      <c r="V168" s="56" t="s">
        <v>2159</v>
      </c>
      <c r="W168" s="56" t="s">
        <v>2160</v>
      </c>
      <c r="X168" s="56" t="s">
        <v>2195</v>
      </c>
      <c r="Y168" s="56" t="s">
        <v>2160</v>
      </c>
      <c r="Z168" s="56" t="s">
        <v>2214</v>
      </c>
      <c r="AA168" s="56" t="s">
        <v>2215</v>
      </c>
      <c r="AB168" s="56" t="s">
        <v>2216</v>
      </c>
      <c r="AC168" s="56" t="s">
        <v>1465</v>
      </c>
      <c r="AD168" s="56" t="s">
        <v>1466</v>
      </c>
      <c r="AE168" s="56" t="s">
        <v>2046</v>
      </c>
      <c r="AI168" s="56" t="s">
        <v>2219</v>
      </c>
    </row>
    <row r="169" spans="1:35" ht="116" x14ac:dyDescent="0.35">
      <c r="A169" s="56" t="s">
        <v>2213</v>
      </c>
      <c r="B169" s="56" t="s">
        <v>1451</v>
      </c>
      <c r="C169" s="56" t="s">
        <v>1452</v>
      </c>
      <c r="D169" s="56" t="s">
        <v>1224</v>
      </c>
      <c r="E169" s="56" t="s">
        <v>1453</v>
      </c>
      <c r="G169" s="56" t="s">
        <v>1281</v>
      </c>
      <c r="H169" s="56" t="s">
        <v>1326</v>
      </c>
      <c r="J169" s="56" t="s">
        <v>1239</v>
      </c>
      <c r="K169" s="56" t="s">
        <v>1322</v>
      </c>
      <c r="L169" s="56" t="s">
        <v>1323</v>
      </c>
      <c r="M169" s="56" t="s">
        <v>1324</v>
      </c>
      <c r="N169" s="56" t="s">
        <v>1325</v>
      </c>
      <c r="O169" s="56" t="s">
        <v>2205</v>
      </c>
      <c r="P169" s="56" t="s">
        <v>2153</v>
      </c>
      <c r="Q169" s="56" t="s">
        <v>2154</v>
      </c>
      <c r="R169" s="56" t="s">
        <v>2155</v>
      </c>
      <c r="S169" s="56" t="s">
        <v>2156</v>
      </c>
      <c r="T169" s="56" t="s">
        <v>2157</v>
      </c>
      <c r="U169" s="56" t="s">
        <v>2158</v>
      </c>
      <c r="V169" s="56" t="s">
        <v>2159</v>
      </c>
      <c r="W169" s="56" t="s">
        <v>2160</v>
      </c>
      <c r="X169" s="56" t="s">
        <v>2195</v>
      </c>
      <c r="Y169" s="56" t="s">
        <v>2160</v>
      </c>
      <c r="Z169" s="56" t="s">
        <v>2214</v>
      </c>
      <c r="AA169" s="56" t="s">
        <v>2215</v>
      </c>
      <c r="AB169" s="56" t="s">
        <v>2216</v>
      </c>
      <c r="AC169" s="56" t="s">
        <v>1467</v>
      </c>
      <c r="AD169" s="56" t="s">
        <v>1468</v>
      </c>
      <c r="AE169" s="56" t="s">
        <v>2046</v>
      </c>
      <c r="AI169" s="56" t="s">
        <v>2219</v>
      </c>
    </row>
    <row r="170" spans="1:35" ht="246.5" x14ac:dyDescent="0.35">
      <c r="A170" s="56" t="s">
        <v>2213</v>
      </c>
      <c r="B170" s="56" t="s">
        <v>1451</v>
      </c>
      <c r="C170" s="56" t="s">
        <v>1452</v>
      </c>
      <c r="D170" s="56" t="s">
        <v>1224</v>
      </c>
      <c r="E170" s="56" t="s">
        <v>1453</v>
      </c>
      <c r="G170" s="56" t="s">
        <v>1281</v>
      </c>
      <c r="H170" s="56" t="s">
        <v>1326</v>
      </c>
      <c r="J170" s="56" t="s">
        <v>1239</v>
      </c>
      <c r="K170" s="56" t="s">
        <v>1322</v>
      </c>
      <c r="L170" s="56" t="s">
        <v>1323</v>
      </c>
      <c r="M170" s="56" t="s">
        <v>1324</v>
      </c>
      <c r="N170" s="56" t="s">
        <v>1325</v>
      </c>
      <c r="O170" s="56" t="s">
        <v>2205</v>
      </c>
      <c r="P170" s="56" t="s">
        <v>2153</v>
      </c>
      <c r="Q170" s="56" t="s">
        <v>2154</v>
      </c>
      <c r="R170" s="56" t="s">
        <v>2155</v>
      </c>
      <c r="S170" s="56" t="s">
        <v>2156</v>
      </c>
      <c r="T170" s="56" t="s">
        <v>2157</v>
      </c>
      <c r="U170" s="56" t="s">
        <v>2158</v>
      </c>
      <c r="V170" s="56" t="s">
        <v>2159</v>
      </c>
      <c r="W170" s="56" t="s">
        <v>2160</v>
      </c>
      <c r="X170" s="56" t="s">
        <v>2195</v>
      </c>
      <c r="Y170" s="56" t="s">
        <v>2160</v>
      </c>
      <c r="Z170" s="56" t="s">
        <v>2214</v>
      </c>
      <c r="AA170" s="56" t="s">
        <v>2215</v>
      </c>
      <c r="AB170" s="56" t="s">
        <v>2216</v>
      </c>
      <c r="AC170" s="56" t="s">
        <v>1471</v>
      </c>
      <c r="AD170" s="56" t="s">
        <v>1472</v>
      </c>
      <c r="AE170" s="56" t="s">
        <v>2046</v>
      </c>
      <c r="AF170" s="56" t="s">
        <v>1575</v>
      </c>
      <c r="AG170" s="56" t="s">
        <v>2220</v>
      </c>
      <c r="AH170" s="56" t="s">
        <v>2221</v>
      </c>
      <c r="AI170" s="56" t="s">
        <v>2219</v>
      </c>
    </row>
    <row r="171" spans="1:35" ht="116" x14ac:dyDescent="0.35">
      <c r="A171" s="56" t="s">
        <v>2213</v>
      </c>
      <c r="B171" s="56" t="s">
        <v>1451</v>
      </c>
      <c r="C171" s="56" t="s">
        <v>1452</v>
      </c>
      <c r="D171" s="56" t="s">
        <v>1224</v>
      </c>
      <c r="E171" s="56" t="s">
        <v>1453</v>
      </c>
      <c r="G171" s="56" t="s">
        <v>1281</v>
      </c>
      <c r="H171" s="56" t="s">
        <v>1326</v>
      </c>
      <c r="J171" s="56" t="s">
        <v>1239</v>
      </c>
      <c r="K171" s="56" t="s">
        <v>1322</v>
      </c>
      <c r="L171" s="56" t="s">
        <v>1323</v>
      </c>
      <c r="M171" s="56" t="s">
        <v>1324</v>
      </c>
      <c r="N171" s="56" t="s">
        <v>1325</v>
      </c>
      <c r="O171" s="56" t="s">
        <v>2205</v>
      </c>
      <c r="P171" s="56" t="s">
        <v>2153</v>
      </c>
      <c r="Q171" s="56" t="s">
        <v>2154</v>
      </c>
      <c r="R171" s="56" t="s">
        <v>2155</v>
      </c>
      <c r="S171" s="56" t="s">
        <v>2156</v>
      </c>
      <c r="T171" s="56" t="s">
        <v>2157</v>
      </c>
      <c r="U171" s="56" t="s">
        <v>2158</v>
      </c>
      <c r="V171" s="56" t="s">
        <v>2159</v>
      </c>
      <c r="W171" s="56" t="s">
        <v>2160</v>
      </c>
      <c r="X171" s="56" t="s">
        <v>2195</v>
      </c>
      <c r="Y171" s="56" t="s">
        <v>2160</v>
      </c>
      <c r="Z171" s="56" t="s">
        <v>2214</v>
      </c>
      <c r="AA171" s="56" t="s">
        <v>2215</v>
      </c>
      <c r="AB171" s="56" t="s">
        <v>2216</v>
      </c>
      <c r="AC171" s="56" t="s">
        <v>1475</v>
      </c>
      <c r="AD171" s="56" t="s">
        <v>1476</v>
      </c>
      <c r="AE171" s="56" t="s">
        <v>2046</v>
      </c>
      <c r="AI171" s="56" t="s">
        <v>2219</v>
      </c>
    </row>
    <row r="172" spans="1:35" ht="232" x14ac:dyDescent="0.35">
      <c r="A172" s="56" t="s">
        <v>2213</v>
      </c>
      <c r="B172" s="56" t="s">
        <v>1451</v>
      </c>
      <c r="C172" s="56" t="s">
        <v>1452</v>
      </c>
      <c r="D172" s="56" t="s">
        <v>1224</v>
      </c>
      <c r="E172" s="56" t="s">
        <v>1453</v>
      </c>
      <c r="G172" s="56" t="s">
        <v>1281</v>
      </c>
      <c r="H172" s="56" t="s">
        <v>1326</v>
      </c>
      <c r="J172" s="56" t="s">
        <v>1239</v>
      </c>
      <c r="K172" s="56" t="s">
        <v>1322</v>
      </c>
      <c r="L172" s="56" t="s">
        <v>1323</v>
      </c>
      <c r="M172" s="56" t="s">
        <v>1324</v>
      </c>
      <c r="N172" s="56" t="s">
        <v>1325</v>
      </c>
      <c r="O172" s="56" t="s">
        <v>2205</v>
      </c>
      <c r="P172" s="56" t="s">
        <v>2153</v>
      </c>
      <c r="Q172" s="56" t="s">
        <v>2154</v>
      </c>
      <c r="R172" s="56" t="s">
        <v>2155</v>
      </c>
      <c r="S172" s="56" t="s">
        <v>2156</v>
      </c>
      <c r="T172" s="56" t="s">
        <v>2157</v>
      </c>
      <c r="U172" s="56" t="s">
        <v>2158</v>
      </c>
      <c r="V172" s="56" t="s">
        <v>2159</v>
      </c>
      <c r="W172" s="56" t="s">
        <v>2160</v>
      </c>
      <c r="X172" s="56" t="s">
        <v>2195</v>
      </c>
      <c r="Y172" s="56" t="s">
        <v>2160</v>
      </c>
      <c r="Z172" s="56" t="s">
        <v>2214</v>
      </c>
      <c r="AA172" s="56" t="s">
        <v>2215</v>
      </c>
      <c r="AB172" s="56" t="s">
        <v>2216</v>
      </c>
      <c r="AC172" s="56" t="s">
        <v>1477</v>
      </c>
      <c r="AD172" s="56" t="s">
        <v>1478</v>
      </c>
      <c r="AE172" s="56" t="s">
        <v>2046</v>
      </c>
      <c r="AF172" s="56" t="s">
        <v>2070</v>
      </c>
      <c r="AG172" s="56" t="s">
        <v>2222</v>
      </c>
      <c r="AH172" s="56" t="s">
        <v>2223</v>
      </c>
      <c r="AI172" s="56" t="s">
        <v>2219</v>
      </c>
    </row>
    <row r="173" spans="1:35" ht="116" x14ac:dyDescent="0.35">
      <c r="A173" s="56" t="s">
        <v>2213</v>
      </c>
      <c r="B173" s="56" t="s">
        <v>1451</v>
      </c>
      <c r="C173" s="56" t="s">
        <v>1452</v>
      </c>
      <c r="D173" s="56" t="s">
        <v>1224</v>
      </c>
      <c r="E173" s="56" t="s">
        <v>1453</v>
      </c>
      <c r="G173" s="56" t="s">
        <v>1281</v>
      </c>
      <c r="H173" s="56" t="s">
        <v>1326</v>
      </c>
      <c r="J173" s="56" t="s">
        <v>1239</v>
      </c>
      <c r="K173" s="56" t="s">
        <v>1322</v>
      </c>
      <c r="L173" s="56" t="s">
        <v>1323</v>
      </c>
      <c r="M173" s="56" t="s">
        <v>1324</v>
      </c>
      <c r="N173" s="56" t="s">
        <v>1325</v>
      </c>
      <c r="O173" s="56" t="s">
        <v>2205</v>
      </c>
      <c r="P173" s="56" t="s">
        <v>2153</v>
      </c>
      <c r="Q173" s="56" t="s">
        <v>2154</v>
      </c>
      <c r="R173" s="56" t="s">
        <v>2155</v>
      </c>
      <c r="S173" s="56" t="s">
        <v>2156</v>
      </c>
      <c r="T173" s="56" t="s">
        <v>2157</v>
      </c>
      <c r="U173" s="56" t="s">
        <v>2158</v>
      </c>
      <c r="V173" s="56" t="s">
        <v>2159</v>
      </c>
      <c r="W173" s="56" t="s">
        <v>2160</v>
      </c>
      <c r="X173" s="56" t="s">
        <v>2195</v>
      </c>
      <c r="Y173" s="56" t="s">
        <v>2160</v>
      </c>
      <c r="Z173" s="56" t="s">
        <v>2214</v>
      </c>
      <c r="AA173" s="56" t="s">
        <v>2215</v>
      </c>
      <c r="AB173" s="56" t="s">
        <v>2216</v>
      </c>
      <c r="AC173" s="56" t="s">
        <v>1481</v>
      </c>
      <c r="AD173" s="56" t="s">
        <v>1482</v>
      </c>
      <c r="AE173" s="56" t="s">
        <v>2046</v>
      </c>
      <c r="AI173" s="56" t="s">
        <v>2219</v>
      </c>
    </row>
    <row r="174" spans="1:35" ht="116" x14ac:dyDescent="0.35">
      <c r="A174" s="56" t="s">
        <v>2213</v>
      </c>
      <c r="B174" s="56" t="s">
        <v>1451</v>
      </c>
      <c r="C174" s="56" t="s">
        <v>1452</v>
      </c>
      <c r="D174" s="56" t="s">
        <v>1224</v>
      </c>
      <c r="E174" s="56" t="s">
        <v>1453</v>
      </c>
      <c r="G174" s="56" t="s">
        <v>1281</v>
      </c>
      <c r="H174" s="56" t="s">
        <v>1326</v>
      </c>
      <c r="J174" s="56" t="s">
        <v>1239</v>
      </c>
      <c r="K174" s="56" t="s">
        <v>1322</v>
      </c>
      <c r="L174" s="56" t="s">
        <v>1323</v>
      </c>
      <c r="M174" s="56" t="s">
        <v>1324</v>
      </c>
      <c r="N174" s="56" t="s">
        <v>1325</v>
      </c>
      <c r="O174" s="56" t="s">
        <v>2205</v>
      </c>
      <c r="P174" s="56" t="s">
        <v>2153</v>
      </c>
      <c r="Q174" s="56" t="s">
        <v>2154</v>
      </c>
      <c r="R174" s="56" t="s">
        <v>2155</v>
      </c>
      <c r="S174" s="56" t="s">
        <v>2156</v>
      </c>
      <c r="T174" s="56" t="s">
        <v>2157</v>
      </c>
      <c r="U174" s="56" t="s">
        <v>2158</v>
      </c>
      <c r="V174" s="56" t="s">
        <v>2159</v>
      </c>
      <c r="W174" s="56" t="s">
        <v>2160</v>
      </c>
      <c r="X174" s="56" t="s">
        <v>2195</v>
      </c>
      <c r="Y174" s="56" t="s">
        <v>2160</v>
      </c>
      <c r="Z174" s="56" t="s">
        <v>2214</v>
      </c>
      <c r="AA174" s="56" t="s">
        <v>2215</v>
      </c>
      <c r="AB174" s="56" t="s">
        <v>2216</v>
      </c>
      <c r="AC174" s="56" t="s">
        <v>1483</v>
      </c>
      <c r="AD174" s="56" t="s">
        <v>1484</v>
      </c>
      <c r="AE174" s="56" t="s">
        <v>2046</v>
      </c>
      <c r="AI174" s="56" t="s">
        <v>2219</v>
      </c>
    </row>
    <row r="175" spans="1:35" ht="116" x14ac:dyDescent="0.35">
      <c r="A175" s="56" t="s">
        <v>2213</v>
      </c>
      <c r="B175" s="56" t="s">
        <v>1451</v>
      </c>
      <c r="C175" s="56" t="s">
        <v>1452</v>
      </c>
      <c r="D175" s="56" t="s">
        <v>1224</v>
      </c>
      <c r="E175" s="56" t="s">
        <v>1453</v>
      </c>
      <c r="G175" s="56" t="s">
        <v>1281</v>
      </c>
      <c r="H175" s="56" t="s">
        <v>1326</v>
      </c>
      <c r="J175" s="56" t="s">
        <v>1239</v>
      </c>
      <c r="K175" s="56" t="s">
        <v>1322</v>
      </c>
      <c r="L175" s="56" t="s">
        <v>1323</v>
      </c>
      <c r="M175" s="56" t="s">
        <v>1324</v>
      </c>
      <c r="N175" s="56" t="s">
        <v>1325</v>
      </c>
      <c r="O175" s="56" t="s">
        <v>2205</v>
      </c>
      <c r="P175" s="56" t="s">
        <v>2153</v>
      </c>
      <c r="Q175" s="56" t="s">
        <v>2154</v>
      </c>
      <c r="R175" s="56" t="s">
        <v>2155</v>
      </c>
      <c r="S175" s="56" t="s">
        <v>2156</v>
      </c>
      <c r="T175" s="56" t="s">
        <v>2157</v>
      </c>
      <c r="U175" s="56" t="s">
        <v>2158</v>
      </c>
      <c r="V175" s="56" t="s">
        <v>2159</v>
      </c>
      <c r="W175" s="56" t="s">
        <v>2160</v>
      </c>
      <c r="X175" s="56" t="s">
        <v>2195</v>
      </c>
      <c r="Y175" s="56" t="s">
        <v>2160</v>
      </c>
      <c r="Z175" s="56" t="s">
        <v>2214</v>
      </c>
      <c r="AA175" s="56" t="s">
        <v>2215</v>
      </c>
      <c r="AB175" s="56" t="s">
        <v>2216</v>
      </c>
      <c r="AC175" s="56" t="s">
        <v>1486</v>
      </c>
      <c r="AD175" s="56" t="s">
        <v>1487</v>
      </c>
      <c r="AE175" s="56" t="s">
        <v>2046</v>
      </c>
      <c r="AI175" s="56" t="s">
        <v>2219</v>
      </c>
    </row>
    <row r="176" spans="1:35" ht="159.5" x14ac:dyDescent="0.35">
      <c r="A176" s="56" t="s">
        <v>2213</v>
      </c>
      <c r="B176" s="56" t="s">
        <v>1451</v>
      </c>
      <c r="C176" s="56" t="s">
        <v>1452</v>
      </c>
      <c r="D176" s="56" t="s">
        <v>1224</v>
      </c>
      <c r="E176" s="56" t="s">
        <v>1453</v>
      </c>
      <c r="G176" s="56" t="s">
        <v>1281</v>
      </c>
      <c r="H176" s="56" t="s">
        <v>1326</v>
      </c>
      <c r="J176" s="56" t="s">
        <v>1239</v>
      </c>
      <c r="K176" s="56" t="s">
        <v>1322</v>
      </c>
      <c r="L176" s="56" t="s">
        <v>1323</v>
      </c>
      <c r="M176" s="56" t="s">
        <v>1324</v>
      </c>
      <c r="N176" s="56" t="s">
        <v>1325</v>
      </c>
      <c r="O176" s="56" t="s">
        <v>2205</v>
      </c>
      <c r="P176" s="56" t="s">
        <v>2153</v>
      </c>
      <c r="Q176" s="56" t="s">
        <v>2154</v>
      </c>
      <c r="R176" s="56" t="s">
        <v>2155</v>
      </c>
      <c r="S176" s="56" t="s">
        <v>2156</v>
      </c>
      <c r="T176" s="56" t="s">
        <v>2157</v>
      </c>
      <c r="U176" s="56" t="s">
        <v>2158</v>
      </c>
      <c r="V176" s="56" t="s">
        <v>2159</v>
      </c>
      <c r="W176" s="56" t="s">
        <v>2160</v>
      </c>
      <c r="X176" s="56" t="s">
        <v>2195</v>
      </c>
      <c r="Y176" s="56" t="s">
        <v>2160</v>
      </c>
      <c r="Z176" s="56" t="s">
        <v>2214</v>
      </c>
      <c r="AA176" s="56" t="s">
        <v>2215</v>
      </c>
      <c r="AB176" s="56" t="s">
        <v>2216</v>
      </c>
      <c r="AC176" s="56" t="s">
        <v>1488</v>
      </c>
      <c r="AD176" s="56" t="s">
        <v>1489</v>
      </c>
      <c r="AE176" s="56" t="s">
        <v>2046</v>
      </c>
      <c r="AF176" s="56" t="s">
        <v>2072</v>
      </c>
      <c r="AG176" s="56" t="s">
        <v>2224</v>
      </c>
      <c r="AH176" s="56" t="s">
        <v>2225</v>
      </c>
      <c r="AI176" s="56" t="s">
        <v>2219</v>
      </c>
    </row>
    <row r="177" spans="1:35" ht="116" x14ac:dyDescent="0.35">
      <c r="A177" s="56" t="s">
        <v>2213</v>
      </c>
      <c r="B177" s="56" t="s">
        <v>1451</v>
      </c>
      <c r="C177" s="56" t="s">
        <v>1452</v>
      </c>
      <c r="D177" s="56" t="s">
        <v>1224</v>
      </c>
      <c r="E177" s="56" t="s">
        <v>1453</v>
      </c>
      <c r="G177" s="56" t="s">
        <v>1281</v>
      </c>
      <c r="H177" s="56" t="s">
        <v>1326</v>
      </c>
      <c r="J177" s="56" t="s">
        <v>1239</v>
      </c>
      <c r="K177" s="56" t="s">
        <v>1322</v>
      </c>
      <c r="L177" s="56" t="s">
        <v>1323</v>
      </c>
      <c r="M177" s="56" t="s">
        <v>1324</v>
      </c>
      <c r="N177" s="56" t="s">
        <v>1325</v>
      </c>
      <c r="O177" s="56" t="s">
        <v>2205</v>
      </c>
      <c r="P177" s="56" t="s">
        <v>2153</v>
      </c>
      <c r="Q177" s="56" t="s">
        <v>2154</v>
      </c>
      <c r="R177" s="56" t="s">
        <v>2155</v>
      </c>
      <c r="S177" s="56" t="s">
        <v>2156</v>
      </c>
      <c r="T177" s="56" t="s">
        <v>2157</v>
      </c>
      <c r="U177" s="56" t="s">
        <v>2158</v>
      </c>
      <c r="V177" s="56" t="s">
        <v>2159</v>
      </c>
      <c r="W177" s="56" t="s">
        <v>2160</v>
      </c>
      <c r="X177" s="56" t="s">
        <v>2195</v>
      </c>
      <c r="Y177" s="56" t="s">
        <v>2160</v>
      </c>
      <c r="Z177" s="56" t="s">
        <v>2214</v>
      </c>
      <c r="AA177" s="56" t="s">
        <v>2215</v>
      </c>
      <c r="AB177" s="56" t="s">
        <v>2216</v>
      </c>
      <c r="AC177" s="56" t="s">
        <v>1490</v>
      </c>
      <c r="AD177" s="56" t="s">
        <v>1491</v>
      </c>
      <c r="AE177" s="56" t="s">
        <v>2046</v>
      </c>
      <c r="AI177" s="56" t="s">
        <v>2219</v>
      </c>
    </row>
    <row r="178" spans="1:35" ht="116" x14ac:dyDescent="0.35">
      <c r="A178" s="56" t="s">
        <v>2213</v>
      </c>
      <c r="B178" s="56" t="s">
        <v>1451</v>
      </c>
      <c r="C178" s="56" t="s">
        <v>1452</v>
      </c>
      <c r="D178" s="56" t="s">
        <v>1224</v>
      </c>
      <c r="E178" s="56" t="s">
        <v>1453</v>
      </c>
      <c r="G178" s="56" t="s">
        <v>1281</v>
      </c>
      <c r="H178" s="56" t="s">
        <v>1326</v>
      </c>
      <c r="J178" s="56" t="s">
        <v>1239</v>
      </c>
      <c r="K178" s="56" t="s">
        <v>1322</v>
      </c>
      <c r="L178" s="56" t="s">
        <v>1323</v>
      </c>
      <c r="M178" s="56" t="s">
        <v>1324</v>
      </c>
      <c r="N178" s="56" t="s">
        <v>1325</v>
      </c>
      <c r="O178" s="56" t="s">
        <v>2205</v>
      </c>
      <c r="P178" s="56" t="s">
        <v>2153</v>
      </c>
      <c r="Q178" s="56" t="s">
        <v>2154</v>
      </c>
      <c r="R178" s="56" t="s">
        <v>2155</v>
      </c>
      <c r="S178" s="56" t="s">
        <v>2156</v>
      </c>
      <c r="T178" s="56" t="s">
        <v>2157</v>
      </c>
      <c r="U178" s="56" t="s">
        <v>2158</v>
      </c>
      <c r="V178" s="56" t="s">
        <v>2159</v>
      </c>
      <c r="W178" s="56" t="s">
        <v>2160</v>
      </c>
      <c r="X178" s="56" t="s">
        <v>2195</v>
      </c>
      <c r="Y178" s="56" t="s">
        <v>2160</v>
      </c>
      <c r="Z178" s="56" t="s">
        <v>2214</v>
      </c>
      <c r="AA178" s="56" t="s">
        <v>2215</v>
      </c>
      <c r="AB178" s="56" t="s">
        <v>2216</v>
      </c>
      <c r="AC178" s="56" t="s">
        <v>1492</v>
      </c>
      <c r="AD178" s="56" t="s">
        <v>1538</v>
      </c>
      <c r="AE178" s="56" t="s">
        <v>1493</v>
      </c>
      <c r="AI178" s="56" t="s">
        <v>2219</v>
      </c>
    </row>
    <row r="179" spans="1:35" ht="116" x14ac:dyDescent="0.35">
      <c r="A179" s="56" t="s">
        <v>2213</v>
      </c>
      <c r="B179" s="56" t="s">
        <v>1451</v>
      </c>
      <c r="C179" s="56" t="s">
        <v>1452</v>
      </c>
      <c r="D179" s="56" t="s">
        <v>1224</v>
      </c>
      <c r="E179" s="56" t="s">
        <v>1453</v>
      </c>
      <c r="G179" s="56" t="s">
        <v>1281</v>
      </c>
      <c r="H179" s="56" t="s">
        <v>1326</v>
      </c>
      <c r="J179" s="56" t="s">
        <v>1239</v>
      </c>
      <c r="K179" s="56" t="s">
        <v>1322</v>
      </c>
      <c r="L179" s="56" t="s">
        <v>1323</v>
      </c>
      <c r="M179" s="56" t="s">
        <v>1324</v>
      </c>
      <c r="N179" s="56" t="s">
        <v>1325</v>
      </c>
      <c r="O179" s="56" t="s">
        <v>2205</v>
      </c>
      <c r="P179" s="56" t="s">
        <v>2153</v>
      </c>
      <c r="Q179" s="56" t="s">
        <v>2154</v>
      </c>
      <c r="R179" s="56" t="s">
        <v>2155</v>
      </c>
      <c r="S179" s="56" t="s">
        <v>2156</v>
      </c>
      <c r="T179" s="56" t="s">
        <v>2157</v>
      </c>
      <c r="U179" s="56" t="s">
        <v>2158</v>
      </c>
      <c r="V179" s="56" t="s">
        <v>2159</v>
      </c>
      <c r="W179" s="56" t="s">
        <v>2160</v>
      </c>
      <c r="X179" s="56" t="s">
        <v>2195</v>
      </c>
      <c r="Y179" s="56" t="s">
        <v>2160</v>
      </c>
      <c r="Z179" s="56" t="s">
        <v>2214</v>
      </c>
      <c r="AA179" s="56" t="s">
        <v>2215</v>
      </c>
      <c r="AB179" s="56" t="s">
        <v>2216</v>
      </c>
      <c r="AC179" s="56" t="s">
        <v>1494</v>
      </c>
      <c r="AD179" s="56" t="s">
        <v>1539</v>
      </c>
      <c r="AE179" s="56" t="s">
        <v>1493</v>
      </c>
      <c r="AI179" s="56" t="s">
        <v>2219</v>
      </c>
    </row>
    <row r="180" spans="1:35" ht="116" x14ac:dyDescent="0.35">
      <c r="A180" s="56" t="s">
        <v>2213</v>
      </c>
      <c r="B180" s="56" t="s">
        <v>1451</v>
      </c>
      <c r="C180" s="56" t="s">
        <v>1452</v>
      </c>
      <c r="D180" s="56" t="s">
        <v>1224</v>
      </c>
      <c r="E180" s="56" t="s">
        <v>1453</v>
      </c>
      <c r="G180" s="56" t="s">
        <v>1281</v>
      </c>
      <c r="H180" s="56" t="s">
        <v>1326</v>
      </c>
      <c r="J180" s="56" t="s">
        <v>1239</v>
      </c>
      <c r="K180" s="56" t="s">
        <v>1322</v>
      </c>
      <c r="L180" s="56" t="s">
        <v>1323</v>
      </c>
      <c r="M180" s="56" t="s">
        <v>1324</v>
      </c>
      <c r="N180" s="56" t="s">
        <v>1325</v>
      </c>
      <c r="O180" s="56" t="s">
        <v>2205</v>
      </c>
      <c r="P180" s="56" t="s">
        <v>2153</v>
      </c>
      <c r="Q180" s="56" t="s">
        <v>2154</v>
      </c>
      <c r="R180" s="56" t="s">
        <v>2155</v>
      </c>
      <c r="S180" s="56" t="s">
        <v>2156</v>
      </c>
      <c r="T180" s="56" t="s">
        <v>2157</v>
      </c>
      <c r="U180" s="56" t="s">
        <v>2158</v>
      </c>
      <c r="V180" s="56" t="s">
        <v>2159</v>
      </c>
      <c r="W180" s="56" t="s">
        <v>2160</v>
      </c>
      <c r="X180" s="56" t="s">
        <v>2195</v>
      </c>
      <c r="Y180" s="56" t="s">
        <v>2160</v>
      </c>
      <c r="Z180" s="56" t="s">
        <v>2214</v>
      </c>
      <c r="AA180" s="56" t="s">
        <v>2215</v>
      </c>
      <c r="AB180" s="56" t="s">
        <v>2216</v>
      </c>
      <c r="AC180" s="56" t="s">
        <v>1495</v>
      </c>
      <c r="AE180" s="56" t="s">
        <v>1493</v>
      </c>
      <c r="AI180" s="56" t="s">
        <v>2219</v>
      </c>
    </row>
    <row r="181" spans="1:35" ht="116" x14ac:dyDescent="0.35">
      <c r="A181" s="56" t="s">
        <v>2213</v>
      </c>
      <c r="B181" s="56" t="s">
        <v>1451</v>
      </c>
      <c r="C181" s="56" t="s">
        <v>1452</v>
      </c>
      <c r="D181" s="56" t="s">
        <v>1224</v>
      </c>
      <c r="E181" s="56" t="s">
        <v>1453</v>
      </c>
      <c r="G181" s="56" t="s">
        <v>1281</v>
      </c>
      <c r="H181" s="56" t="s">
        <v>1326</v>
      </c>
      <c r="J181" s="56" t="s">
        <v>1239</v>
      </c>
      <c r="K181" s="56" t="s">
        <v>1322</v>
      </c>
      <c r="L181" s="56" t="s">
        <v>1323</v>
      </c>
      <c r="M181" s="56" t="s">
        <v>1324</v>
      </c>
      <c r="N181" s="56" t="s">
        <v>1325</v>
      </c>
      <c r="O181" s="56" t="s">
        <v>2205</v>
      </c>
      <c r="P181" s="56" t="s">
        <v>2153</v>
      </c>
      <c r="Q181" s="56" t="s">
        <v>2154</v>
      </c>
      <c r="R181" s="56" t="s">
        <v>2155</v>
      </c>
      <c r="S181" s="56" t="s">
        <v>2156</v>
      </c>
      <c r="T181" s="56" t="s">
        <v>2157</v>
      </c>
      <c r="U181" s="56" t="s">
        <v>2158</v>
      </c>
      <c r="V181" s="56" t="s">
        <v>2159</v>
      </c>
      <c r="W181" s="56" t="s">
        <v>2160</v>
      </c>
      <c r="X181" s="56" t="s">
        <v>2195</v>
      </c>
      <c r="Y181" s="56" t="s">
        <v>2160</v>
      </c>
      <c r="Z181" s="56" t="s">
        <v>2214</v>
      </c>
      <c r="AA181" s="56" t="s">
        <v>2215</v>
      </c>
      <c r="AB181" s="56" t="s">
        <v>2216</v>
      </c>
      <c r="AC181" s="56" t="s">
        <v>1496</v>
      </c>
      <c r="AE181" s="56" t="s">
        <v>1493</v>
      </c>
      <c r="AI181" s="56" t="s">
        <v>2219</v>
      </c>
    </row>
    <row r="182" spans="1:35" ht="116" x14ac:dyDescent="0.35">
      <c r="A182" s="56" t="s">
        <v>2213</v>
      </c>
      <c r="B182" s="56" t="s">
        <v>1451</v>
      </c>
      <c r="C182" s="56" t="s">
        <v>1452</v>
      </c>
      <c r="D182" s="56" t="s">
        <v>1224</v>
      </c>
      <c r="E182" s="56" t="s">
        <v>1453</v>
      </c>
      <c r="G182" s="56" t="s">
        <v>1281</v>
      </c>
      <c r="H182" s="56" t="s">
        <v>1326</v>
      </c>
      <c r="J182" s="56" t="s">
        <v>1239</v>
      </c>
      <c r="K182" s="56" t="s">
        <v>1322</v>
      </c>
      <c r="L182" s="56" t="s">
        <v>1323</v>
      </c>
      <c r="M182" s="56" t="s">
        <v>1324</v>
      </c>
      <c r="N182" s="56" t="s">
        <v>1325</v>
      </c>
      <c r="O182" s="56" t="s">
        <v>2205</v>
      </c>
      <c r="P182" s="56" t="s">
        <v>2153</v>
      </c>
      <c r="Q182" s="56" t="s">
        <v>2154</v>
      </c>
      <c r="R182" s="56" t="s">
        <v>2155</v>
      </c>
      <c r="S182" s="56" t="s">
        <v>2156</v>
      </c>
      <c r="T182" s="56" t="s">
        <v>2157</v>
      </c>
      <c r="U182" s="56" t="s">
        <v>2158</v>
      </c>
      <c r="V182" s="56" t="s">
        <v>2159</v>
      </c>
      <c r="W182" s="56" t="s">
        <v>2160</v>
      </c>
      <c r="X182" s="56" t="s">
        <v>2195</v>
      </c>
      <c r="Y182" s="56" t="s">
        <v>2160</v>
      </c>
      <c r="Z182" s="56" t="s">
        <v>2214</v>
      </c>
      <c r="AA182" s="56" t="s">
        <v>2215</v>
      </c>
      <c r="AB182" s="56" t="s">
        <v>2216</v>
      </c>
      <c r="AC182" s="56" t="s">
        <v>1499</v>
      </c>
      <c r="AE182" s="56" t="s">
        <v>1493</v>
      </c>
      <c r="AI182" s="56" t="s">
        <v>2219</v>
      </c>
    </row>
    <row r="183" spans="1:35" ht="116" x14ac:dyDescent="0.35">
      <c r="A183" s="56" t="s">
        <v>2213</v>
      </c>
      <c r="B183" s="56" t="s">
        <v>1451</v>
      </c>
      <c r="C183" s="56" t="s">
        <v>1452</v>
      </c>
      <c r="D183" s="56" t="s">
        <v>1224</v>
      </c>
      <c r="E183" s="56" t="s">
        <v>1453</v>
      </c>
      <c r="G183" s="56" t="s">
        <v>1281</v>
      </c>
      <c r="H183" s="56" t="s">
        <v>1326</v>
      </c>
      <c r="J183" s="56" t="s">
        <v>1239</v>
      </c>
      <c r="K183" s="56" t="s">
        <v>1322</v>
      </c>
      <c r="L183" s="56" t="s">
        <v>1323</v>
      </c>
      <c r="M183" s="56" t="s">
        <v>1324</v>
      </c>
      <c r="N183" s="56" t="s">
        <v>1325</v>
      </c>
      <c r="O183" s="56" t="s">
        <v>2205</v>
      </c>
      <c r="P183" s="56" t="s">
        <v>2153</v>
      </c>
      <c r="Q183" s="56" t="s">
        <v>2154</v>
      </c>
      <c r="R183" s="56" t="s">
        <v>2155</v>
      </c>
      <c r="S183" s="56" t="s">
        <v>2156</v>
      </c>
      <c r="T183" s="56" t="s">
        <v>2157</v>
      </c>
      <c r="U183" s="56" t="s">
        <v>2158</v>
      </c>
      <c r="V183" s="56" t="s">
        <v>2159</v>
      </c>
      <c r="W183" s="56" t="s">
        <v>2160</v>
      </c>
      <c r="X183" s="56" t="s">
        <v>2195</v>
      </c>
      <c r="Y183" s="56" t="s">
        <v>2160</v>
      </c>
      <c r="Z183" s="56" t="s">
        <v>2214</v>
      </c>
      <c r="AA183" s="56" t="s">
        <v>2215</v>
      </c>
      <c r="AB183" s="56" t="s">
        <v>2216</v>
      </c>
      <c r="AC183" s="56" t="s">
        <v>1500</v>
      </c>
      <c r="AE183" s="56" t="s">
        <v>1493</v>
      </c>
      <c r="AI183" s="56" t="s">
        <v>2219</v>
      </c>
    </row>
    <row r="184" spans="1:35" ht="116" x14ac:dyDescent="0.35">
      <c r="A184" s="56" t="s">
        <v>2213</v>
      </c>
      <c r="B184" s="56" t="s">
        <v>1451</v>
      </c>
      <c r="C184" s="56" t="s">
        <v>1452</v>
      </c>
      <c r="D184" s="56" t="s">
        <v>1224</v>
      </c>
      <c r="E184" s="56" t="s">
        <v>1453</v>
      </c>
      <c r="G184" s="56" t="s">
        <v>1281</v>
      </c>
      <c r="H184" s="56" t="s">
        <v>1326</v>
      </c>
      <c r="J184" s="56" t="s">
        <v>1239</v>
      </c>
      <c r="K184" s="56" t="s">
        <v>1322</v>
      </c>
      <c r="L184" s="56" t="s">
        <v>1323</v>
      </c>
      <c r="M184" s="56" t="s">
        <v>1324</v>
      </c>
      <c r="N184" s="56" t="s">
        <v>1325</v>
      </c>
      <c r="O184" s="56" t="s">
        <v>2205</v>
      </c>
      <c r="P184" s="56" t="s">
        <v>2153</v>
      </c>
      <c r="Q184" s="56" t="s">
        <v>2154</v>
      </c>
      <c r="R184" s="56" t="s">
        <v>2155</v>
      </c>
      <c r="S184" s="56" t="s">
        <v>2156</v>
      </c>
      <c r="T184" s="56" t="s">
        <v>2157</v>
      </c>
      <c r="U184" s="56" t="s">
        <v>2158</v>
      </c>
      <c r="V184" s="56" t="s">
        <v>2159</v>
      </c>
      <c r="W184" s="56" t="s">
        <v>2160</v>
      </c>
      <c r="X184" s="56" t="s">
        <v>2195</v>
      </c>
      <c r="Y184" s="56" t="s">
        <v>2160</v>
      </c>
      <c r="Z184" s="56" t="s">
        <v>2214</v>
      </c>
      <c r="AA184" s="56" t="s">
        <v>2215</v>
      </c>
      <c r="AB184" s="56" t="s">
        <v>2216</v>
      </c>
      <c r="AC184" s="56" t="s">
        <v>1501</v>
      </c>
      <c r="AE184" s="56" t="s">
        <v>1493</v>
      </c>
      <c r="AI184" s="56" t="s">
        <v>2219</v>
      </c>
    </row>
    <row r="185" spans="1:35" ht="116" x14ac:dyDescent="0.35">
      <c r="A185" s="56" t="s">
        <v>2213</v>
      </c>
      <c r="B185" s="56" t="s">
        <v>1451</v>
      </c>
      <c r="C185" s="56" t="s">
        <v>1452</v>
      </c>
      <c r="D185" s="56" t="s">
        <v>1224</v>
      </c>
      <c r="E185" s="56" t="s">
        <v>1453</v>
      </c>
      <c r="G185" s="56" t="s">
        <v>1281</v>
      </c>
      <c r="H185" s="56" t="s">
        <v>1326</v>
      </c>
      <c r="J185" s="56" t="s">
        <v>1239</v>
      </c>
      <c r="K185" s="56" t="s">
        <v>1322</v>
      </c>
      <c r="L185" s="56" t="s">
        <v>1323</v>
      </c>
      <c r="M185" s="56" t="s">
        <v>1324</v>
      </c>
      <c r="N185" s="56" t="s">
        <v>1325</v>
      </c>
      <c r="O185" s="56" t="s">
        <v>2205</v>
      </c>
      <c r="P185" s="56" t="s">
        <v>2153</v>
      </c>
      <c r="Q185" s="56" t="s">
        <v>2154</v>
      </c>
      <c r="R185" s="56" t="s">
        <v>2155</v>
      </c>
      <c r="S185" s="56" t="s">
        <v>2156</v>
      </c>
      <c r="T185" s="56" t="s">
        <v>2157</v>
      </c>
      <c r="U185" s="56" t="s">
        <v>2158</v>
      </c>
      <c r="V185" s="56" t="s">
        <v>2159</v>
      </c>
      <c r="W185" s="56" t="s">
        <v>2160</v>
      </c>
      <c r="X185" s="56" t="s">
        <v>2195</v>
      </c>
      <c r="Y185" s="56" t="s">
        <v>2160</v>
      </c>
      <c r="Z185" s="56" t="s">
        <v>2214</v>
      </c>
      <c r="AA185" s="56" t="s">
        <v>2215</v>
      </c>
      <c r="AB185" s="56" t="s">
        <v>2216</v>
      </c>
      <c r="AC185" s="56" t="s">
        <v>1502</v>
      </c>
      <c r="AE185" s="56" t="s">
        <v>1493</v>
      </c>
      <c r="AI185" s="56" t="s">
        <v>2219</v>
      </c>
    </row>
    <row r="186" spans="1:35" ht="116" x14ac:dyDescent="0.35">
      <c r="A186" s="56" t="s">
        <v>2213</v>
      </c>
      <c r="B186" s="56" t="s">
        <v>1451</v>
      </c>
      <c r="C186" s="56" t="s">
        <v>1452</v>
      </c>
      <c r="D186" s="56" t="s">
        <v>1224</v>
      </c>
      <c r="E186" s="56" t="s">
        <v>1453</v>
      </c>
      <c r="G186" s="56" t="s">
        <v>1281</v>
      </c>
      <c r="H186" s="56" t="s">
        <v>1326</v>
      </c>
      <c r="J186" s="56" t="s">
        <v>1239</v>
      </c>
      <c r="K186" s="56" t="s">
        <v>1322</v>
      </c>
      <c r="L186" s="56" t="s">
        <v>1323</v>
      </c>
      <c r="M186" s="56" t="s">
        <v>1324</v>
      </c>
      <c r="N186" s="56" t="s">
        <v>1325</v>
      </c>
      <c r="O186" s="56" t="s">
        <v>2205</v>
      </c>
      <c r="P186" s="56" t="s">
        <v>2153</v>
      </c>
      <c r="Q186" s="56" t="s">
        <v>2154</v>
      </c>
      <c r="R186" s="56" t="s">
        <v>2155</v>
      </c>
      <c r="S186" s="56" t="s">
        <v>2156</v>
      </c>
      <c r="T186" s="56" t="s">
        <v>2157</v>
      </c>
      <c r="U186" s="56" t="s">
        <v>2158</v>
      </c>
      <c r="V186" s="56" t="s">
        <v>2159</v>
      </c>
      <c r="W186" s="56" t="s">
        <v>2160</v>
      </c>
      <c r="X186" s="56" t="s">
        <v>2195</v>
      </c>
      <c r="Y186" s="56" t="s">
        <v>2160</v>
      </c>
      <c r="Z186" s="56" t="s">
        <v>2214</v>
      </c>
      <c r="AA186" s="56" t="s">
        <v>2215</v>
      </c>
      <c r="AB186" s="56" t="s">
        <v>2216</v>
      </c>
      <c r="AC186" s="56" t="s">
        <v>1503</v>
      </c>
      <c r="AE186" s="56" t="s">
        <v>1493</v>
      </c>
      <c r="AI186" s="56" t="s">
        <v>2219</v>
      </c>
    </row>
    <row r="187" spans="1:35" ht="116" x14ac:dyDescent="0.35">
      <c r="A187" s="56" t="s">
        <v>2213</v>
      </c>
      <c r="B187" s="56" t="s">
        <v>1451</v>
      </c>
      <c r="C187" s="56" t="s">
        <v>1452</v>
      </c>
      <c r="D187" s="56" t="s">
        <v>1224</v>
      </c>
      <c r="E187" s="56" t="s">
        <v>1453</v>
      </c>
      <c r="G187" s="56" t="s">
        <v>1281</v>
      </c>
      <c r="H187" s="56" t="s">
        <v>1326</v>
      </c>
      <c r="J187" s="56" t="s">
        <v>1239</v>
      </c>
      <c r="K187" s="56" t="s">
        <v>1322</v>
      </c>
      <c r="L187" s="56" t="s">
        <v>1323</v>
      </c>
      <c r="M187" s="56" t="s">
        <v>1324</v>
      </c>
      <c r="N187" s="56" t="s">
        <v>1325</v>
      </c>
      <c r="O187" s="56" t="s">
        <v>2205</v>
      </c>
      <c r="P187" s="56" t="s">
        <v>2153</v>
      </c>
      <c r="Q187" s="56" t="s">
        <v>2154</v>
      </c>
      <c r="R187" s="56" t="s">
        <v>2155</v>
      </c>
      <c r="S187" s="56" t="s">
        <v>2156</v>
      </c>
      <c r="T187" s="56" t="s">
        <v>2157</v>
      </c>
      <c r="U187" s="56" t="s">
        <v>2158</v>
      </c>
      <c r="V187" s="56" t="s">
        <v>2159</v>
      </c>
      <c r="W187" s="56" t="s">
        <v>2160</v>
      </c>
      <c r="X187" s="56" t="s">
        <v>2195</v>
      </c>
      <c r="Y187" s="56" t="s">
        <v>2160</v>
      </c>
      <c r="Z187" s="56" t="s">
        <v>2214</v>
      </c>
      <c r="AA187" s="56" t="s">
        <v>2215</v>
      </c>
      <c r="AB187" s="56" t="s">
        <v>2216</v>
      </c>
      <c r="AC187" s="56" t="s">
        <v>1504</v>
      </c>
      <c r="AE187" s="56" t="s">
        <v>1493</v>
      </c>
      <c r="AI187" s="56" t="s">
        <v>2219</v>
      </c>
    </row>
    <row r="188" spans="1:35" ht="116" x14ac:dyDescent="0.35">
      <c r="A188" s="56" t="s">
        <v>2213</v>
      </c>
      <c r="B188" s="56" t="s">
        <v>1451</v>
      </c>
      <c r="C188" s="56" t="s">
        <v>1452</v>
      </c>
      <c r="D188" s="56" t="s">
        <v>1224</v>
      </c>
      <c r="E188" s="56" t="s">
        <v>1453</v>
      </c>
      <c r="G188" s="56" t="s">
        <v>1281</v>
      </c>
      <c r="H188" s="56" t="s">
        <v>1326</v>
      </c>
      <c r="J188" s="56" t="s">
        <v>1239</v>
      </c>
      <c r="K188" s="56" t="s">
        <v>1322</v>
      </c>
      <c r="L188" s="56" t="s">
        <v>1323</v>
      </c>
      <c r="M188" s="56" t="s">
        <v>1324</v>
      </c>
      <c r="N188" s="56" t="s">
        <v>1325</v>
      </c>
      <c r="O188" s="56" t="s">
        <v>2205</v>
      </c>
      <c r="P188" s="56" t="s">
        <v>2153</v>
      </c>
      <c r="Q188" s="56" t="s">
        <v>2154</v>
      </c>
      <c r="R188" s="56" t="s">
        <v>2155</v>
      </c>
      <c r="S188" s="56" t="s">
        <v>2156</v>
      </c>
      <c r="T188" s="56" t="s">
        <v>2157</v>
      </c>
      <c r="U188" s="56" t="s">
        <v>2158</v>
      </c>
      <c r="V188" s="56" t="s">
        <v>2159</v>
      </c>
      <c r="W188" s="56" t="s">
        <v>2160</v>
      </c>
      <c r="X188" s="56" t="s">
        <v>2195</v>
      </c>
      <c r="Y188" s="56" t="s">
        <v>2160</v>
      </c>
      <c r="Z188" s="56" t="s">
        <v>2214</v>
      </c>
      <c r="AA188" s="56" t="s">
        <v>2215</v>
      </c>
      <c r="AB188" s="56" t="s">
        <v>2216</v>
      </c>
      <c r="AC188" s="56" t="s">
        <v>1505</v>
      </c>
      <c r="AE188" s="56" t="s">
        <v>1493</v>
      </c>
      <c r="AI188" s="56" t="s">
        <v>2219</v>
      </c>
    </row>
    <row r="189" spans="1:35" ht="116" x14ac:dyDescent="0.35">
      <c r="A189" s="56" t="s">
        <v>2213</v>
      </c>
      <c r="B189" s="56" t="s">
        <v>1451</v>
      </c>
      <c r="C189" s="56" t="s">
        <v>1452</v>
      </c>
      <c r="D189" s="56" t="s">
        <v>1224</v>
      </c>
      <c r="E189" s="56" t="s">
        <v>1453</v>
      </c>
      <c r="G189" s="56" t="s">
        <v>1281</v>
      </c>
      <c r="H189" s="56" t="s">
        <v>1326</v>
      </c>
      <c r="J189" s="56" t="s">
        <v>1239</v>
      </c>
      <c r="K189" s="56" t="s">
        <v>1322</v>
      </c>
      <c r="L189" s="56" t="s">
        <v>1323</v>
      </c>
      <c r="M189" s="56" t="s">
        <v>1324</v>
      </c>
      <c r="N189" s="56" t="s">
        <v>1325</v>
      </c>
      <c r="O189" s="56" t="s">
        <v>2205</v>
      </c>
      <c r="P189" s="56" t="s">
        <v>2153</v>
      </c>
      <c r="Q189" s="56" t="s">
        <v>2154</v>
      </c>
      <c r="R189" s="56" t="s">
        <v>2155</v>
      </c>
      <c r="S189" s="56" t="s">
        <v>2156</v>
      </c>
      <c r="T189" s="56" t="s">
        <v>2157</v>
      </c>
      <c r="U189" s="56" t="s">
        <v>2158</v>
      </c>
      <c r="V189" s="56" t="s">
        <v>2159</v>
      </c>
      <c r="W189" s="56" t="s">
        <v>2160</v>
      </c>
      <c r="X189" s="56" t="s">
        <v>2195</v>
      </c>
      <c r="Y189" s="56" t="s">
        <v>2160</v>
      </c>
      <c r="Z189" s="56" t="s">
        <v>2214</v>
      </c>
      <c r="AA189" s="56" t="s">
        <v>2215</v>
      </c>
      <c r="AB189" s="56" t="s">
        <v>2216</v>
      </c>
      <c r="AC189" s="56" t="s">
        <v>1506</v>
      </c>
      <c r="AE189" s="56" t="s">
        <v>1493</v>
      </c>
      <c r="AI189" s="56" t="s">
        <v>2219</v>
      </c>
    </row>
    <row r="190" spans="1:35" ht="116" x14ac:dyDescent="0.35">
      <c r="A190" s="56" t="s">
        <v>2213</v>
      </c>
      <c r="B190" s="56" t="s">
        <v>1451</v>
      </c>
      <c r="C190" s="56" t="s">
        <v>1452</v>
      </c>
      <c r="D190" s="56" t="s">
        <v>1224</v>
      </c>
      <c r="E190" s="56" t="s">
        <v>1453</v>
      </c>
      <c r="G190" s="56" t="s">
        <v>1281</v>
      </c>
      <c r="H190" s="56" t="s">
        <v>1326</v>
      </c>
      <c r="J190" s="56" t="s">
        <v>1239</v>
      </c>
      <c r="K190" s="56" t="s">
        <v>1322</v>
      </c>
      <c r="L190" s="56" t="s">
        <v>1323</v>
      </c>
      <c r="M190" s="56" t="s">
        <v>1324</v>
      </c>
      <c r="N190" s="56" t="s">
        <v>1325</v>
      </c>
      <c r="O190" s="56" t="s">
        <v>2205</v>
      </c>
      <c r="P190" s="56" t="s">
        <v>2153</v>
      </c>
      <c r="Q190" s="56" t="s">
        <v>2154</v>
      </c>
      <c r="R190" s="56" t="s">
        <v>2155</v>
      </c>
      <c r="S190" s="56" t="s">
        <v>2156</v>
      </c>
      <c r="T190" s="56" t="s">
        <v>2157</v>
      </c>
      <c r="U190" s="56" t="s">
        <v>2158</v>
      </c>
      <c r="V190" s="56" t="s">
        <v>2159</v>
      </c>
      <c r="W190" s="56" t="s">
        <v>2160</v>
      </c>
      <c r="X190" s="56" t="s">
        <v>2195</v>
      </c>
      <c r="Y190" s="56" t="s">
        <v>2160</v>
      </c>
      <c r="Z190" s="56" t="s">
        <v>2214</v>
      </c>
      <c r="AA190" s="56" t="s">
        <v>2215</v>
      </c>
      <c r="AB190" s="56" t="s">
        <v>2216</v>
      </c>
      <c r="AC190" s="56" t="s">
        <v>1507</v>
      </c>
      <c r="AE190" s="56" t="s">
        <v>1493</v>
      </c>
      <c r="AI190" s="56" t="s">
        <v>2219</v>
      </c>
    </row>
    <row r="191" spans="1:35" ht="116" x14ac:dyDescent="0.35">
      <c r="A191" s="56" t="s">
        <v>2213</v>
      </c>
      <c r="B191" s="56" t="s">
        <v>1451</v>
      </c>
      <c r="C191" s="56" t="s">
        <v>1452</v>
      </c>
      <c r="D191" s="56" t="s">
        <v>1224</v>
      </c>
      <c r="E191" s="56" t="s">
        <v>1453</v>
      </c>
      <c r="G191" s="56" t="s">
        <v>1281</v>
      </c>
      <c r="H191" s="56" t="s">
        <v>1326</v>
      </c>
      <c r="J191" s="56" t="s">
        <v>1239</v>
      </c>
      <c r="K191" s="56" t="s">
        <v>1322</v>
      </c>
      <c r="L191" s="56" t="s">
        <v>1323</v>
      </c>
      <c r="M191" s="56" t="s">
        <v>1324</v>
      </c>
      <c r="N191" s="56" t="s">
        <v>1325</v>
      </c>
      <c r="O191" s="56" t="s">
        <v>2205</v>
      </c>
      <c r="P191" s="56" t="s">
        <v>2153</v>
      </c>
      <c r="Q191" s="56" t="s">
        <v>2154</v>
      </c>
      <c r="R191" s="56" t="s">
        <v>2155</v>
      </c>
      <c r="S191" s="56" t="s">
        <v>2156</v>
      </c>
      <c r="T191" s="56" t="s">
        <v>2157</v>
      </c>
      <c r="U191" s="56" t="s">
        <v>2158</v>
      </c>
      <c r="V191" s="56" t="s">
        <v>2159</v>
      </c>
      <c r="W191" s="56" t="s">
        <v>2160</v>
      </c>
      <c r="X191" s="56" t="s">
        <v>2195</v>
      </c>
      <c r="Y191" s="56" t="s">
        <v>2160</v>
      </c>
      <c r="Z191" s="56" t="s">
        <v>2214</v>
      </c>
      <c r="AA191" s="56" t="s">
        <v>2215</v>
      </c>
      <c r="AB191" s="56" t="s">
        <v>2216</v>
      </c>
      <c r="AC191" s="56" t="s">
        <v>1508</v>
      </c>
      <c r="AE191" s="56" t="s">
        <v>1493</v>
      </c>
      <c r="AI191" s="56" t="s">
        <v>2219</v>
      </c>
    </row>
    <row r="192" spans="1:35" ht="116" x14ac:dyDescent="0.35">
      <c r="A192" s="56" t="s">
        <v>2213</v>
      </c>
      <c r="B192" s="56" t="s">
        <v>1451</v>
      </c>
      <c r="C192" s="56" t="s">
        <v>1452</v>
      </c>
      <c r="D192" s="56" t="s">
        <v>1224</v>
      </c>
      <c r="E192" s="56" t="s">
        <v>1453</v>
      </c>
      <c r="G192" s="56" t="s">
        <v>1281</v>
      </c>
      <c r="H192" s="56" t="s">
        <v>1326</v>
      </c>
      <c r="J192" s="56" t="s">
        <v>1239</v>
      </c>
      <c r="K192" s="56" t="s">
        <v>1322</v>
      </c>
      <c r="L192" s="56" t="s">
        <v>1323</v>
      </c>
      <c r="M192" s="56" t="s">
        <v>1324</v>
      </c>
      <c r="N192" s="56" t="s">
        <v>1325</v>
      </c>
      <c r="O192" s="56" t="s">
        <v>2205</v>
      </c>
      <c r="P192" s="56" t="s">
        <v>2153</v>
      </c>
      <c r="Q192" s="56" t="s">
        <v>2154</v>
      </c>
      <c r="R192" s="56" t="s">
        <v>2155</v>
      </c>
      <c r="S192" s="56" t="s">
        <v>2156</v>
      </c>
      <c r="T192" s="56" t="s">
        <v>2157</v>
      </c>
      <c r="U192" s="56" t="s">
        <v>2158</v>
      </c>
      <c r="V192" s="56" t="s">
        <v>2159</v>
      </c>
      <c r="W192" s="56" t="s">
        <v>2160</v>
      </c>
      <c r="X192" s="56" t="s">
        <v>2195</v>
      </c>
      <c r="Y192" s="56" t="s">
        <v>2160</v>
      </c>
      <c r="Z192" s="56" t="s">
        <v>2214</v>
      </c>
      <c r="AA192" s="56" t="s">
        <v>2215</v>
      </c>
      <c r="AB192" s="56" t="s">
        <v>2216</v>
      </c>
      <c r="AC192" s="56" t="s">
        <v>1509</v>
      </c>
      <c r="AE192" s="56" t="s">
        <v>1493</v>
      </c>
      <c r="AI192" s="56" t="s">
        <v>2219</v>
      </c>
    </row>
    <row r="193" spans="1:35" ht="116" x14ac:dyDescent="0.35">
      <c r="A193" s="56" t="s">
        <v>2213</v>
      </c>
      <c r="B193" s="56" t="s">
        <v>1451</v>
      </c>
      <c r="C193" s="56" t="s">
        <v>1452</v>
      </c>
      <c r="D193" s="56" t="s">
        <v>1224</v>
      </c>
      <c r="E193" s="56" t="s">
        <v>1453</v>
      </c>
      <c r="G193" s="56" t="s">
        <v>1281</v>
      </c>
      <c r="H193" s="56" t="s">
        <v>1326</v>
      </c>
      <c r="J193" s="56" t="s">
        <v>1239</v>
      </c>
      <c r="K193" s="56" t="s">
        <v>1322</v>
      </c>
      <c r="L193" s="56" t="s">
        <v>1323</v>
      </c>
      <c r="M193" s="56" t="s">
        <v>1324</v>
      </c>
      <c r="N193" s="56" t="s">
        <v>1325</v>
      </c>
      <c r="O193" s="56" t="s">
        <v>2205</v>
      </c>
      <c r="P193" s="56" t="s">
        <v>2153</v>
      </c>
      <c r="Q193" s="56" t="s">
        <v>2154</v>
      </c>
      <c r="R193" s="56" t="s">
        <v>2155</v>
      </c>
      <c r="S193" s="56" t="s">
        <v>2156</v>
      </c>
      <c r="T193" s="56" t="s">
        <v>2157</v>
      </c>
      <c r="U193" s="56" t="s">
        <v>2158</v>
      </c>
      <c r="V193" s="56" t="s">
        <v>2159</v>
      </c>
      <c r="W193" s="56" t="s">
        <v>2160</v>
      </c>
      <c r="X193" s="56" t="s">
        <v>2195</v>
      </c>
      <c r="Y193" s="56" t="s">
        <v>2160</v>
      </c>
      <c r="Z193" s="56" t="s">
        <v>2214</v>
      </c>
      <c r="AA193" s="56" t="s">
        <v>2215</v>
      </c>
      <c r="AB193" s="56" t="s">
        <v>2216</v>
      </c>
      <c r="AC193" s="56" t="s">
        <v>1510</v>
      </c>
      <c r="AE193" s="56" t="s">
        <v>1493</v>
      </c>
      <c r="AI193" s="56" t="s">
        <v>2219</v>
      </c>
    </row>
    <row r="194" spans="1:35" ht="116" x14ac:dyDescent="0.35">
      <c r="A194" s="56" t="s">
        <v>2213</v>
      </c>
      <c r="B194" s="56" t="s">
        <v>1451</v>
      </c>
      <c r="C194" s="56" t="s">
        <v>1452</v>
      </c>
      <c r="D194" s="56" t="s">
        <v>1224</v>
      </c>
      <c r="E194" s="56" t="s">
        <v>1453</v>
      </c>
      <c r="G194" s="56" t="s">
        <v>1281</v>
      </c>
      <c r="H194" s="56" t="s">
        <v>1326</v>
      </c>
      <c r="J194" s="56" t="s">
        <v>1239</v>
      </c>
      <c r="K194" s="56" t="s">
        <v>1322</v>
      </c>
      <c r="L194" s="56" t="s">
        <v>1323</v>
      </c>
      <c r="M194" s="56" t="s">
        <v>1324</v>
      </c>
      <c r="N194" s="56" t="s">
        <v>1325</v>
      </c>
      <c r="O194" s="56" t="s">
        <v>2205</v>
      </c>
      <c r="P194" s="56" t="s">
        <v>2153</v>
      </c>
      <c r="Q194" s="56" t="s">
        <v>2154</v>
      </c>
      <c r="R194" s="56" t="s">
        <v>2155</v>
      </c>
      <c r="S194" s="56" t="s">
        <v>2156</v>
      </c>
      <c r="T194" s="56" t="s">
        <v>2157</v>
      </c>
      <c r="U194" s="56" t="s">
        <v>2158</v>
      </c>
      <c r="V194" s="56" t="s">
        <v>2159</v>
      </c>
      <c r="W194" s="56" t="s">
        <v>2160</v>
      </c>
      <c r="X194" s="56" t="s">
        <v>2195</v>
      </c>
      <c r="Y194" s="56" t="s">
        <v>2160</v>
      </c>
      <c r="Z194" s="56" t="s">
        <v>2214</v>
      </c>
      <c r="AA194" s="56" t="s">
        <v>2215</v>
      </c>
      <c r="AB194" s="56" t="s">
        <v>2216</v>
      </c>
      <c r="AC194" s="56" t="s">
        <v>1511</v>
      </c>
      <c r="AE194" s="56" t="s">
        <v>1493</v>
      </c>
      <c r="AI194" s="56" t="s">
        <v>2219</v>
      </c>
    </row>
    <row r="195" spans="1:35" ht="116" x14ac:dyDescent="0.35">
      <c r="A195" s="56" t="s">
        <v>2213</v>
      </c>
      <c r="B195" s="56" t="s">
        <v>1451</v>
      </c>
      <c r="C195" s="56" t="s">
        <v>1452</v>
      </c>
      <c r="D195" s="56" t="s">
        <v>1224</v>
      </c>
      <c r="E195" s="56" t="s">
        <v>1453</v>
      </c>
      <c r="G195" s="56" t="s">
        <v>1281</v>
      </c>
      <c r="H195" s="56" t="s">
        <v>1326</v>
      </c>
      <c r="J195" s="56" t="s">
        <v>1239</v>
      </c>
      <c r="K195" s="56" t="s">
        <v>1322</v>
      </c>
      <c r="L195" s="56" t="s">
        <v>1323</v>
      </c>
      <c r="M195" s="56" t="s">
        <v>1324</v>
      </c>
      <c r="N195" s="56" t="s">
        <v>1325</v>
      </c>
      <c r="O195" s="56" t="s">
        <v>2205</v>
      </c>
      <c r="P195" s="56" t="s">
        <v>2153</v>
      </c>
      <c r="Q195" s="56" t="s">
        <v>2154</v>
      </c>
      <c r="R195" s="56" t="s">
        <v>2155</v>
      </c>
      <c r="S195" s="56" t="s">
        <v>2156</v>
      </c>
      <c r="T195" s="56" t="s">
        <v>2157</v>
      </c>
      <c r="U195" s="56" t="s">
        <v>2158</v>
      </c>
      <c r="V195" s="56" t="s">
        <v>2159</v>
      </c>
      <c r="W195" s="56" t="s">
        <v>2160</v>
      </c>
      <c r="X195" s="56" t="s">
        <v>2195</v>
      </c>
      <c r="Y195" s="56" t="s">
        <v>2160</v>
      </c>
      <c r="Z195" s="56" t="s">
        <v>2214</v>
      </c>
      <c r="AA195" s="56" t="s">
        <v>2215</v>
      </c>
      <c r="AB195" s="56" t="s">
        <v>2216</v>
      </c>
      <c r="AC195" s="56" t="s">
        <v>1512</v>
      </c>
      <c r="AE195" s="56" t="s">
        <v>1493</v>
      </c>
      <c r="AI195" s="56" t="s">
        <v>2219</v>
      </c>
    </row>
    <row r="196" spans="1:35" ht="116" x14ac:dyDescent="0.35">
      <c r="A196" s="56" t="s">
        <v>2213</v>
      </c>
      <c r="B196" s="56" t="s">
        <v>1451</v>
      </c>
      <c r="C196" s="56" t="s">
        <v>1452</v>
      </c>
      <c r="D196" s="56" t="s">
        <v>1224</v>
      </c>
      <c r="E196" s="56" t="s">
        <v>1453</v>
      </c>
      <c r="G196" s="56" t="s">
        <v>1281</v>
      </c>
      <c r="H196" s="56" t="s">
        <v>1326</v>
      </c>
      <c r="J196" s="56" t="s">
        <v>1239</v>
      </c>
      <c r="K196" s="56" t="s">
        <v>1322</v>
      </c>
      <c r="L196" s="56" t="s">
        <v>1323</v>
      </c>
      <c r="M196" s="56" t="s">
        <v>1324</v>
      </c>
      <c r="N196" s="56" t="s">
        <v>1325</v>
      </c>
      <c r="O196" s="56" t="s">
        <v>2205</v>
      </c>
      <c r="P196" s="56" t="s">
        <v>2153</v>
      </c>
      <c r="Q196" s="56" t="s">
        <v>2154</v>
      </c>
      <c r="R196" s="56" t="s">
        <v>2155</v>
      </c>
      <c r="S196" s="56" t="s">
        <v>2156</v>
      </c>
      <c r="T196" s="56" t="s">
        <v>2157</v>
      </c>
      <c r="U196" s="56" t="s">
        <v>2158</v>
      </c>
      <c r="V196" s="56" t="s">
        <v>2159</v>
      </c>
      <c r="W196" s="56" t="s">
        <v>2160</v>
      </c>
      <c r="X196" s="56" t="s">
        <v>2195</v>
      </c>
      <c r="Y196" s="56" t="s">
        <v>2160</v>
      </c>
      <c r="Z196" s="56" t="s">
        <v>2214</v>
      </c>
      <c r="AA196" s="56" t="s">
        <v>2215</v>
      </c>
      <c r="AB196" s="56" t="s">
        <v>2216</v>
      </c>
      <c r="AC196" s="56" t="s">
        <v>1513</v>
      </c>
      <c r="AE196" s="56" t="s">
        <v>1493</v>
      </c>
      <c r="AI196" s="56" t="s">
        <v>2219</v>
      </c>
    </row>
    <row r="197" spans="1:35" ht="116" x14ac:dyDescent="0.35">
      <c r="A197" s="56" t="s">
        <v>2213</v>
      </c>
      <c r="B197" s="56" t="s">
        <v>1451</v>
      </c>
      <c r="C197" s="56" t="s">
        <v>1452</v>
      </c>
      <c r="D197" s="56" t="s">
        <v>1224</v>
      </c>
      <c r="E197" s="56" t="s">
        <v>1453</v>
      </c>
      <c r="G197" s="56" t="s">
        <v>1281</v>
      </c>
      <c r="H197" s="56" t="s">
        <v>1326</v>
      </c>
      <c r="J197" s="56" t="s">
        <v>1239</v>
      </c>
      <c r="K197" s="56" t="s">
        <v>1322</v>
      </c>
      <c r="L197" s="56" t="s">
        <v>1323</v>
      </c>
      <c r="M197" s="56" t="s">
        <v>1324</v>
      </c>
      <c r="N197" s="56" t="s">
        <v>1325</v>
      </c>
      <c r="O197" s="56" t="s">
        <v>2205</v>
      </c>
      <c r="P197" s="56" t="s">
        <v>2153</v>
      </c>
      <c r="Q197" s="56" t="s">
        <v>2154</v>
      </c>
      <c r="R197" s="56" t="s">
        <v>2155</v>
      </c>
      <c r="S197" s="56" t="s">
        <v>2156</v>
      </c>
      <c r="T197" s="56" t="s">
        <v>2157</v>
      </c>
      <c r="U197" s="56" t="s">
        <v>2158</v>
      </c>
      <c r="V197" s="56" t="s">
        <v>2159</v>
      </c>
      <c r="W197" s="56" t="s">
        <v>2160</v>
      </c>
      <c r="X197" s="56" t="s">
        <v>2195</v>
      </c>
      <c r="Y197" s="56" t="s">
        <v>2160</v>
      </c>
      <c r="Z197" s="56" t="s">
        <v>2214</v>
      </c>
      <c r="AA197" s="56" t="s">
        <v>2215</v>
      </c>
      <c r="AB197" s="56" t="s">
        <v>2216</v>
      </c>
      <c r="AC197" s="56" t="s">
        <v>1514</v>
      </c>
      <c r="AE197" s="56" t="s">
        <v>1493</v>
      </c>
      <c r="AI197" s="56" t="s">
        <v>2219</v>
      </c>
    </row>
    <row r="198" spans="1:35" ht="116" x14ac:dyDescent="0.35">
      <c r="A198" s="56" t="s">
        <v>2213</v>
      </c>
      <c r="B198" s="56" t="s">
        <v>1451</v>
      </c>
      <c r="C198" s="56" t="s">
        <v>1452</v>
      </c>
      <c r="D198" s="56" t="s">
        <v>1224</v>
      </c>
      <c r="E198" s="56" t="s">
        <v>1453</v>
      </c>
      <c r="G198" s="56" t="s">
        <v>1281</v>
      </c>
      <c r="H198" s="56" t="s">
        <v>1326</v>
      </c>
      <c r="J198" s="56" t="s">
        <v>1239</v>
      </c>
      <c r="K198" s="56" t="s">
        <v>1322</v>
      </c>
      <c r="L198" s="56" t="s">
        <v>1323</v>
      </c>
      <c r="M198" s="56" t="s">
        <v>1324</v>
      </c>
      <c r="N198" s="56" t="s">
        <v>1325</v>
      </c>
      <c r="O198" s="56" t="s">
        <v>2205</v>
      </c>
      <c r="P198" s="56" t="s">
        <v>2153</v>
      </c>
      <c r="Q198" s="56" t="s">
        <v>2154</v>
      </c>
      <c r="R198" s="56" t="s">
        <v>2155</v>
      </c>
      <c r="S198" s="56" t="s">
        <v>2156</v>
      </c>
      <c r="T198" s="56" t="s">
        <v>2157</v>
      </c>
      <c r="U198" s="56" t="s">
        <v>2158</v>
      </c>
      <c r="V198" s="56" t="s">
        <v>2159</v>
      </c>
      <c r="W198" s="56" t="s">
        <v>2160</v>
      </c>
      <c r="X198" s="56" t="s">
        <v>2195</v>
      </c>
      <c r="Y198" s="56" t="s">
        <v>2160</v>
      </c>
      <c r="Z198" s="56" t="s">
        <v>2214</v>
      </c>
      <c r="AA198" s="56" t="s">
        <v>2215</v>
      </c>
      <c r="AB198" s="56" t="s">
        <v>2216</v>
      </c>
      <c r="AC198" s="56" t="s">
        <v>1515</v>
      </c>
      <c r="AE198" s="56" t="s">
        <v>1493</v>
      </c>
      <c r="AI198" s="56" t="s">
        <v>2219</v>
      </c>
    </row>
    <row r="199" spans="1:35" ht="116" x14ac:dyDescent="0.35">
      <c r="A199" s="56" t="s">
        <v>2213</v>
      </c>
      <c r="B199" s="56" t="s">
        <v>1451</v>
      </c>
      <c r="C199" s="56" t="s">
        <v>1452</v>
      </c>
      <c r="D199" s="56" t="s">
        <v>1224</v>
      </c>
      <c r="E199" s="56" t="s">
        <v>1453</v>
      </c>
      <c r="G199" s="56" t="s">
        <v>1281</v>
      </c>
      <c r="H199" s="56" t="s">
        <v>1326</v>
      </c>
      <c r="J199" s="56" t="s">
        <v>1239</v>
      </c>
      <c r="K199" s="56" t="s">
        <v>1322</v>
      </c>
      <c r="L199" s="56" t="s">
        <v>1323</v>
      </c>
      <c r="M199" s="56" t="s">
        <v>1324</v>
      </c>
      <c r="N199" s="56" t="s">
        <v>1325</v>
      </c>
      <c r="O199" s="56" t="s">
        <v>2205</v>
      </c>
      <c r="P199" s="56" t="s">
        <v>2153</v>
      </c>
      <c r="Q199" s="56" t="s">
        <v>2154</v>
      </c>
      <c r="R199" s="56" t="s">
        <v>2155</v>
      </c>
      <c r="S199" s="56" t="s">
        <v>2156</v>
      </c>
      <c r="T199" s="56" t="s">
        <v>2157</v>
      </c>
      <c r="U199" s="56" t="s">
        <v>2158</v>
      </c>
      <c r="V199" s="56" t="s">
        <v>2159</v>
      </c>
      <c r="W199" s="56" t="s">
        <v>2160</v>
      </c>
      <c r="X199" s="56" t="s">
        <v>2195</v>
      </c>
      <c r="Y199" s="56" t="s">
        <v>2160</v>
      </c>
      <c r="Z199" s="56" t="s">
        <v>2214</v>
      </c>
      <c r="AA199" s="56" t="s">
        <v>2215</v>
      </c>
      <c r="AB199" s="56" t="s">
        <v>2216</v>
      </c>
      <c r="AC199" s="56" t="s">
        <v>1516</v>
      </c>
      <c r="AE199" s="56" t="s">
        <v>1493</v>
      </c>
      <c r="AI199" s="56" t="s">
        <v>2219</v>
      </c>
    </row>
    <row r="200" spans="1:35" ht="116" x14ac:dyDescent="0.35">
      <c r="A200" s="56" t="s">
        <v>2213</v>
      </c>
      <c r="B200" s="56" t="s">
        <v>1451</v>
      </c>
      <c r="C200" s="56" t="s">
        <v>1452</v>
      </c>
      <c r="D200" s="56" t="s">
        <v>1224</v>
      </c>
      <c r="E200" s="56" t="s">
        <v>1453</v>
      </c>
      <c r="G200" s="56" t="s">
        <v>1281</v>
      </c>
      <c r="H200" s="56" t="s">
        <v>1326</v>
      </c>
      <c r="J200" s="56" t="s">
        <v>1239</v>
      </c>
      <c r="K200" s="56" t="s">
        <v>1322</v>
      </c>
      <c r="L200" s="56" t="s">
        <v>1323</v>
      </c>
      <c r="M200" s="56" t="s">
        <v>1324</v>
      </c>
      <c r="N200" s="56" t="s">
        <v>1325</v>
      </c>
      <c r="O200" s="56" t="s">
        <v>2205</v>
      </c>
      <c r="P200" s="56" t="s">
        <v>2153</v>
      </c>
      <c r="Q200" s="56" t="s">
        <v>2154</v>
      </c>
      <c r="R200" s="56" t="s">
        <v>2155</v>
      </c>
      <c r="S200" s="56" t="s">
        <v>2156</v>
      </c>
      <c r="T200" s="56" t="s">
        <v>2157</v>
      </c>
      <c r="U200" s="56" t="s">
        <v>2158</v>
      </c>
      <c r="V200" s="56" t="s">
        <v>2159</v>
      </c>
      <c r="W200" s="56" t="s">
        <v>2160</v>
      </c>
      <c r="X200" s="56" t="s">
        <v>2195</v>
      </c>
      <c r="Y200" s="56" t="s">
        <v>2160</v>
      </c>
      <c r="Z200" s="56" t="s">
        <v>2214</v>
      </c>
      <c r="AA200" s="56" t="s">
        <v>2215</v>
      </c>
      <c r="AB200" s="56" t="s">
        <v>2216</v>
      </c>
      <c r="AC200" s="56" t="s">
        <v>1517</v>
      </c>
      <c r="AE200" s="56" t="s">
        <v>1493</v>
      </c>
      <c r="AI200" s="56" t="s">
        <v>2219</v>
      </c>
    </row>
    <row r="201" spans="1:35" ht="116" x14ac:dyDescent="0.35">
      <c r="A201" s="56" t="s">
        <v>2213</v>
      </c>
      <c r="B201" s="56" t="s">
        <v>1451</v>
      </c>
      <c r="C201" s="56" t="s">
        <v>1452</v>
      </c>
      <c r="D201" s="56" t="s">
        <v>1224</v>
      </c>
      <c r="E201" s="56" t="s">
        <v>1453</v>
      </c>
      <c r="G201" s="56" t="s">
        <v>1281</v>
      </c>
      <c r="H201" s="56" t="s">
        <v>1326</v>
      </c>
      <c r="J201" s="56" t="s">
        <v>1239</v>
      </c>
      <c r="K201" s="56" t="s">
        <v>1322</v>
      </c>
      <c r="L201" s="56" t="s">
        <v>1323</v>
      </c>
      <c r="M201" s="56" t="s">
        <v>1324</v>
      </c>
      <c r="N201" s="56" t="s">
        <v>1325</v>
      </c>
      <c r="O201" s="56" t="s">
        <v>2205</v>
      </c>
      <c r="P201" s="56" t="s">
        <v>2153</v>
      </c>
      <c r="Q201" s="56" t="s">
        <v>2154</v>
      </c>
      <c r="R201" s="56" t="s">
        <v>2155</v>
      </c>
      <c r="S201" s="56" t="s">
        <v>2156</v>
      </c>
      <c r="T201" s="56" t="s">
        <v>2157</v>
      </c>
      <c r="U201" s="56" t="s">
        <v>2158</v>
      </c>
      <c r="V201" s="56" t="s">
        <v>2159</v>
      </c>
      <c r="W201" s="56" t="s">
        <v>2160</v>
      </c>
      <c r="X201" s="56" t="s">
        <v>2195</v>
      </c>
      <c r="Y201" s="56" t="s">
        <v>2160</v>
      </c>
      <c r="Z201" s="56" t="s">
        <v>2214</v>
      </c>
      <c r="AA201" s="56" t="s">
        <v>2215</v>
      </c>
      <c r="AB201" s="56" t="s">
        <v>2216</v>
      </c>
      <c r="AC201" s="56" t="s">
        <v>1524</v>
      </c>
      <c r="AE201" s="56" t="s">
        <v>1493</v>
      </c>
      <c r="AI201" s="56" t="s">
        <v>2219</v>
      </c>
    </row>
    <row r="202" spans="1:35" ht="116" x14ac:dyDescent="0.35">
      <c r="A202" s="56" t="s">
        <v>2213</v>
      </c>
      <c r="B202" s="56" t="s">
        <v>1451</v>
      </c>
      <c r="C202" s="56" t="s">
        <v>1452</v>
      </c>
      <c r="D202" s="56" t="s">
        <v>1224</v>
      </c>
      <c r="E202" s="56" t="s">
        <v>1453</v>
      </c>
      <c r="G202" s="56" t="s">
        <v>1281</v>
      </c>
      <c r="H202" s="56" t="s">
        <v>1326</v>
      </c>
      <c r="J202" s="56" t="s">
        <v>1239</v>
      </c>
      <c r="K202" s="56" t="s">
        <v>1322</v>
      </c>
      <c r="L202" s="56" t="s">
        <v>1323</v>
      </c>
      <c r="M202" s="56" t="s">
        <v>1324</v>
      </c>
      <c r="N202" s="56" t="s">
        <v>1325</v>
      </c>
      <c r="O202" s="56" t="s">
        <v>2205</v>
      </c>
      <c r="P202" s="56" t="s">
        <v>2153</v>
      </c>
      <c r="Q202" s="56" t="s">
        <v>2154</v>
      </c>
      <c r="R202" s="56" t="s">
        <v>2155</v>
      </c>
      <c r="S202" s="56" t="s">
        <v>2156</v>
      </c>
      <c r="T202" s="56" t="s">
        <v>2157</v>
      </c>
      <c r="U202" s="56" t="s">
        <v>2158</v>
      </c>
      <c r="V202" s="56" t="s">
        <v>2159</v>
      </c>
      <c r="W202" s="56" t="s">
        <v>2160</v>
      </c>
      <c r="X202" s="56" t="s">
        <v>2195</v>
      </c>
      <c r="Y202" s="56" t="s">
        <v>2160</v>
      </c>
      <c r="Z202" s="56" t="s">
        <v>2214</v>
      </c>
      <c r="AA202" s="56" t="s">
        <v>2215</v>
      </c>
      <c r="AB202" s="56" t="s">
        <v>2216</v>
      </c>
      <c r="AC202" s="56" t="s">
        <v>1528</v>
      </c>
      <c r="AE202" s="56" t="s">
        <v>1493</v>
      </c>
      <c r="AI202" s="56" t="s">
        <v>2219</v>
      </c>
    </row>
    <row r="203" spans="1:35" ht="116" x14ac:dyDescent="0.35">
      <c r="A203" s="56" t="s">
        <v>2213</v>
      </c>
      <c r="B203" s="56" t="s">
        <v>1451</v>
      </c>
      <c r="C203" s="56" t="s">
        <v>1452</v>
      </c>
      <c r="D203" s="56" t="s">
        <v>1224</v>
      </c>
      <c r="E203" s="56" t="s">
        <v>1453</v>
      </c>
      <c r="G203" s="56" t="s">
        <v>1281</v>
      </c>
      <c r="H203" s="56" t="s">
        <v>1326</v>
      </c>
      <c r="J203" s="56" t="s">
        <v>1239</v>
      </c>
      <c r="K203" s="56" t="s">
        <v>1322</v>
      </c>
      <c r="L203" s="56" t="s">
        <v>1323</v>
      </c>
      <c r="M203" s="56" t="s">
        <v>1324</v>
      </c>
      <c r="N203" s="56" t="s">
        <v>1325</v>
      </c>
      <c r="O203" s="56" t="s">
        <v>2205</v>
      </c>
      <c r="P203" s="56" t="s">
        <v>2153</v>
      </c>
      <c r="Q203" s="56" t="s">
        <v>2154</v>
      </c>
      <c r="R203" s="56" t="s">
        <v>2155</v>
      </c>
      <c r="S203" s="56" t="s">
        <v>2156</v>
      </c>
      <c r="T203" s="56" t="s">
        <v>2157</v>
      </c>
      <c r="U203" s="56" t="s">
        <v>2158</v>
      </c>
      <c r="V203" s="56" t="s">
        <v>2159</v>
      </c>
      <c r="W203" s="56" t="s">
        <v>2160</v>
      </c>
      <c r="X203" s="56" t="s">
        <v>2195</v>
      </c>
      <c r="Y203" s="56" t="s">
        <v>2160</v>
      </c>
      <c r="Z203" s="56" t="s">
        <v>2214</v>
      </c>
      <c r="AA203" s="56" t="s">
        <v>2215</v>
      </c>
      <c r="AB203" s="56" t="s">
        <v>2216</v>
      </c>
      <c r="AC203" s="56" t="s">
        <v>1529</v>
      </c>
      <c r="AE203" s="56" t="s">
        <v>1493</v>
      </c>
      <c r="AI203" s="56" t="s">
        <v>2219</v>
      </c>
    </row>
    <row r="204" spans="1:35" ht="116" x14ac:dyDescent="0.35">
      <c r="A204" s="56" t="s">
        <v>2213</v>
      </c>
      <c r="B204" s="56" t="s">
        <v>1451</v>
      </c>
      <c r="C204" s="56" t="s">
        <v>1452</v>
      </c>
      <c r="D204" s="56" t="s">
        <v>1224</v>
      </c>
      <c r="E204" s="56" t="s">
        <v>1453</v>
      </c>
      <c r="G204" s="56" t="s">
        <v>1281</v>
      </c>
      <c r="H204" s="56" t="s">
        <v>1326</v>
      </c>
      <c r="J204" s="56" t="s">
        <v>1239</v>
      </c>
      <c r="K204" s="56" t="s">
        <v>1322</v>
      </c>
      <c r="L204" s="56" t="s">
        <v>1323</v>
      </c>
      <c r="M204" s="56" t="s">
        <v>1324</v>
      </c>
      <c r="N204" s="56" t="s">
        <v>1325</v>
      </c>
      <c r="O204" s="56" t="s">
        <v>2205</v>
      </c>
      <c r="P204" s="56" t="s">
        <v>2153</v>
      </c>
      <c r="Q204" s="56" t="s">
        <v>2154</v>
      </c>
      <c r="R204" s="56" t="s">
        <v>2155</v>
      </c>
      <c r="S204" s="56" t="s">
        <v>2156</v>
      </c>
      <c r="T204" s="56" t="s">
        <v>2157</v>
      </c>
      <c r="U204" s="56" t="s">
        <v>2158</v>
      </c>
      <c r="V204" s="56" t="s">
        <v>2159</v>
      </c>
      <c r="W204" s="56" t="s">
        <v>2160</v>
      </c>
      <c r="X204" s="56" t="s">
        <v>2195</v>
      </c>
      <c r="Y204" s="56" t="s">
        <v>2160</v>
      </c>
      <c r="Z204" s="56" t="s">
        <v>2214</v>
      </c>
      <c r="AA204" s="56" t="s">
        <v>2215</v>
      </c>
      <c r="AB204" s="56" t="s">
        <v>2216</v>
      </c>
      <c r="AC204" s="56" t="s">
        <v>1530</v>
      </c>
      <c r="AE204" s="56" t="s">
        <v>1493</v>
      </c>
      <c r="AI204" s="56" t="s">
        <v>2219</v>
      </c>
    </row>
    <row r="205" spans="1:35" ht="116" x14ac:dyDescent="0.35">
      <c r="A205" s="56" t="s">
        <v>2213</v>
      </c>
      <c r="B205" s="56" t="s">
        <v>1451</v>
      </c>
      <c r="C205" s="56" t="s">
        <v>1452</v>
      </c>
      <c r="D205" s="56" t="s">
        <v>1224</v>
      </c>
      <c r="E205" s="56" t="s">
        <v>1453</v>
      </c>
      <c r="G205" s="56" t="s">
        <v>1281</v>
      </c>
      <c r="H205" s="56" t="s">
        <v>1326</v>
      </c>
      <c r="J205" s="56" t="s">
        <v>1239</v>
      </c>
      <c r="K205" s="56" t="s">
        <v>1322</v>
      </c>
      <c r="L205" s="56" t="s">
        <v>1323</v>
      </c>
      <c r="M205" s="56" t="s">
        <v>1324</v>
      </c>
      <c r="N205" s="56" t="s">
        <v>1325</v>
      </c>
      <c r="O205" s="56" t="s">
        <v>2205</v>
      </c>
      <c r="P205" s="56" t="s">
        <v>2153</v>
      </c>
      <c r="Q205" s="56" t="s">
        <v>2154</v>
      </c>
      <c r="R205" s="56" t="s">
        <v>2155</v>
      </c>
      <c r="S205" s="56" t="s">
        <v>2156</v>
      </c>
      <c r="T205" s="56" t="s">
        <v>2157</v>
      </c>
      <c r="U205" s="56" t="s">
        <v>2158</v>
      </c>
      <c r="V205" s="56" t="s">
        <v>2159</v>
      </c>
      <c r="W205" s="56" t="s">
        <v>2160</v>
      </c>
      <c r="X205" s="56" t="s">
        <v>2195</v>
      </c>
      <c r="Y205" s="56" t="s">
        <v>2160</v>
      </c>
      <c r="Z205" s="56" t="s">
        <v>2214</v>
      </c>
      <c r="AA205" s="56" t="s">
        <v>2215</v>
      </c>
      <c r="AB205" s="56" t="s">
        <v>2216</v>
      </c>
      <c r="AC205" s="56" t="s">
        <v>1531</v>
      </c>
      <c r="AE205" s="56" t="s">
        <v>1493</v>
      </c>
      <c r="AI205" s="56" t="s">
        <v>2219</v>
      </c>
    </row>
    <row r="206" spans="1:35" ht="116" x14ac:dyDescent="0.35">
      <c r="A206" s="56" t="s">
        <v>2213</v>
      </c>
      <c r="B206" s="56" t="s">
        <v>1451</v>
      </c>
      <c r="C206" s="56" t="s">
        <v>1452</v>
      </c>
      <c r="D206" s="56" t="s">
        <v>1224</v>
      </c>
      <c r="E206" s="56" t="s">
        <v>1453</v>
      </c>
      <c r="G206" s="56" t="s">
        <v>1281</v>
      </c>
      <c r="H206" s="56" t="s">
        <v>1326</v>
      </c>
      <c r="J206" s="56" t="s">
        <v>1239</v>
      </c>
      <c r="K206" s="56" t="s">
        <v>1322</v>
      </c>
      <c r="L206" s="56" t="s">
        <v>1323</v>
      </c>
      <c r="M206" s="56" t="s">
        <v>1324</v>
      </c>
      <c r="N206" s="56" t="s">
        <v>1325</v>
      </c>
      <c r="O206" s="56" t="s">
        <v>2205</v>
      </c>
      <c r="P206" s="56" t="s">
        <v>2153</v>
      </c>
      <c r="Q206" s="56" t="s">
        <v>2154</v>
      </c>
      <c r="R206" s="56" t="s">
        <v>2155</v>
      </c>
      <c r="S206" s="56" t="s">
        <v>2156</v>
      </c>
      <c r="T206" s="56" t="s">
        <v>2157</v>
      </c>
      <c r="U206" s="56" t="s">
        <v>2158</v>
      </c>
      <c r="V206" s="56" t="s">
        <v>2159</v>
      </c>
      <c r="W206" s="56" t="s">
        <v>2160</v>
      </c>
      <c r="X206" s="56" t="s">
        <v>2195</v>
      </c>
      <c r="Y206" s="56" t="s">
        <v>2160</v>
      </c>
      <c r="Z206" s="56" t="s">
        <v>2214</v>
      </c>
      <c r="AA206" s="56" t="s">
        <v>2215</v>
      </c>
      <c r="AB206" s="56" t="s">
        <v>2216</v>
      </c>
      <c r="AC206" s="56" t="s">
        <v>1532</v>
      </c>
      <c r="AE206" s="56" t="s">
        <v>1493</v>
      </c>
      <c r="AI206" s="56" t="s">
        <v>2219</v>
      </c>
    </row>
    <row r="207" spans="1:35" ht="261" x14ac:dyDescent="0.35">
      <c r="A207" s="56" t="s">
        <v>2226</v>
      </c>
      <c r="B207" s="56" t="s">
        <v>1451</v>
      </c>
      <c r="C207" s="56" t="s">
        <v>1452</v>
      </c>
      <c r="D207" s="56" t="s">
        <v>1224</v>
      </c>
      <c r="E207" s="56" t="s">
        <v>1453</v>
      </c>
      <c r="G207" s="56" t="s">
        <v>1284</v>
      </c>
      <c r="H207" s="56" t="s">
        <v>1579</v>
      </c>
      <c r="J207" s="56" t="s">
        <v>1260</v>
      </c>
      <c r="K207" s="56" t="s">
        <v>1302</v>
      </c>
      <c r="L207" s="56" t="s">
        <v>1303</v>
      </c>
      <c r="M207" s="56" t="s">
        <v>1304</v>
      </c>
      <c r="N207" s="56" t="s">
        <v>1305</v>
      </c>
      <c r="O207" s="56" t="s">
        <v>1203</v>
      </c>
      <c r="P207" s="56" t="s">
        <v>2153</v>
      </c>
      <c r="Q207" s="56" t="s">
        <v>2154</v>
      </c>
      <c r="R207" s="56" t="s">
        <v>2155</v>
      </c>
      <c r="S207" s="56" t="s">
        <v>2156</v>
      </c>
      <c r="T207" s="56" t="s">
        <v>2157</v>
      </c>
      <c r="U207" s="56" t="s">
        <v>2158</v>
      </c>
      <c r="V207" s="56" t="s">
        <v>2159</v>
      </c>
      <c r="W207" s="56" t="s">
        <v>2160</v>
      </c>
      <c r="X207" s="56" t="s">
        <v>2161</v>
      </c>
      <c r="Y207" s="56" t="s">
        <v>2227</v>
      </c>
      <c r="Z207" s="56" t="s">
        <v>2228</v>
      </c>
      <c r="AA207" s="56" t="s">
        <v>2229</v>
      </c>
      <c r="AB207" s="56" t="s">
        <v>2230</v>
      </c>
      <c r="AC207" s="56" t="s">
        <v>1454</v>
      </c>
      <c r="AD207" s="56" t="s">
        <v>1455</v>
      </c>
      <c r="AE207" s="56" t="s">
        <v>2046</v>
      </c>
      <c r="AI207" s="56" t="s">
        <v>1306</v>
      </c>
    </row>
    <row r="208" spans="1:35" ht="261" x14ac:dyDescent="0.35">
      <c r="A208" s="56" t="s">
        <v>2226</v>
      </c>
      <c r="B208" s="56" t="s">
        <v>1451</v>
      </c>
      <c r="C208" s="56" t="s">
        <v>1452</v>
      </c>
      <c r="D208" s="56" t="s">
        <v>1224</v>
      </c>
      <c r="E208" s="56" t="s">
        <v>1453</v>
      </c>
      <c r="G208" s="56" t="s">
        <v>1284</v>
      </c>
      <c r="H208" s="56" t="s">
        <v>1579</v>
      </c>
      <c r="J208" s="56" t="s">
        <v>1260</v>
      </c>
      <c r="K208" s="56" t="s">
        <v>1302</v>
      </c>
      <c r="L208" s="56" t="s">
        <v>1303</v>
      </c>
      <c r="M208" s="56" t="s">
        <v>1304</v>
      </c>
      <c r="N208" s="56" t="s">
        <v>1305</v>
      </c>
      <c r="O208" s="56" t="s">
        <v>1203</v>
      </c>
      <c r="P208" s="56" t="s">
        <v>2153</v>
      </c>
      <c r="Q208" s="56" t="s">
        <v>2154</v>
      </c>
      <c r="R208" s="56" t="s">
        <v>2155</v>
      </c>
      <c r="S208" s="56" t="s">
        <v>2156</v>
      </c>
      <c r="T208" s="56" t="s">
        <v>2157</v>
      </c>
      <c r="U208" s="56" t="s">
        <v>2158</v>
      </c>
      <c r="V208" s="56" t="s">
        <v>2159</v>
      </c>
      <c r="W208" s="56" t="s">
        <v>2160</v>
      </c>
      <c r="X208" s="56" t="s">
        <v>2161</v>
      </c>
      <c r="Y208" s="56" t="s">
        <v>2227</v>
      </c>
      <c r="Z208" s="56" t="s">
        <v>2228</v>
      </c>
      <c r="AA208" s="56" t="s">
        <v>2229</v>
      </c>
      <c r="AB208" s="56" t="s">
        <v>2230</v>
      </c>
      <c r="AC208" s="56" t="s">
        <v>1463</v>
      </c>
      <c r="AD208" s="56" t="s">
        <v>1464</v>
      </c>
      <c r="AE208" s="56" t="s">
        <v>2046</v>
      </c>
      <c r="AF208" s="56" t="s">
        <v>1581</v>
      </c>
      <c r="AG208" s="56" t="s">
        <v>2231</v>
      </c>
      <c r="AH208" s="56" t="s">
        <v>2232</v>
      </c>
      <c r="AI208" s="56" t="s">
        <v>1306</v>
      </c>
    </row>
    <row r="209" spans="1:35" ht="275.5" x14ac:dyDescent="0.35">
      <c r="A209" s="56" t="s">
        <v>2226</v>
      </c>
      <c r="B209" s="56" t="s">
        <v>1451</v>
      </c>
      <c r="C209" s="56" t="s">
        <v>1452</v>
      </c>
      <c r="D209" s="56" t="s">
        <v>1224</v>
      </c>
      <c r="E209" s="56" t="s">
        <v>1453</v>
      </c>
      <c r="G209" s="56" t="s">
        <v>1284</v>
      </c>
      <c r="H209" s="56" t="s">
        <v>1579</v>
      </c>
      <c r="J209" s="56" t="s">
        <v>1260</v>
      </c>
      <c r="K209" s="56" t="s">
        <v>1302</v>
      </c>
      <c r="L209" s="56" t="s">
        <v>1303</v>
      </c>
      <c r="M209" s="56" t="s">
        <v>1304</v>
      </c>
      <c r="N209" s="56" t="s">
        <v>1305</v>
      </c>
      <c r="O209" s="56" t="s">
        <v>1203</v>
      </c>
      <c r="P209" s="56" t="s">
        <v>2153</v>
      </c>
      <c r="Q209" s="56" t="s">
        <v>2154</v>
      </c>
      <c r="R209" s="56" t="s">
        <v>2155</v>
      </c>
      <c r="S209" s="56" t="s">
        <v>2156</v>
      </c>
      <c r="T209" s="56" t="s">
        <v>2157</v>
      </c>
      <c r="U209" s="56" t="s">
        <v>2158</v>
      </c>
      <c r="V209" s="56" t="s">
        <v>2159</v>
      </c>
      <c r="W209" s="56" t="s">
        <v>2160</v>
      </c>
      <c r="X209" s="56" t="s">
        <v>2161</v>
      </c>
      <c r="Y209" s="56" t="s">
        <v>2227</v>
      </c>
      <c r="Z209" s="56" t="s">
        <v>2228</v>
      </c>
      <c r="AA209" s="56" t="s">
        <v>2229</v>
      </c>
      <c r="AB209" s="56" t="s">
        <v>2230</v>
      </c>
      <c r="AC209" s="56" t="s">
        <v>1465</v>
      </c>
      <c r="AD209" s="56" t="s">
        <v>1466</v>
      </c>
      <c r="AE209" s="56" t="s">
        <v>2046</v>
      </c>
      <c r="AF209" s="56" t="s">
        <v>1588</v>
      </c>
      <c r="AG209" s="56" t="s">
        <v>2233</v>
      </c>
      <c r="AH209" s="56" t="s">
        <v>2234</v>
      </c>
      <c r="AI209" s="56" t="s">
        <v>1306</v>
      </c>
    </row>
    <row r="210" spans="1:35" ht="261" x14ac:dyDescent="0.35">
      <c r="A210" s="56" t="s">
        <v>2226</v>
      </c>
      <c r="B210" s="56" t="s">
        <v>1451</v>
      </c>
      <c r="C210" s="56" t="s">
        <v>1452</v>
      </c>
      <c r="D210" s="56" t="s">
        <v>1224</v>
      </c>
      <c r="E210" s="56" t="s">
        <v>1453</v>
      </c>
      <c r="G210" s="56" t="s">
        <v>1284</v>
      </c>
      <c r="H210" s="56" t="s">
        <v>1579</v>
      </c>
      <c r="J210" s="56" t="s">
        <v>1260</v>
      </c>
      <c r="K210" s="56" t="s">
        <v>1302</v>
      </c>
      <c r="L210" s="56" t="s">
        <v>1303</v>
      </c>
      <c r="M210" s="56" t="s">
        <v>1304</v>
      </c>
      <c r="N210" s="56" t="s">
        <v>1305</v>
      </c>
      <c r="O210" s="56" t="s">
        <v>1203</v>
      </c>
      <c r="P210" s="56" t="s">
        <v>2153</v>
      </c>
      <c r="Q210" s="56" t="s">
        <v>2154</v>
      </c>
      <c r="R210" s="56" t="s">
        <v>2155</v>
      </c>
      <c r="S210" s="56" t="s">
        <v>2156</v>
      </c>
      <c r="T210" s="56" t="s">
        <v>2157</v>
      </c>
      <c r="U210" s="56" t="s">
        <v>2158</v>
      </c>
      <c r="V210" s="56" t="s">
        <v>2159</v>
      </c>
      <c r="W210" s="56" t="s">
        <v>2160</v>
      </c>
      <c r="X210" s="56" t="s">
        <v>2161</v>
      </c>
      <c r="Y210" s="56" t="s">
        <v>2227</v>
      </c>
      <c r="Z210" s="56" t="s">
        <v>2228</v>
      </c>
      <c r="AA210" s="56" t="s">
        <v>2229</v>
      </c>
      <c r="AB210" s="56" t="s">
        <v>2230</v>
      </c>
      <c r="AC210" s="56" t="s">
        <v>1467</v>
      </c>
      <c r="AD210" s="56" t="s">
        <v>1468</v>
      </c>
      <c r="AE210" s="56" t="s">
        <v>2046</v>
      </c>
      <c r="AI210" s="56" t="s">
        <v>1306</v>
      </c>
    </row>
    <row r="211" spans="1:35" ht="261" x14ac:dyDescent="0.35">
      <c r="A211" s="56" t="s">
        <v>2226</v>
      </c>
      <c r="B211" s="56" t="s">
        <v>1451</v>
      </c>
      <c r="C211" s="56" t="s">
        <v>1452</v>
      </c>
      <c r="D211" s="56" t="s">
        <v>1224</v>
      </c>
      <c r="E211" s="56" t="s">
        <v>1453</v>
      </c>
      <c r="G211" s="56" t="s">
        <v>1284</v>
      </c>
      <c r="H211" s="56" t="s">
        <v>1579</v>
      </c>
      <c r="J211" s="56" t="s">
        <v>1260</v>
      </c>
      <c r="K211" s="56" t="s">
        <v>1302</v>
      </c>
      <c r="L211" s="56" t="s">
        <v>1303</v>
      </c>
      <c r="M211" s="56" t="s">
        <v>1304</v>
      </c>
      <c r="N211" s="56" t="s">
        <v>1305</v>
      </c>
      <c r="O211" s="56" t="s">
        <v>1203</v>
      </c>
      <c r="P211" s="56" t="s">
        <v>2153</v>
      </c>
      <c r="Q211" s="56" t="s">
        <v>2154</v>
      </c>
      <c r="R211" s="56" t="s">
        <v>2155</v>
      </c>
      <c r="S211" s="56" t="s">
        <v>2156</v>
      </c>
      <c r="T211" s="56" t="s">
        <v>2157</v>
      </c>
      <c r="U211" s="56" t="s">
        <v>2158</v>
      </c>
      <c r="V211" s="56" t="s">
        <v>2159</v>
      </c>
      <c r="W211" s="56" t="s">
        <v>2160</v>
      </c>
      <c r="X211" s="56" t="s">
        <v>2161</v>
      </c>
      <c r="Y211" s="56" t="s">
        <v>2227</v>
      </c>
      <c r="Z211" s="56" t="s">
        <v>2228</v>
      </c>
      <c r="AA211" s="56" t="s">
        <v>2229</v>
      </c>
      <c r="AB211" s="56" t="s">
        <v>2230</v>
      </c>
      <c r="AC211" s="56" t="s">
        <v>1471</v>
      </c>
      <c r="AD211" s="56" t="s">
        <v>1472</v>
      </c>
      <c r="AE211" s="56" t="s">
        <v>2046</v>
      </c>
      <c r="AI211" s="56" t="s">
        <v>1306</v>
      </c>
    </row>
    <row r="212" spans="1:35" ht="261" x14ac:dyDescent="0.35">
      <c r="A212" s="56" t="s">
        <v>2226</v>
      </c>
      <c r="B212" s="56" t="s">
        <v>1451</v>
      </c>
      <c r="C212" s="56" t="s">
        <v>1452</v>
      </c>
      <c r="D212" s="56" t="s">
        <v>1224</v>
      </c>
      <c r="E212" s="56" t="s">
        <v>1453</v>
      </c>
      <c r="G212" s="56" t="s">
        <v>1284</v>
      </c>
      <c r="H212" s="56" t="s">
        <v>1579</v>
      </c>
      <c r="J212" s="56" t="s">
        <v>1260</v>
      </c>
      <c r="K212" s="56" t="s">
        <v>1302</v>
      </c>
      <c r="L212" s="56" t="s">
        <v>1303</v>
      </c>
      <c r="M212" s="56" t="s">
        <v>1304</v>
      </c>
      <c r="N212" s="56" t="s">
        <v>1305</v>
      </c>
      <c r="O212" s="56" t="s">
        <v>1203</v>
      </c>
      <c r="P212" s="56" t="s">
        <v>2153</v>
      </c>
      <c r="Q212" s="56" t="s">
        <v>2154</v>
      </c>
      <c r="R212" s="56" t="s">
        <v>2155</v>
      </c>
      <c r="S212" s="56" t="s">
        <v>2156</v>
      </c>
      <c r="T212" s="56" t="s">
        <v>2157</v>
      </c>
      <c r="U212" s="56" t="s">
        <v>2158</v>
      </c>
      <c r="V212" s="56" t="s">
        <v>2159</v>
      </c>
      <c r="W212" s="56" t="s">
        <v>2160</v>
      </c>
      <c r="X212" s="56" t="s">
        <v>2161</v>
      </c>
      <c r="Y212" s="56" t="s">
        <v>2227</v>
      </c>
      <c r="Z212" s="56" t="s">
        <v>2228</v>
      </c>
      <c r="AA212" s="56" t="s">
        <v>2229</v>
      </c>
      <c r="AB212" s="56" t="s">
        <v>2230</v>
      </c>
      <c r="AC212" s="56" t="s">
        <v>1475</v>
      </c>
      <c r="AD212" s="56" t="s">
        <v>1476</v>
      </c>
      <c r="AE212" s="56" t="s">
        <v>2046</v>
      </c>
      <c r="AI212" s="56" t="s">
        <v>1306</v>
      </c>
    </row>
    <row r="213" spans="1:35" ht="261" x14ac:dyDescent="0.35">
      <c r="A213" s="56" t="s">
        <v>2226</v>
      </c>
      <c r="B213" s="56" t="s">
        <v>1451</v>
      </c>
      <c r="C213" s="56" t="s">
        <v>1452</v>
      </c>
      <c r="D213" s="56" t="s">
        <v>1224</v>
      </c>
      <c r="E213" s="56" t="s">
        <v>1453</v>
      </c>
      <c r="G213" s="56" t="s">
        <v>1284</v>
      </c>
      <c r="H213" s="56" t="s">
        <v>1579</v>
      </c>
      <c r="J213" s="56" t="s">
        <v>1260</v>
      </c>
      <c r="K213" s="56" t="s">
        <v>1302</v>
      </c>
      <c r="L213" s="56" t="s">
        <v>1303</v>
      </c>
      <c r="M213" s="56" t="s">
        <v>1304</v>
      </c>
      <c r="N213" s="56" t="s">
        <v>1305</v>
      </c>
      <c r="O213" s="56" t="s">
        <v>1203</v>
      </c>
      <c r="P213" s="56" t="s">
        <v>2153</v>
      </c>
      <c r="Q213" s="56" t="s">
        <v>2154</v>
      </c>
      <c r="R213" s="56" t="s">
        <v>2155</v>
      </c>
      <c r="S213" s="56" t="s">
        <v>2156</v>
      </c>
      <c r="T213" s="56" t="s">
        <v>2157</v>
      </c>
      <c r="U213" s="56" t="s">
        <v>2158</v>
      </c>
      <c r="V213" s="56" t="s">
        <v>2159</v>
      </c>
      <c r="W213" s="56" t="s">
        <v>2160</v>
      </c>
      <c r="X213" s="56" t="s">
        <v>2161</v>
      </c>
      <c r="Y213" s="56" t="s">
        <v>2227</v>
      </c>
      <c r="Z213" s="56" t="s">
        <v>2228</v>
      </c>
      <c r="AA213" s="56" t="s">
        <v>2229</v>
      </c>
      <c r="AB213" s="56" t="s">
        <v>2230</v>
      </c>
      <c r="AC213" s="56" t="s">
        <v>1477</v>
      </c>
      <c r="AD213" s="56" t="s">
        <v>1478</v>
      </c>
      <c r="AE213" s="56" t="s">
        <v>2046</v>
      </c>
      <c r="AI213" s="56" t="s">
        <v>1306</v>
      </c>
    </row>
    <row r="214" spans="1:35" ht="261" x14ac:dyDescent="0.35">
      <c r="A214" s="56" t="s">
        <v>2226</v>
      </c>
      <c r="B214" s="56" t="s">
        <v>1451</v>
      </c>
      <c r="C214" s="56" t="s">
        <v>1452</v>
      </c>
      <c r="D214" s="56" t="s">
        <v>1224</v>
      </c>
      <c r="E214" s="56" t="s">
        <v>1453</v>
      </c>
      <c r="G214" s="56" t="s">
        <v>1284</v>
      </c>
      <c r="H214" s="56" t="s">
        <v>1579</v>
      </c>
      <c r="J214" s="56" t="s">
        <v>1260</v>
      </c>
      <c r="K214" s="56" t="s">
        <v>1302</v>
      </c>
      <c r="L214" s="56" t="s">
        <v>1303</v>
      </c>
      <c r="M214" s="56" t="s">
        <v>1304</v>
      </c>
      <c r="N214" s="56" t="s">
        <v>1305</v>
      </c>
      <c r="O214" s="56" t="s">
        <v>1203</v>
      </c>
      <c r="P214" s="56" t="s">
        <v>2153</v>
      </c>
      <c r="Q214" s="56" t="s">
        <v>2154</v>
      </c>
      <c r="R214" s="56" t="s">
        <v>2155</v>
      </c>
      <c r="S214" s="56" t="s">
        <v>2156</v>
      </c>
      <c r="T214" s="56" t="s">
        <v>2157</v>
      </c>
      <c r="U214" s="56" t="s">
        <v>2158</v>
      </c>
      <c r="V214" s="56" t="s">
        <v>2159</v>
      </c>
      <c r="W214" s="56" t="s">
        <v>2160</v>
      </c>
      <c r="X214" s="56" t="s">
        <v>2161</v>
      </c>
      <c r="Y214" s="56" t="s">
        <v>2227</v>
      </c>
      <c r="Z214" s="56" t="s">
        <v>2228</v>
      </c>
      <c r="AA214" s="56" t="s">
        <v>2229</v>
      </c>
      <c r="AB214" s="56" t="s">
        <v>2230</v>
      </c>
      <c r="AC214" s="56" t="s">
        <v>1481</v>
      </c>
      <c r="AD214" s="56" t="s">
        <v>1482</v>
      </c>
      <c r="AE214" s="56" t="s">
        <v>2046</v>
      </c>
      <c r="AI214" s="56" t="s">
        <v>1306</v>
      </c>
    </row>
    <row r="215" spans="1:35" ht="261" x14ac:dyDescent="0.35">
      <c r="A215" s="56" t="s">
        <v>2226</v>
      </c>
      <c r="B215" s="56" t="s">
        <v>1451</v>
      </c>
      <c r="C215" s="56" t="s">
        <v>1452</v>
      </c>
      <c r="D215" s="56" t="s">
        <v>1224</v>
      </c>
      <c r="E215" s="56" t="s">
        <v>1453</v>
      </c>
      <c r="G215" s="56" t="s">
        <v>1284</v>
      </c>
      <c r="H215" s="56" t="s">
        <v>1579</v>
      </c>
      <c r="J215" s="56" t="s">
        <v>1260</v>
      </c>
      <c r="K215" s="56" t="s">
        <v>1302</v>
      </c>
      <c r="L215" s="56" t="s">
        <v>1303</v>
      </c>
      <c r="M215" s="56" t="s">
        <v>1304</v>
      </c>
      <c r="N215" s="56" t="s">
        <v>1305</v>
      </c>
      <c r="O215" s="56" t="s">
        <v>1203</v>
      </c>
      <c r="P215" s="56" t="s">
        <v>2153</v>
      </c>
      <c r="Q215" s="56" t="s">
        <v>2154</v>
      </c>
      <c r="R215" s="56" t="s">
        <v>2155</v>
      </c>
      <c r="S215" s="56" t="s">
        <v>2156</v>
      </c>
      <c r="T215" s="56" t="s">
        <v>2157</v>
      </c>
      <c r="U215" s="56" t="s">
        <v>2158</v>
      </c>
      <c r="V215" s="56" t="s">
        <v>2159</v>
      </c>
      <c r="W215" s="56" t="s">
        <v>2160</v>
      </c>
      <c r="X215" s="56" t="s">
        <v>2161</v>
      </c>
      <c r="Y215" s="56" t="s">
        <v>2227</v>
      </c>
      <c r="Z215" s="56" t="s">
        <v>2228</v>
      </c>
      <c r="AA215" s="56" t="s">
        <v>2229</v>
      </c>
      <c r="AB215" s="56" t="s">
        <v>2230</v>
      </c>
      <c r="AC215" s="56" t="s">
        <v>1483</v>
      </c>
      <c r="AD215" s="56" t="s">
        <v>1484</v>
      </c>
      <c r="AE215" s="56" t="s">
        <v>2046</v>
      </c>
      <c r="AI215" s="56" t="s">
        <v>1306</v>
      </c>
    </row>
    <row r="216" spans="1:35" ht="261" x14ac:dyDescent="0.35">
      <c r="A216" s="56" t="s">
        <v>2226</v>
      </c>
      <c r="B216" s="56" t="s">
        <v>1451</v>
      </c>
      <c r="C216" s="56" t="s">
        <v>1452</v>
      </c>
      <c r="D216" s="56" t="s">
        <v>1224</v>
      </c>
      <c r="E216" s="56" t="s">
        <v>1453</v>
      </c>
      <c r="G216" s="56" t="s">
        <v>1284</v>
      </c>
      <c r="H216" s="56" t="s">
        <v>1579</v>
      </c>
      <c r="J216" s="56" t="s">
        <v>1260</v>
      </c>
      <c r="K216" s="56" t="s">
        <v>1302</v>
      </c>
      <c r="L216" s="56" t="s">
        <v>1303</v>
      </c>
      <c r="M216" s="56" t="s">
        <v>1304</v>
      </c>
      <c r="N216" s="56" t="s">
        <v>1305</v>
      </c>
      <c r="O216" s="56" t="s">
        <v>1203</v>
      </c>
      <c r="P216" s="56" t="s">
        <v>2153</v>
      </c>
      <c r="Q216" s="56" t="s">
        <v>2154</v>
      </c>
      <c r="R216" s="56" t="s">
        <v>2155</v>
      </c>
      <c r="S216" s="56" t="s">
        <v>2156</v>
      </c>
      <c r="T216" s="56" t="s">
        <v>2157</v>
      </c>
      <c r="U216" s="56" t="s">
        <v>2158</v>
      </c>
      <c r="V216" s="56" t="s">
        <v>2159</v>
      </c>
      <c r="W216" s="56" t="s">
        <v>2160</v>
      </c>
      <c r="X216" s="56" t="s">
        <v>2161</v>
      </c>
      <c r="Y216" s="56" t="s">
        <v>2227</v>
      </c>
      <c r="Z216" s="56" t="s">
        <v>2228</v>
      </c>
      <c r="AA216" s="56" t="s">
        <v>2229</v>
      </c>
      <c r="AB216" s="56" t="s">
        <v>2230</v>
      </c>
      <c r="AC216" s="56" t="s">
        <v>1486</v>
      </c>
      <c r="AD216" s="56" t="s">
        <v>1487</v>
      </c>
      <c r="AE216" s="56" t="s">
        <v>2046</v>
      </c>
      <c r="AI216" s="56" t="s">
        <v>1306</v>
      </c>
    </row>
    <row r="217" spans="1:35" ht="261" x14ac:dyDescent="0.35">
      <c r="A217" s="56" t="s">
        <v>2226</v>
      </c>
      <c r="B217" s="56" t="s">
        <v>1451</v>
      </c>
      <c r="C217" s="56" t="s">
        <v>1452</v>
      </c>
      <c r="D217" s="56" t="s">
        <v>1224</v>
      </c>
      <c r="E217" s="56" t="s">
        <v>1453</v>
      </c>
      <c r="G217" s="56" t="s">
        <v>1284</v>
      </c>
      <c r="H217" s="56" t="s">
        <v>1579</v>
      </c>
      <c r="J217" s="56" t="s">
        <v>1260</v>
      </c>
      <c r="K217" s="56" t="s">
        <v>1302</v>
      </c>
      <c r="L217" s="56" t="s">
        <v>1303</v>
      </c>
      <c r="M217" s="56" t="s">
        <v>1304</v>
      </c>
      <c r="N217" s="56" t="s">
        <v>1305</v>
      </c>
      <c r="O217" s="56" t="s">
        <v>1203</v>
      </c>
      <c r="P217" s="56" t="s">
        <v>2153</v>
      </c>
      <c r="Q217" s="56" t="s">
        <v>2154</v>
      </c>
      <c r="R217" s="56" t="s">
        <v>2155</v>
      </c>
      <c r="S217" s="56" t="s">
        <v>2156</v>
      </c>
      <c r="T217" s="56" t="s">
        <v>2157</v>
      </c>
      <c r="U217" s="56" t="s">
        <v>2158</v>
      </c>
      <c r="V217" s="56" t="s">
        <v>2159</v>
      </c>
      <c r="W217" s="56" t="s">
        <v>2160</v>
      </c>
      <c r="X217" s="56" t="s">
        <v>2161</v>
      </c>
      <c r="Y217" s="56" t="s">
        <v>2227</v>
      </c>
      <c r="Z217" s="56" t="s">
        <v>2228</v>
      </c>
      <c r="AA217" s="56" t="s">
        <v>2229</v>
      </c>
      <c r="AB217" s="56" t="s">
        <v>2230</v>
      </c>
      <c r="AC217" s="56" t="s">
        <v>1488</v>
      </c>
      <c r="AD217" s="56" t="s">
        <v>1489</v>
      </c>
      <c r="AE217" s="56" t="s">
        <v>2046</v>
      </c>
      <c r="AI217" s="56" t="s">
        <v>1306</v>
      </c>
    </row>
    <row r="218" spans="1:35" ht="261" x14ac:dyDescent="0.35">
      <c r="A218" s="56" t="s">
        <v>2226</v>
      </c>
      <c r="B218" s="56" t="s">
        <v>1451</v>
      </c>
      <c r="C218" s="56" t="s">
        <v>1452</v>
      </c>
      <c r="D218" s="56" t="s">
        <v>1224</v>
      </c>
      <c r="E218" s="56" t="s">
        <v>1453</v>
      </c>
      <c r="G218" s="56" t="s">
        <v>1284</v>
      </c>
      <c r="H218" s="56" t="s">
        <v>1579</v>
      </c>
      <c r="J218" s="56" t="s">
        <v>1260</v>
      </c>
      <c r="K218" s="56" t="s">
        <v>1302</v>
      </c>
      <c r="L218" s="56" t="s">
        <v>1303</v>
      </c>
      <c r="M218" s="56" t="s">
        <v>1304</v>
      </c>
      <c r="N218" s="56" t="s">
        <v>1305</v>
      </c>
      <c r="O218" s="56" t="s">
        <v>1203</v>
      </c>
      <c r="P218" s="56" t="s">
        <v>2153</v>
      </c>
      <c r="Q218" s="56" t="s">
        <v>2154</v>
      </c>
      <c r="R218" s="56" t="s">
        <v>2155</v>
      </c>
      <c r="S218" s="56" t="s">
        <v>2156</v>
      </c>
      <c r="T218" s="56" t="s">
        <v>2157</v>
      </c>
      <c r="U218" s="56" t="s">
        <v>2158</v>
      </c>
      <c r="V218" s="56" t="s">
        <v>2159</v>
      </c>
      <c r="W218" s="56" t="s">
        <v>2160</v>
      </c>
      <c r="X218" s="56" t="s">
        <v>2161</v>
      </c>
      <c r="Y218" s="56" t="s">
        <v>2227</v>
      </c>
      <c r="Z218" s="56" t="s">
        <v>2228</v>
      </c>
      <c r="AA218" s="56" t="s">
        <v>2229</v>
      </c>
      <c r="AB218" s="56" t="s">
        <v>2230</v>
      </c>
      <c r="AC218" s="56" t="s">
        <v>1490</v>
      </c>
      <c r="AD218" s="56" t="s">
        <v>1491</v>
      </c>
      <c r="AE218" s="56" t="s">
        <v>2046</v>
      </c>
      <c r="AI218" s="56" t="s">
        <v>1306</v>
      </c>
    </row>
    <row r="219" spans="1:35" ht="261" x14ac:dyDescent="0.35">
      <c r="A219" s="56" t="s">
        <v>2226</v>
      </c>
      <c r="B219" s="56" t="s">
        <v>1451</v>
      </c>
      <c r="C219" s="56" t="s">
        <v>1452</v>
      </c>
      <c r="D219" s="56" t="s">
        <v>1224</v>
      </c>
      <c r="E219" s="56" t="s">
        <v>1453</v>
      </c>
      <c r="G219" s="56" t="s">
        <v>1284</v>
      </c>
      <c r="H219" s="56" t="s">
        <v>1579</v>
      </c>
      <c r="J219" s="56" t="s">
        <v>1260</v>
      </c>
      <c r="K219" s="56" t="s">
        <v>1302</v>
      </c>
      <c r="L219" s="56" t="s">
        <v>1303</v>
      </c>
      <c r="M219" s="56" t="s">
        <v>1304</v>
      </c>
      <c r="N219" s="56" t="s">
        <v>1305</v>
      </c>
      <c r="O219" s="56" t="s">
        <v>1203</v>
      </c>
      <c r="P219" s="56" t="s">
        <v>2153</v>
      </c>
      <c r="Q219" s="56" t="s">
        <v>2154</v>
      </c>
      <c r="R219" s="56" t="s">
        <v>2155</v>
      </c>
      <c r="S219" s="56" t="s">
        <v>2156</v>
      </c>
      <c r="T219" s="56" t="s">
        <v>2157</v>
      </c>
      <c r="U219" s="56" t="s">
        <v>2158</v>
      </c>
      <c r="V219" s="56" t="s">
        <v>2159</v>
      </c>
      <c r="W219" s="56" t="s">
        <v>2160</v>
      </c>
      <c r="X219" s="56" t="s">
        <v>2161</v>
      </c>
      <c r="Y219" s="56" t="s">
        <v>2227</v>
      </c>
      <c r="Z219" s="56" t="s">
        <v>2228</v>
      </c>
      <c r="AA219" s="56" t="s">
        <v>2229</v>
      </c>
      <c r="AB219" s="56" t="s">
        <v>2230</v>
      </c>
      <c r="AC219" s="56" t="s">
        <v>1492</v>
      </c>
      <c r="AD219" s="56" t="s">
        <v>1538</v>
      </c>
      <c r="AE219" s="56" t="s">
        <v>1493</v>
      </c>
      <c r="AI219" s="56" t="s">
        <v>1306</v>
      </c>
    </row>
    <row r="220" spans="1:35" ht="261" x14ac:dyDescent="0.35">
      <c r="A220" s="56" t="s">
        <v>2226</v>
      </c>
      <c r="B220" s="56" t="s">
        <v>1451</v>
      </c>
      <c r="C220" s="56" t="s">
        <v>1452</v>
      </c>
      <c r="D220" s="56" t="s">
        <v>1224</v>
      </c>
      <c r="E220" s="56" t="s">
        <v>1453</v>
      </c>
      <c r="G220" s="56" t="s">
        <v>1284</v>
      </c>
      <c r="H220" s="56" t="s">
        <v>1579</v>
      </c>
      <c r="J220" s="56" t="s">
        <v>1260</v>
      </c>
      <c r="K220" s="56" t="s">
        <v>1302</v>
      </c>
      <c r="L220" s="56" t="s">
        <v>1303</v>
      </c>
      <c r="M220" s="56" t="s">
        <v>1304</v>
      </c>
      <c r="N220" s="56" t="s">
        <v>1305</v>
      </c>
      <c r="O220" s="56" t="s">
        <v>1203</v>
      </c>
      <c r="P220" s="56" t="s">
        <v>2153</v>
      </c>
      <c r="Q220" s="56" t="s">
        <v>2154</v>
      </c>
      <c r="R220" s="56" t="s">
        <v>2155</v>
      </c>
      <c r="S220" s="56" t="s">
        <v>2156</v>
      </c>
      <c r="T220" s="56" t="s">
        <v>2157</v>
      </c>
      <c r="U220" s="56" t="s">
        <v>2158</v>
      </c>
      <c r="V220" s="56" t="s">
        <v>2159</v>
      </c>
      <c r="W220" s="56" t="s">
        <v>2160</v>
      </c>
      <c r="X220" s="56" t="s">
        <v>2161</v>
      </c>
      <c r="Y220" s="56" t="s">
        <v>2227</v>
      </c>
      <c r="Z220" s="56" t="s">
        <v>2228</v>
      </c>
      <c r="AA220" s="56" t="s">
        <v>2229</v>
      </c>
      <c r="AB220" s="56" t="s">
        <v>2230</v>
      </c>
      <c r="AC220" s="56" t="s">
        <v>1494</v>
      </c>
      <c r="AD220" s="56" t="s">
        <v>1539</v>
      </c>
      <c r="AE220" s="56" t="s">
        <v>1493</v>
      </c>
      <c r="AI220" s="56" t="s">
        <v>1306</v>
      </c>
    </row>
    <row r="221" spans="1:35" ht="261" x14ac:dyDescent="0.35">
      <c r="A221" s="56" t="s">
        <v>2226</v>
      </c>
      <c r="B221" s="56" t="s">
        <v>1451</v>
      </c>
      <c r="C221" s="56" t="s">
        <v>1452</v>
      </c>
      <c r="D221" s="56" t="s">
        <v>1224</v>
      </c>
      <c r="E221" s="56" t="s">
        <v>1453</v>
      </c>
      <c r="G221" s="56" t="s">
        <v>1284</v>
      </c>
      <c r="H221" s="56" t="s">
        <v>1579</v>
      </c>
      <c r="J221" s="56" t="s">
        <v>1260</v>
      </c>
      <c r="K221" s="56" t="s">
        <v>1302</v>
      </c>
      <c r="L221" s="56" t="s">
        <v>1303</v>
      </c>
      <c r="M221" s="56" t="s">
        <v>1304</v>
      </c>
      <c r="N221" s="56" t="s">
        <v>1305</v>
      </c>
      <c r="O221" s="56" t="s">
        <v>1203</v>
      </c>
      <c r="P221" s="56" t="s">
        <v>2153</v>
      </c>
      <c r="Q221" s="56" t="s">
        <v>2154</v>
      </c>
      <c r="R221" s="56" t="s">
        <v>2155</v>
      </c>
      <c r="S221" s="56" t="s">
        <v>2156</v>
      </c>
      <c r="T221" s="56" t="s">
        <v>2157</v>
      </c>
      <c r="U221" s="56" t="s">
        <v>2158</v>
      </c>
      <c r="V221" s="56" t="s">
        <v>2159</v>
      </c>
      <c r="W221" s="56" t="s">
        <v>2160</v>
      </c>
      <c r="X221" s="56" t="s">
        <v>2161</v>
      </c>
      <c r="Y221" s="56" t="s">
        <v>2227</v>
      </c>
      <c r="Z221" s="56" t="s">
        <v>2228</v>
      </c>
      <c r="AA221" s="56" t="s">
        <v>2229</v>
      </c>
      <c r="AB221" s="56" t="s">
        <v>2230</v>
      </c>
      <c r="AC221" s="56" t="s">
        <v>1495</v>
      </c>
      <c r="AE221" s="56" t="s">
        <v>1493</v>
      </c>
      <c r="AI221" s="56" t="s">
        <v>1306</v>
      </c>
    </row>
    <row r="222" spans="1:35" ht="261" x14ac:dyDescent="0.35">
      <c r="A222" s="56" t="s">
        <v>2226</v>
      </c>
      <c r="B222" s="56" t="s">
        <v>1451</v>
      </c>
      <c r="C222" s="56" t="s">
        <v>1452</v>
      </c>
      <c r="D222" s="56" t="s">
        <v>1224</v>
      </c>
      <c r="E222" s="56" t="s">
        <v>1453</v>
      </c>
      <c r="G222" s="56" t="s">
        <v>1284</v>
      </c>
      <c r="H222" s="56" t="s">
        <v>1579</v>
      </c>
      <c r="J222" s="56" t="s">
        <v>1260</v>
      </c>
      <c r="K222" s="56" t="s">
        <v>1302</v>
      </c>
      <c r="L222" s="56" t="s">
        <v>1303</v>
      </c>
      <c r="M222" s="56" t="s">
        <v>1304</v>
      </c>
      <c r="N222" s="56" t="s">
        <v>1305</v>
      </c>
      <c r="O222" s="56" t="s">
        <v>1203</v>
      </c>
      <c r="P222" s="56" t="s">
        <v>2153</v>
      </c>
      <c r="Q222" s="56" t="s">
        <v>2154</v>
      </c>
      <c r="R222" s="56" t="s">
        <v>2155</v>
      </c>
      <c r="S222" s="56" t="s">
        <v>2156</v>
      </c>
      <c r="T222" s="56" t="s">
        <v>2157</v>
      </c>
      <c r="U222" s="56" t="s">
        <v>2158</v>
      </c>
      <c r="V222" s="56" t="s">
        <v>2159</v>
      </c>
      <c r="W222" s="56" t="s">
        <v>2160</v>
      </c>
      <c r="X222" s="56" t="s">
        <v>2161</v>
      </c>
      <c r="Y222" s="56" t="s">
        <v>2227</v>
      </c>
      <c r="Z222" s="56" t="s">
        <v>2228</v>
      </c>
      <c r="AA222" s="56" t="s">
        <v>2229</v>
      </c>
      <c r="AB222" s="56" t="s">
        <v>2230</v>
      </c>
      <c r="AC222" s="56" t="s">
        <v>1496</v>
      </c>
      <c r="AE222" s="56" t="s">
        <v>1493</v>
      </c>
      <c r="AI222" s="56" t="s">
        <v>1306</v>
      </c>
    </row>
    <row r="223" spans="1:35" ht="261" x14ac:dyDescent="0.35">
      <c r="A223" s="56" t="s">
        <v>2226</v>
      </c>
      <c r="B223" s="56" t="s">
        <v>1451</v>
      </c>
      <c r="C223" s="56" t="s">
        <v>1452</v>
      </c>
      <c r="D223" s="56" t="s">
        <v>1224</v>
      </c>
      <c r="E223" s="56" t="s">
        <v>1453</v>
      </c>
      <c r="G223" s="56" t="s">
        <v>1284</v>
      </c>
      <c r="H223" s="56" t="s">
        <v>1579</v>
      </c>
      <c r="J223" s="56" t="s">
        <v>1260</v>
      </c>
      <c r="K223" s="56" t="s">
        <v>1302</v>
      </c>
      <c r="L223" s="56" t="s">
        <v>1303</v>
      </c>
      <c r="M223" s="56" t="s">
        <v>1304</v>
      </c>
      <c r="N223" s="56" t="s">
        <v>1305</v>
      </c>
      <c r="O223" s="56" t="s">
        <v>1203</v>
      </c>
      <c r="P223" s="56" t="s">
        <v>2153</v>
      </c>
      <c r="Q223" s="56" t="s">
        <v>2154</v>
      </c>
      <c r="R223" s="56" t="s">
        <v>2155</v>
      </c>
      <c r="S223" s="56" t="s">
        <v>2156</v>
      </c>
      <c r="T223" s="56" t="s">
        <v>2157</v>
      </c>
      <c r="U223" s="56" t="s">
        <v>2158</v>
      </c>
      <c r="V223" s="56" t="s">
        <v>2159</v>
      </c>
      <c r="W223" s="56" t="s">
        <v>2160</v>
      </c>
      <c r="X223" s="56" t="s">
        <v>2161</v>
      </c>
      <c r="Y223" s="56" t="s">
        <v>2227</v>
      </c>
      <c r="Z223" s="56" t="s">
        <v>2228</v>
      </c>
      <c r="AA223" s="56" t="s">
        <v>2229</v>
      </c>
      <c r="AB223" s="56" t="s">
        <v>2230</v>
      </c>
      <c r="AC223" s="56" t="s">
        <v>1499</v>
      </c>
      <c r="AE223" s="56" t="s">
        <v>1493</v>
      </c>
      <c r="AF223" s="56" t="s">
        <v>1590</v>
      </c>
      <c r="AG223" s="56" t="s">
        <v>2235</v>
      </c>
      <c r="AH223" s="56" t="s">
        <v>2236</v>
      </c>
      <c r="AI223" s="56" t="s">
        <v>1306</v>
      </c>
    </row>
    <row r="224" spans="1:35" ht="261" x14ac:dyDescent="0.35">
      <c r="A224" s="56" t="s">
        <v>2226</v>
      </c>
      <c r="B224" s="56" t="s">
        <v>1451</v>
      </c>
      <c r="C224" s="56" t="s">
        <v>1452</v>
      </c>
      <c r="D224" s="56" t="s">
        <v>1224</v>
      </c>
      <c r="E224" s="56" t="s">
        <v>1453</v>
      </c>
      <c r="G224" s="56" t="s">
        <v>1284</v>
      </c>
      <c r="H224" s="56" t="s">
        <v>1579</v>
      </c>
      <c r="J224" s="56" t="s">
        <v>1260</v>
      </c>
      <c r="K224" s="56" t="s">
        <v>1302</v>
      </c>
      <c r="L224" s="56" t="s">
        <v>1303</v>
      </c>
      <c r="M224" s="56" t="s">
        <v>1304</v>
      </c>
      <c r="N224" s="56" t="s">
        <v>1305</v>
      </c>
      <c r="O224" s="56" t="s">
        <v>1203</v>
      </c>
      <c r="P224" s="56" t="s">
        <v>2153</v>
      </c>
      <c r="Q224" s="56" t="s">
        <v>2154</v>
      </c>
      <c r="R224" s="56" t="s">
        <v>2155</v>
      </c>
      <c r="S224" s="56" t="s">
        <v>2156</v>
      </c>
      <c r="T224" s="56" t="s">
        <v>2157</v>
      </c>
      <c r="U224" s="56" t="s">
        <v>2158</v>
      </c>
      <c r="V224" s="56" t="s">
        <v>2159</v>
      </c>
      <c r="W224" s="56" t="s">
        <v>2160</v>
      </c>
      <c r="X224" s="56" t="s">
        <v>2161</v>
      </c>
      <c r="Y224" s="56" t="s">
        <v>2227</v>
      </c>
      <c r="Z224" s="56" t="s">
        <v>2228</v>
      </c>
      <c r="AA224" s="56" t="s">
        <v>2229</v>
      </c>
      <c r="AB224" s="56" t="s">
        <v>2230</v>
      </c>
      <c r="AC224" s="56" t="s">
        <v>1500</v>
      </c>
      <c r="AE224" s="56" t="s">
        <v>1493</v>
      </c>
      <c r="AI224" s="56" t="s">
        <v>1306</v>
      </c>
    </row>
    <row r="225" spans="1:35" ht="261" x14ac:dyDescent="0.35">
      <c r="A225" s="56" t="s">
        <v>2226</v>
      </c>
      <c r="B225" s="56" t="s">
        <v>1451</v>
      </c>
      <c r="C225" s="56" t="s">
        <v>1452</v>
      </c>
      <c r="D225" s="56" t="s">
        <v>1224</v>
      </c>
      <c r="E225" s="56" t="s">
        <v>1453</v>
      </c>
      <c r="G225" s="56" t="s">
        <v>1284</v>
      </c>
      <c r="H225" s="56" t="s">
        <v>1579</v>
      </c>
      <c r="J225" s="56" t="s">
        <v>1260</v>
      </c>
      <c r="K225" s="56" t="s">
        <v>1302</v>
      </c>
      <c r="L225" s="56" t="s">
        <v>1303</v>
      </c>
      <c r="M225" s="56" t="s">
        <v>1304</v>
      </c>
      <c r="N225" s="56" t="s">
        <v>1305</v>
      </c>
      <c r="O225" s="56" t="s">
        <v>1203</v>
      </c>
      <c r="P225" s="56" t="s">
        <v>2153</v>
      </c>
      <c r="Q225" s="56" t="s">
        <v>2154</v>
      </c>
      <c r="R225" s="56" t="s">
        <v>2155</v>
      </c>
      <c r="S225" s="56" t="s">
        <v>2156</v>
      </c>
      <c r="T225" s="56" t="s">
        <v>2157</v>
      </c>
      <c r="U225" s="56" t="s">
        <v>2158</v>
      </c>
      <c r="V225" s="56" t="s">
        <v>2159</v>
      </c>
      <c r="W225" s="56" t="s">
        <v>2160</v>
      </c>
      <c r="X225" s="56" t="s">
        <v>2161</v>
      </c>
      <c r="Y225" s="56" t="s">
        <v>2227</v>
      </c>
      <c r="Z225" s="56" t="s">
        <v>2228</v>
      </c>
      <c r="AA225" s="56" t="s">
        <v>2229</v>
      </c>
      <c r="AB225" s="56" t="s">
        <v>2230</v>
      </c>
      <c r="AC225" s="56" t="s">
        <v>1501</v>
      </c>
      <c r="AE225" s="56" t="s">
        <v>1493</v>
      </c>
      <c r="AI225" s="56" t="s">
        <v>1306</v>
      </c>
    </row>
    <row r="226" spans="1:35" ht="261" x14ac:dyDescent="0.35">
      <c r="A226" s="56" t="s">
        <v>2226</v>
      </c>
      <c r="B226" s="56" t="s">
        <v>1451</v>
      </c>
      <c r="C226" s="56" t="s">
        <v>1452</v>
      </c>
      <c r="D226" s="56" t="s">
        <v>1224</v>
      </c>
      <c r="E226" s="56" t="s">
        <v>1453</v>
      </c>
      <c r="G226" s="56" t="s">
        <v>1284</v>
      </c>
      <c r="H226" s="56" t="s">
        <v>1579</v>
      </c>
      <c r="J226" s="56" t="s">
        <v>1260</v>
      </c>
      <c r="K226" s="56" t="s">
        <v>1302</v>
      </c>
      <c r="L226" s="56" t="s">
        <v>1303</v>
      </c>
      <c r="M226" s="56" t="s">
        <v>1304</v>
      </c>
      <c r="N226" s="56" t="s">
        <v>1305</v>
      </c>
      <c r="O226" s="56" t="s">
        <v>1203</v>
      </c>
      <c r="P226" s="56" t="s">
        <v>2153</v>
      </c>
      <c r="Q226" s="56" t="s">
        <v>2154</v>
      </c>
      <c r="R226" s="56" t="s">
        <v>2155</v>
      </c>
      <c r="S226" s="56" t="s">
        <v>2156</v>
      </c>
      <c r="T226" s="56" t="s">
        <v>2157</v>
      </c>
      <c r="U226" s="56" t="s">
        <v>2158</v>
      </c>
      <c r="V226" s="56" t="s">
        <v>2159</v>
      </c>
      <c r="W226" s="56" t="s">
        <v>2160</v>
      </c>
      <c r="X226" s="56" t="s">
        <v>2161</v>
      </c>
      <c r="Y226" s="56" t="s">
        <v>2227</v>
      </c>
      <c r="Z226" s="56" t="s">
        <v>2228</v>
      </c>
      <c r="AA226" s="56" t="s">
        <v>2229</v>
      </c>
      <c r="AB226" s="56" t="s">
        <v>2230</v>
      </c>
      <c r="AC226" s="56" t="s">
        <v>1502</v>
      </c>
      <c r="AE226" s="56" t="s">
        <v>1493</v>
      </c>
      <c r="AI226" s="56" t="s">
        <v>1306</v>
      </c>
    </row>
    <row r="227" spans="1:35" ht="261" x14ac:dyDescent="0.35">
      <c r="A227" s="56" t="s">
        <v>2226</v>
      </c>
      <c r="B227" s="56" t="s">
        <v>1451</v>
      </c>
      <c r="C227" s="56" t="s">
        <v>1452</v>
      </c>
      <c r="D227" s="56" t="s">
        <v>1224</v>
      </c>
      <c r="E227" s="56" t="s">
        <v>1453</v>
      </c>
      <c r="G227" s="56" t="s">
        <v>1284</v>
      </c>
      <c r="H227" s="56" t="s">
        <v>1579</v>
      </c>
      <c r="J227" s="56" t="s">
        <v>1260</v>
      </c>
      <c r="K227" s="56" t="s">
        <v>1302</v>
      </c>
      <c r="L227" s="56" t="s">
        <v>1303</v>
      </c>
      <c r="M227" s="56" t="s">
        <v>1304</v>
      </c>
      <c r="N227" s="56" t="s">
        <v>1305</v>
      </c>
      <c r="O227" s="56" t="s">
        <v>1203</v>
      </c>
      <c r="P227" s="56" t="s">
        <v>2153</v>
      </c>
      <c r="Q227" s="56" t="s">
        <v>2154</v>
      </c>
      <c r="R227" s="56" t="s">
        <v>2155</v>
      </c>
      <c r="S227" s="56" t="s">
        <v>2156</v>
      </c>
      <c r="T227" s="56" t="s">
        <v>2157</v>
      </c>
      <c r="U227" s="56" t="s">
        <v>2158</v>
      </c>
      <c r="V227" s="56" t="s">
        <v>2159</v>
      </c>
      <c r="W227" s="56" t="s">
        <v>2160</v>
      </c>
      <c r="X227" s="56" t="s">
        <v>2161</v>
      </c>
      <c r="Y227" s="56" t="s">
        <v>2227</v>
      </c>
      <c r="Z227" s="56" t="s">
        <v>2228</v>
      </c>
      <c r="AA227" s="56" t="s">
        <v>2229</v>
      </c>
      <c r="AB227" s="56" t="s">
        <v>2230</v>
      </c>
      <c r="AC227" s="56" t="s">
        <v>1503</v>
      </c>
      <c r="AE227" s="56" t="s">
        <v>1493</v>
      </c>
      <c r="AI227" s="56" t="s">
        <v>1306</v>
      </c>
    </row>
    <row r="228" spans="1:35" ht="261" x14ac:dyDescent="0.35">
      <c r="A228" s="56" t="s">
        <v>2226</v>
      </c>
      <c r="B228" s="56" t="s">
        <v>1451</v>
      </c>
      <c r="C228" s="56" t="s">
        <v>1452</v>
      </c>
      <c r="D228" s="56" t="s">
        <v>1224</v>
      </c>
      <c r="E228" s="56" t="s">
        <v>1453</v>
      </c>
      <c r="G228" s="56" t="s">
        <v>1284</v>
      </c>
      <c r="H228" s="56" t="s">
        <v>1579</v>
      </c>
      <c r="J228" s="56" t="s">
        <v>1260</v>
      </c>
      <c r="K228" s="56" t="s">
        <v>1302</v>
      </c>
      <c r="L228" s="56" t="s">
        <v>1303</v>
      </c>
      <c r="M228" s="56" t="s">
        <v>1304</v>
      </c>
      <c r="N228" s="56" t="s">
        <v>1305</v>
      </c>
      <c r="O228" s="56" t="s">
        <v>1203</v>
      </c>
      <c r="P228" s="56" t="s">
        <v>2153</v>
      </c>
      <c r="Q228" s="56" t="s">
        <v>2154</v>
      </c>
      <c r="R228" s="56" t="s">
        <v>2155</v>
      </c>
      <c r="S228" s="56" t="s">
        <v>2156</v>
      </c>
      <c r="T228" s="56" t="s">
        <v>2157</v>
      </c>
      <c r="U228" s="56" t="s">
        <v>2158</v>
      </c>
      <c r="V228" s="56" t="s">
        <v>2159</v>
      </c>
      <c r="W228" s="56" t="s">
        <v>2160</v>
      </c>
      <c r="X228" s="56" t="s">
        <v>2161</v>
      </c>
      <c r="Y228" s="56" t="s">
        <v>2227</v>
      </c>
      <c r="Z228" s="56" t="s">
        <v>2228</v>
      </c>
      <c r="AA228" s="56" t="s">
        <v>2229</v>
      </c>
      <c r="AB228" s="56" t="s">
        <v>2230</v>
      </c>
      <c r="AC228" s="56" t="s">
        <v>1504</v>
      </c>
      <c r="AE228" s="56" t="s">
        <v>1493</v>
      </c>
      <c r="AI228" s="56" t="s">
        <v>1306</v>
      </c>
    </row>
    <row r="229" spans="1:35" ht="261" x14ac:dyDescent="0.35">
      <c r="A229" s="56" t="s">
        <v>2226</v>
      </c>
      <c r="B229" s="56" t="s">
        <v>1451</v>
      </c>
      <c r="C229" s="56" t="s">
        <v>1452</v>
      </c>
      <c r="D229" s="56" t="s">
        <v>1224</v>
      </c>
      <c r="E229" s="56" t="s">
        <v>1453</v>
      </c>
      <c r="G229" s="56" t="s">
        <v>1284</v>
      </c>
      <c r="H229" s="56" t="s">
        <v>1579</v>
      </c>
      <c r="J229" s="56" t="s">
        <v>1260</v>
      </c>
      <c r="K229" s="56" t="s">
        <v>1302</v>
      </c>
      <c r="L229" s="56" t="s">
        <v>1303</v>
      </c>
      <c r="M229" s="56" t="s">
        <v>1304</v>
      </c>
      <c r="N229" s="56" t="s">
        <v>1305</v>
      </c>
      <c r="O229" s="56" t="s">
        <v>1203</v>
      </c>
      <c r="P229" s="56" t="s">
        <v>2153</v>
      </c>
      <c r="Q229" s="56" t="s">
        <v>2154</v>
      </c>
      <c r="R229" s="56" t="s">
        <v>2155</v>
      </c>
      <c r="S229" s="56" t="s">
        <v>2156</v>
      </c>
      <c r="T229" s="56" t="s">
        <v>2157</v>
      </c>
      <c r="U229" s="56" t="s">
        <v>2158</v>
      </c>
      <c r="V229" s="56" t="s">
        <v>2159</v>
      </c>
      <c r="W229" s="56" t="s">
        <v>2160</v>
      </c>
      <c r="X229" s="56" t="s">
        <v>2161</v>
      </c>
      <c r="Y229" s="56" t="s">
        <v>2227</v>
      </c>
      <c r="Z229" s="56" t="s">
        <v>2228</v>
      </c>
      <c r="AA229" s="56" t="s">
        <v>2229</v>
      </c>
      <c r="AB229" s="56" t="s">
        <v>2230</v>
      </c>
      <c r="AC229" s="56" t="s">
        <v>1505</v>
      </c>
      <c r="AE229" s="56" t="s">
        <v>1493</v>
      </c>
      <c r="AI229" s="56" t="s">
        <v>1306</v>
      </c>
    </row>
    <row r="230" spans="1:35" ht="261" x14ac:dyDescent="0.35">
      <c r="A230" s="56" t="s">
        <v>2226</v>
      </c>
      <c r="B230" s="56" t="s">
        <v>1451</v>
      </c>
      <c r="C230" s="56" t="s">
        <v>1452</v>
      </c>
      <c r="D230" s="56" t="s">
        <v>1224</v>
      </c>
      <c r="E230" s="56" t="s">
        <v>1453</v>
      </c>
      <c r="G230" s="56" t="s">
        <v>1284</v>
      </c>
      <c r="H230" s="56" t="s">
        <v>1579</v>
      </c>
      <c r="J230" s="56" t="s">
        <v>1260</v>
      </c>
      <c r="K230" s="56" t="s">
        <v>1302</v>
      </c>
      <c r="L230" s="56" t="s">
        <v>1303</v>
      </c>
      <c r="M230" s="56" t="s">
        <v>1304</v>
      </c>
      <c r="N230" s="56" t="s">
        <v>1305</v>
      </c>
      <c r="O230" s="56" t="s">
        <v>1203</v>
      </c>
      <c r="P230" s="56" t="s">
        <v>2153</v>
      </c>
      <c r="Q230" s="56" t="s">
        <v>2154</v>
      </c>
      <c r="R230" s="56" t="s">
        <v>2155</v>
      </c>
      <c r="S230" s="56" t="s">
        <v>2156</v>
      </c>
      <c r="T230" s="56" t="s">
        <v>2157</v>
      </c>
      <c r="U230" s="56" t="s">
        <v>2158</v>
      </c>
      <c r="V230" s="56" t="s">
        <v>2159</v>
      </c>
      <c r="W230" s="56" t="s">
        <v>2160</v>
      </c>
      <c r="X230" s="56" t="s">
        <v>2161</v>
      </c>
      <c r="Y230" s="56" t="s">
        <v>2227</v>
      </c>
      <c r="Z230" s="56" t="s">
        <v>2228</v>
      </c>
      <c r="AA230" s="56" t="s">
        <v>2229</v>
      </c>
      <c r="AB230" s="56" t="s">
        <v>2230</v>
      </c>
      <c r="AC230" s="56" t="s">
        <v>1506</v>
      </c>
      <c r="AE230" s="56" t="s">
        <v>1493</v>
      </c>
      <c r="AI230" s="56" t="s">
        <v>1306</v>
      </c>
    </row>
    <row r="231" spans="1:35" ht="261" x14ac:dyDescent="0.35">
      <c r="A231" s="56" t="s">
        <v>2226</v>
      </c>
      <c r="B231" s="56" t="s">
        <v>1451</v>
      </c>
      <c r="C231" s="56" t="s">
        <v>1452</v>
      </c>
      <c r="D231" s="56" t="s">
        <v>1224</v>
      </c>
      <c r="E231" s="56" t="s">
        <v>1453</v>
      </c>
      <c r="G231" s="56" t="s">
        <v>1284</v>
      </c>
      <c r="H231" s="56" t="s">
        <v>1579</v>
      </c>
      <c r="J231" s="56" t="s">
        <v>1260</v>
      </c>
      <c r="K231" s="56" t="s">
        <v>1302</v>
      </c>
      <c r="L231" s="56" t="s">
        <v>1303</v>
      </c>
      <c r="M231" s="56" t="s">
        <v>1304</v>
      </c>
      <c r="N231" s="56" t="s">
        <v>1305</v>
      </c>
      <c r="O231" s="56" t="s">
        <v>1203</v>
      </c>
      <c r="P231" s="56" t="s">
        <v>2153</v>
      </c>
      <c r="Q231" s="56" t="s">
        <v>2154</v>
      </c>
      <c r="R231" s="56" t="s">
        <v>2155</v>
      </c>
      <c r="S231" s="56" t="s">
        <v>2156</v>
      </c>
      <c r="T231" s="56" t="s">
        <v>2157</v>
      </c>
      <c r="U231" s="56" t="s">
        <v>2158</v>
      </c>
      <c r="V231" s="56" t="s">
        <v>2159</v>
      </c>
      <c r="W231" s="56" t="s">
        <v>2160</v>
      </c>
      <c r="X231" s="56" t="s">
        <v>2161</v>
      </c>
      <c r="Y231" s="56" t="s">
        <v>2227</v>
      </c>
      <c r="Z231" s="56" t="s">
        <v>2228</v>
      </c>
      <c r="AA231" s="56" t="s">
        <v>2229</v>
      </c>
      <c r="AB231" s="56" t="s">
        <v>2230</v>
      </c>
      <c r="AC231" s="56" t="s">
        <v>1507</v>
      </c>
      <c r="AE231" s="56" t="s">
        <v>1493</v>
      </c>
      <c r="AI231" s="56" t="s">
        <v>1306</v>
      </c>
    </row>
    <row r="232" spans="1:35" ht="261" x14ac:dyDescent="0.35">
      <c r="A232" s="56" t="s">
        <v>2226</v>
      </c>
      <c r="B232" s="56" t="s">
        <v>1451</v>
      </c>
      <c r="C232" s="56" t="s">
        <v>1452</v>
      </c>
      <c r="D232" s="56" t="s">
        <v>1224</v>
      </c>
      <c r="E232" s="56" t="s">
        <v>1453</v>
      </c>
      <c r="G232" s="56" t="s">
        <v>1284</v>
      </c>
      <c r="H232" s="56" t="s">
        <v>1579</v>
      </c>
      <c r="J232" s="56" t="s">
        <v>1260</v>
      </c>
      <c r="K232" s="56" t="s">
        <v>1302</v>
      </c>
      <c r="L232" s="56" t="s">
        <v>1303</v>
      </c>
      <c r="M232" s="56" t="s">
        <v>1304</v>
      </c>
      <c r="N232" s="56" t="s">
        <v>1305</v>
      </c>
      <c r="O232" s="56" t="s">
        <v>1203</v>
      </c>
      <c r="P232" s="56" t="s">
        <v>2153</v>
      </c>
      <c r="Q232" s="56" t="s">
        <v>2154</v>
      </c>
      <c r="R232" s="56" t="s">
        <v>2155</v>
      </c>
      <c r="S232" s="56" t="s">
        <v>2156</v>
      </c>
      <c r="T232" s="56" t="s">
        <v>2157</v>
      </c>
      <c r="U232" s="56" t="s">
        <v>2158</v>
      </c>
      <c r="V232" s="56" t="s">
        <v>2159</v>
      </c>
      <c r="W232" s="56" t="s">
        <v>2160</v>
      </c>
      <c r="X232" s="56" t="s">
        <v>2161</v>
      </c>
      <c r="Y232" s="56" t="s">
        <v>2227</v>
      </c>
      <c r="Z232" s="56" t="s">
        <v>2228</v>
      </c>
      <c r="AA232" s="56" t="s">
        <v>2229</v>
      </c>
      <c r="AB232" s="56" t="s">
        <v>2230</v>
      </c>
      <c r="AC232" s="56" t="s">
        <v>1508</v>
      </c>
      <c r="AE232" s="56" t="s">
        <v>1493</v>
      </c>
      <c r="AI232" s="56" t="s">
        <v>1306</v>
      </c>
    </row>
    <row r="233" spans="1:35" ht="261" x14ac:dyDescent="0.35">
      <c r="A233" s="56" t="s">
        <v>2226</v>
      </c>
      <c r="B233" s="56" t="s">
        <v>1451</v>
      </c>
      <c r="C233" s="56" t="s">
        <v>1452</v>
      </c>
      <c r="D233" s="56" t="s">
        <v>1224</v>
      </c>
      <c r="E233" s="56" t="s">
        <v>1453</v>
      </c>
      <c r="G233" s="56" t="s">
        <v>1284</v>
      </c>
      <c r="H233" s="56" t="s">
        <v>1579</v>
      </c>
      <c r="J233" s="56" t="s">
        <v>1260</v>
      </c>
      <c r="K233" s="56" t="s">
        <v>1302</v>
      </c>
      <c r="L233" s="56" t="s">
        <v>1303</v>
      </c>
      <c r="M233" s="56" t="s">
        <v>1304</v>
      </c>
      <c r="N233" s="56" t="s">
        <v>1305</v>
      </c>
      <c r="O233" s="56" t="s">
        <v>1203</v>
      </c>
      <c r="P233" s="56" t="s">
        <v>2153</v>
      </c>
      <c r="Q233" s="56" t="s">
        <v>2154</v>
      </c>
      <c r="R233" s="56" t="s">
        <v>2155</v>
      </c>
      <c r="S233" s="56" t="s">
        <v>2156</v>
      </c>
      <c r="T233" s="56" t="s">
        <v>2157</v>
      </c>
      <c r="U233" s="56" t="s">
        <v>2158</v>
      </c>
      <c r="V233" s="56" t="s">
        <v>2159</v>
      </c>
      <c r="W233" s="56" t="s">
        <v>2160</v>
      </c>
      <c r="X233" s="56" t="s">
        <v>2161</v>
      </c>
      <c r="Y233" s="56" t="s">
        <v>2227</v>
      </c>
      <c r="Z233" s="56" t="s">
        <v>2228</v>
      </c>
      <c r="AA233" s="56" t="s">
        <v>2229</v>
      </c>
      <c r="AB233" s="56" t="s">
        <v>2230</v>
      </c>
      <c r="AC233" s="56" t="s">
        <v>1509</v>
      </c>
      <c r="AE233" s="56" t="s">
        <v>1493</v>
      </c>
      <c r="AI233" s="56" t="s">
        <v>1306</v>
      </c>
    </row>
    <row r="234" spans="1:35" ht="261" x14ac:dyDescent="0.35">
      <c r="A234" s="56" t="s">
        <v>2226</v>
      </c>
      <c r="B234" s="56" t="s">
        <v>1451</v>
      </c>
      <c r="C234" s="56" t="s">
        <v>1452</v>
      </c>
      <c r="D234" s="56" t="s">
        <v>1224</v>
      </c>
      <c r="E234" s="56" t="s">
        <v>1453</v>
      </c>
      <c r="G234" s="56" t="s">
        <v>1284</v>
      </c>
      <c r="H234" s="56" t="s">
        <v>1579</v>
      </c>
      <c r="J234" s="56" t="s">
        <v>1260</v>
      </c>
      <c r="K234" s="56" t="s">
        <v>1302</v>
      </c>
      <c r="L234" s="56" t="s">
        <v>1303</v>
      </c>
      <c r="M234" s="56" t="s">
        <v>1304</v>
      </c>
      <c r="N234" s="56" t="s">
        <v>1305</v>
      </c>
      <c r="O234" s="56" t="s">
        <v>1203</v>
      </c>
      <c r="P234" s="56" t="s">
        <v>2153</v>
      </c>
      <c r="Q234" s="56" t="s">
        <v>2154</v>
      </c>
      <c r="R234" s="56" t="s">
        <v>2155</v>
      </c>
      <c r="S234" s="56" t="s">
        <v>2156</v>
      </c>
      <c r="T234" s="56" t="s">
        <v>2157</v>
      </c>
      <c r="U234" s="56" t="s">
        <v>2158</v>
      </c>
      <c r="V234" s="56" t="s">
        <v>2159</v>
      </c>
      <c r="W234" s="56" t="s">
        <v>2160</v>
      </c>
      <c r="X234" s="56" t="s">
        <v>2161</v>
      </c>
      <c r="Y234" s="56" t="s">
        <v>2227</v>
      </c>
      <c r="Z234" s="56" t="s">
        <v>2228</v>
      </c>
      <c r="AA234" s="56" t="s">
        <v>2229</v>
      </c>
      <c r="AB234" s="56" t="s">
        <v>2230</v>
      </c>
      <c r="AC234" s="56" t="s">
        <v>1510</v>
      </c>
      <c r="AE234" s="56" t="s">
        <v>1493</v>
      </c>
      <c r="AI234" s="56" t="s">
        <v>1306</v>
      </c>
    </row>
    <row r="235" spans="1:35" ht="261" x14ac:dyDescent="0.35">
      <c r="A235" s="56" t="s">
        <v>2226</v>
      </c>
      <c r="B235" s="56" t="s">
        <v>1451</v>
      </c>
      <c r="C235" s="56" t="s">
        <v>1452</v>
      </c>
      <c r="D235" s="56" t="s">
        <v>1224</v>
      </c>
      <c r="E235" s="56" t="s">
        <v>1453</v>
      </c>
      <c r="G235" s="56" t="s">
        <v>1284</v>
      </c>
      <c r="H235" s="56" t="s">
        <v>1579</v>
      </c>
      <c r="J235" s="56" t="s">
        <v>1260</v>
      </c>
      <c r="K235" s="56" t="s">
        <v>1302</v>
      </c>
      <c r="L235" s="56" t="s">
        <v>1303</v>
      </c>
      <c r="M235" s="56" t="s">
        <v>1304</v>
      </c>
      <c r="N235" s="56" t="s">
        <v>1305</v>
      </c>
      <c r="O235" s="56" t="s">
        <v>1203</v>
      </c>
      <c r="P235" s="56" t="s">
        <v>2153</v>
      </c>
      <c r="Q235" s="56" t="s">
        <v>2154</v>
      </c>
      <c r="R235" s="56" t="s">
        <v>2155</v>
      </c>
      <c r="S235" s="56" t="s">
        <v>2156</v>
      </c>
      <c r="T235" s="56" t="s">
        <v>2157</v>
      </c>
      <c r="U235" s="56" t="s">
        <v>2158</v>
      </c>
      <c r="V235" s="56" t="s">
        <v>2159</v>
      </c>
      <c r="W235" s="56" t="s">
        <v>2160</v>
      </c>
      <c r="X235" s="56" t="s">
        <v>2161</v>
      </c>
      <c r="Y235" s="56" t="s">
        <v>2227</v>
      </c>
      <c r="Z235" s="56" t="s">
        <v>2228</v>
      </c>
      <c r="AA235" s="56" t="s">
        <v>2229</v>
      </c>
      <c r="AB235" s="56" t="s">
        <v>2230</v>
      </c>
      <c r="AC235" s="56" t="s">
        <v>1511</v>
      </c>
      <c r="AE235" s="56" t="s">
        <v>1493</v>
      </c>
      <c r="AI235" s="56" t="s">
        <v>1306</v>
      </c>
    </row>
    <row r="236" spans="1:35" ht="261" x14ac:dyDescent="0.35">
      <c r="A236" s="56" t="s">
        <v>2226</v>
      </c>
      <c r="B236" s="56" t="s">
        <v>1451</v>
      </c>
      <c r="C236" s="56" t="s">
        <v>1452</v>
      </c>
      <c r="D236" s="56" t="s">
        <v>1224</v>
      </c>
      <c r="E236" s="56" t="s">
        <v>1453</v>
      </c>
      <c r="G236" s="56" t="s">
        <v>1284</v>
      </c>
      <c r="H236" s="56" t="s">
        <v>1579</v>
      </c>
      <c r="J236" s="56" t="s">
        <v>1260</v>
      </c>
      <c r="K236" s="56" t="s">
        <v>1302</v>
      </c>
      <c r="L236" s="56" t="s">
        <v>1303</v>
      </c>
      <c r="M236" s="56" t="s">
        <v>1304</v>
      </c>
      <c r="N236" s="56" t="s">
        <v>1305</v>
      </c>
      <c r="O236" s="56" t="s">
        <v>1203</v>
      </c>
      <c r="P236" s="56" t="s">
        <v>2153</v>
      </c>
      <c r="Q236" s="56" t="s">
        <v>2154</v>
      </c>
      <c r="R236" s="56" t="s">
        <v>2155</v>
      </c>
      <c r="S236" s="56" t="s">
        <v>2156</v>
      </c>
      <c r="T236" s="56" t="s">
        <v>2157</v>
      </c>
      <c r="U236" s="56" t="s">
        <v>2158</v>
      </c>
      <c r="V236" s="56" t="s">
        <v>2159</v>
      </c>
      <c r="W236" s="56" t="s">
        <v>2160</v>
      </c>
      <c r="X236" s="56" t="s">
        <v>2161</v>
      </c>
      <c r="Y236" s="56" t="s">
        <v>2227</v>
      </c>
      <c r="Z236" s="56" t="s">
        <v>2228</v>
      </c>
      <c r="AA236" s="56" t="s">
        <v>2229</v>
      </c>
      <c r="AB236" s="56" t="s">
        <v>2230</v>
      </c>
      <c r="AC236" s="56" t="s">
        <v>1512</v>
      </c>
      <c r="AE236" s="56" t="s">
        <v>1493</v>
      </c>
      <c r="AF236" s="56" t="s">
        <v>1595</v>
      </c>
      <c r="AG236" s="56" t="s">
        <v>2237</v>
      </c>
      <c r="AH236" s="56" t="s">
        <v>2238</v>
      </c>
      <c r="AI236" s="56" t="s">
        <v>1306</v>
      </c>
    </row>
    <row r="237" spans="1:35" ht="261" x14ac:dyDescent="0.35">
      <c r="A237" s="56" t="s">
        <v>2226</v>
      </c>
      <c r="B237" s="56" t="s">
        <v>1451</v>
      </c>
      <c r="C237" s="56" t="s">
        <v>1452</v>
      </c>
      <c r="D237" s="56" t="s">
        <v>1224</v>
      </c>
      <c r="E237" s="56" t="s">
        <v>1453</v>
      </c>
      <c r="G237" s="56" t="s">
        <v>1284</v>
      </c>
      <c r="H237" s="56" t="s">
        <v>1579</v>
      </c>
      <c r="J237" s="56" t="s">
        <v>1260</v>
      </c>
      <c r="K237" s="56" t="s">
        <v>1302</v>
      </c>
      <c r="L237" s="56" t="s">
        <v>1303</v>
      </c>
      <c r="M237" s="56" t="s">
        <v>1304</v>
      </c>
      <c r="N237" s="56" t="s">
        <v>1305</v>
      </c>
      <c r="O237" s="56" t="s">
        <v>1203</v>
      </c>
      <c r="P237" s="56" t="s">
        <v>2153</v>
      </c>
      <c r="Q237" s="56" t="s">
        <v>2154</v>
      </c>
      <c r="R237" s="56" t="s">
        <v>2155</v>
      </c>
      <c r="S237" s="56" t="s">
        <v>2156</v>
      </c>
      <c r="T237" s="56" t="s">
        <v>2157</v>
      </c>
      <c r="U237" s="56" t="s">
        <v>2158</v>
      </c>
      <c r="V237" s="56" t="s">
        <v>2159</v>
      </c>
      <c r="W237" s="56" t="s">
        <v>2160</v>
      </c>
      <c r="X237" s="56" t="s">
        <v>2161</v>
      </c>
      <c r="Y237" s="56" t="s">
        <v>2227</v>
      </c>
      <c r="Z237" s="56" t="s">
        <v>2228</v>
      </c>
      <c r="AA237" s="56" t="s">
        <v>2229</v>
      </c>
      <c r="AB237" s="56" t="s">
        <v>2230</v>
      </c>
      <c r="AC237" s="56" t="s">
        <v>1513</v>
      </c>
      <c r="AE237" s="56" t="s">
        <v>1493</v>
      </c>
      <c r="AI237" s="56" t="s">
        <v>1306</v>
      </c>
    </row>
    <row r="238" spans="1:35" ht="261" x14ac:dyDescent="0.35">
      <c r="A238" s="56" t="s">
        <v>2226</v>
      </c>
      <c r="B238" s="56" t="s">
        <v>1451</v>
      </c>
      <c r="C238" s="56" t="s">
        <v>1452</v>
      </c>
      <c r="D238" s="56" t="s">
        <v>1224</v>
      </c>
      <c r="E238" s="56" t="s">
        <v>1453</v>
      </c>
      <c r="G238" s="56" t="s">
        <v>1284</v>
      </c>
      <c r="H238" s="56" t="s">
        <v>1579</v>
      </c>
      <c r="J238" s="56" t="s">
        <v>1260</v>
      </c>
      <c r="K238" s="56" t="s">
        <v>1302</v>
      </c>
      <c r="L238" s="56" t="s">
        <v>1303</v>
      </c>
      <c r="M238" s="56" t="s">
        <v>1304</v>
      </c>
      <c r="N238" s="56" t="s">
        <v>1305</v>
      </c>
      <c r="O238" s="56" t="s">
        <v>1203</v>
      </c>
      <c r="P238" s="56" t="s">
        <v>2153</v>
      </c>
      <c r="Q238" s="56" t="s">
        <v>2154</v>
      </c>
      <c r="R238" s="56" t="s">
        <v>2155</v>
      </c>
      <c r="S238" s="56" t="s">
        <v>2156</v>
      </c>
      <c r="T238" s="56" t="s">
        <v>2157</v>
      </c>
      <c r="U238" s="56" t="s">
        <v>2158</v>
      </c>
      <c r="V238" s="56" t="s">
        <v>2159</v>
      </c>
      <c r="W238" s="56" t="s">
        <v>2160</v>
      </c>
      <c r="X238" s="56" t="s">
        <v>2161</v>
      </c>
      <c r="Y238" s="56" t="s">
        <v>2227</v>
      </c>
      <c r="Z238" s="56" t="s">
        <v>2228</v>
      </c>
      <c r="AA238" s="56" t="s">
        <v>2229</v>
      </c>
      <c r="AB238" s="56" t="s">
        <v>2230</v>
      </c>
      <c r="AC238" s="56" t="s">
        <v>1514</v>
      </c>
      <c r="AE238" s="56" t="s">
        <v>1493</v>
      </c>
      <c r="AI238" s="56" t="s">
        <v>1306</v>
      </c>
    </row>
    <row r="239" spans="1:35" ht="261" x14ac:dyDescent="0.35">
      <c r="A239" s="56" t="s">
        <v>2226</v>
      </c>
      <c r="B239" s="56" t="s">
        <v>1451</v>
      </c>
      <c r="C239" s="56" t="s">
        <v>1452</v>
      </c>
      <c r="D239" s="56" t="s">
        <v>1224</v>
      </c>
      <c r="E239" s="56" t="s">
        <v>1453</v>
      </c>
      <c r="G239" s="56" t="s">
        <v>1284</v>
      </c>
      <c r="H239" s="56" t="s">
        <v>1579</v>
      </c>
      <c r="J239" s="56" t="s">
        <v>1260</v>
      </c>
      <c r="K239" s="56" t="s">
        <v>1302</v>
      </c>
      <c r="L239" s="56" t="s">
        <v>1303</v>
      </c>
      <c r="M239" s="56" t="s">
        <v>1304</v>
      </c>
      <c r="N239" s="56" t="s">
        <v>1305</v>
      </c>
      <c r="O239" s="56" t="s">
        <v>1203</v>
      </c>
      <c r="P239" s="56" t="s">
        <v>2153</v>
      </c>
      <c r="Q239" s="56" t="s">
        <v>2154</v>
      </c>
      <c r="R239" s="56" t="s">
        <v>2155</v>
      </c>
      <c r="S239" s="56" t="s">
        <v>2156</v>
      </c>
      <c r="T239" s="56" t="s">
        <v>2157</v>
      </c>
      <c r="U239" s="56" t="s">
        <v>2158</v>
      </c>
      <c r="V239" s="56" t="s">
        <v>2159</v>
      </c>
      <c r="W239" s="56" t="s">
        <v>2160</v>
      </c>
      <c r="X239" s="56" t="s">
        <v>2161</v>
      </c>
      <c r="Y239" s="56" t="s">
        <v>2227</v>
      </c>
      <c r="Z239" s="56" t="s">
        <v>2228</v>
      </c>
      <c r="AA239" s="56" t="s">
        <v>2229</v>
      </c>
      <c r="AB239" s="56" t="s">
        <v>2230</v>
      </c>
      <c r="AC239" s="56" t="s">
        <v>1515</v>
      </c>
      <c r="AE239" s="56" t="s">
        <v>1493</v>
      </c>
      <c r="AI239" s="56" t="s">
        <v>1306</v>
      </c>
    </row>
    <row r="240" spans="1:35" ht="261" x14ac:dyDescent="0.35">
      <c r="A240" s="56" t="s">
        <v>2226</v>
      </c>
      <c r="B240" s="56" t="s">
        <v>1451</v>
      </c>
      <c r="C240" s="56" t="s">
        <v>1452</v>
      </c>
      <c r="D240" s="56" t="s">
        <v>1224</v>
      </c>
      <c r="E240" s="56" t="s">
        <v>1453</v>
      </c>
      <c r="G240" s="56" t="s">
        <v>1284</v>
      </c>
      <c r="H240" s="56" t="s">
        <v>1579</v>
      </c>
      <c r="J240" s="56" t="s">
        <v>1260</v>
      </c>
      <c r="K240" s="56" t="s">
        <v>1302</v>
      </c>
      <c r="L240" s="56" t="s">
        <v>1303</v>
      </c>
      <c r="M240" s="56" t="s">
        <v>1304</v>
      </c>
      <c r="N240" s="56" t="s">
        <v>1305</v>
      </c>
      <c r="O240" s="56" t="s">
        <v>1203</v>
      </c>
      <c r="P240" s="56" t="s">
        <v>2153</v>
      </c>
      <c r="Q240" s="56" t="s">
        <v>2154</v>
      </c>
      <c r="R240" s="56" t="s">
        <v>2155</v>
      </c>
      <c r="S240" s="56" t="s">
        <v>2156</v>
      </c>
      <c r="T240" s="56" t="s">
        <v>2157</v>
      </c>
      <c r="U240" s="56" t="s">
        <v>2158</v>
      </c>
      <c r="V240" s="56" t="s">
        <v>2159</v>
      </c>
      <c r="W240" s="56" t="s">
        <v>2160</v>
      </c>
      <c r="X240" s="56" t="s">
        <v>2161</v>
      </c>
      <c r="Y240" s="56" t="s">
        <v>2227</v>
      </c>
      <c r="Z240" s="56" t="s">
        <v>2228</v>
      </c>
      <c r="AA240" s="56" t="s">
        <v>2229</v>
      </c>
      <c r="AB240" s="56" t="s">
        <v>2230</v>
      </c>
      <c r="AC240" s="56" t="s">
        <v>1516</v>
      </c>
      <c r="AE240" s="56" t="s">
        <v>1493</v>
      </c>
      <c r="AI240" s="56" t="s">
        <v>1306</v>
      </c>
    </row>
    <row r="241" spans="1:35" ht="261" x14ac:dyDescent="0.35">
      <c r="A241" s="56" t="s">
        <v>2226</v>
      </c>
      <c r="B241" s="56" t="s">
        <v>1451</v>
      </c>
      <c r="C241" s="56" t="s">
        <v>1452</v>
      </c>
      <c r="D241" s="56" t="s">
        <v>1224</v>
      </c>
      <c r="E241" s="56" t="s">
        <v>1453</v>
      </c>
      <c r="G241" s="56" t="s">
        <v>1284</v>
      </c>
      <c r="H241" s="56" t="s">
        <v>1579</v>
      </c>
      <c r="J241" s="56" t="s">
        <v>1260</v>
      </c>
      <c r="K241" s="56" t="s">
        <v>1302</v>
      </c>
      <c r="L241" s="56" t="s">
        <v>1303</v>
      </c>
      <c r="M241" s="56" t="s">
        <v>1304</v>
      </c>
      <c r="N241" s="56" t="s">
        <v>1305</v>
      </c>
      <c r="O241" s="56" t="s">
        <v>1203</v>
      </c>
      <c r="P241" s="56" t="s">
        <v>2153</v>
      </c>
      <c r="Q241" s="56" t="s">
        <v>2154</v>
      </c>
      <c r="R241" s="56" t="s">
        <v>2155</v>
      </c>
      <c r="S241" s="56" t="s">
        <v>2156</v>
      </c>
      <c r="T241" s="56" t="s">
        <v>2157</v>
      </c>
      <c r="U241" s="56" t="s">
        <v>2158</v>
      </c>
      <c r="V241" s="56" t="s">
        <v>2159</v>
      </c>
      <c r="W241" s="56" t="s">
        <v>2160</v>
      </c>
      <c r="X241" s="56" t="s">
        <v>2161</v>
      </c>
      <c r="Y241" s="56" t="s">
        <v>2227</v>
      </c>
      <c r="Z241" s="56" t="s">
        <v>2228</v>
      </c>
      <c r="AA241" s="56" t="s">
        <v>2229</v>
      </c>
      <c r="AB241" s="56" t="s">
        <v>2230</v>
      </c>
      <c r="AC241" s="56" t="s">
        <v>1517</v>
      </c>
      <c r="AE241" s="56" t="s">
        <v>1493</v>
      </c>
      <c r="AI241" s="56" t="s">
        <v>1306</v>
      </c>
    </row>
    <row r="242" spans="1:35" ht="261" x14ac:dyDescent="0.35">
      <c r="A242" s="56" t="s">
        <v>2226</v>
      </c>
      <c r="B242" s="56" t="s">
        <v>1451</v>
      </c>
      <c r="C242" s="56" t="s">
        <v>1452</v>
      </c>
      <c r="D242" s="56" t="s">
        <v>1224</v>
      </c>
      <c r="E242" s="56" t="s">
        <v>1453</v>
      </c>
      <c r="G242" s="56" t="s">
        <v>1284</v>
      </c>
      <c r="H242" s="56" t="s">
        <v>1579</v>
      </c>
      <c r="J242" s="56" t="s">
        <v>1260</v>
      </c>
      <c r="K242" s="56" t="s">
        <v>1302</v>
      </c>
      <c r="L242" s="56" t="s">
        <v>1303</v>
      </c>
      <c r="M242" s="56" t="s">
        <v>1304</v>
      </c>
      <c r="N242" s="56" t="s">
        <v>1305</v>
      </c>
      <c r="O242" s="56" t="s">
        <v>1203</v>
      </c>
      <c r="P242" s="56" t="s">
        <v>2153</v>
      </c>
      <c r="Q242" s="56" t="s">
        <v>2154</v>
      </c>
      <c r="R242" s="56" t="s">
        <v>2155</v>
      </c>
      <c r="S242" s="56" t="s">
        <v>2156</v>
      </c>
      <c r="T242" s="56" t="s">
        <v>2157</v>
      </c>
      <c r="U242" s="56" t="s">
        <v>2158</v>
      </c>
      <c r="V242" s="56" t="s">
        <v>2159</v>
      </c>
      <c r="W242" s="56" t="s">
        <v>2160</v>
      </c>
      <c r="X242" s="56" t="s">
        <v>2161</v>
      </c>
      <c r="Y242" s="56" t="s">
        <v>2227</v>
      </c>
      <c r="Z242" s="56" t="s">
        <v>2228</v>
      </c>
      <c r="AA242" s="56" t="s">
        <v>2229</v>
      </c>
      <c r="AB242" s="56" t="s">
        <v>2230</v>
      </c>
      <c r="AC242" s="56" t="s">
        <v>1524</v>
      </c>
      <c r="AE242" s="56" t="s">
        <v>1493</v>
      </c>
      <c r="AF242" s="56" t="s">
        <v>1598</v>
      </c>
      <c r="AG242" s="56" t="s">
        <v>2239</v>
      </c>
      <c r="AH242" s="56" t="s">
        <v>2240</v>
      </c>
      <c r="AI242" s="56" t="s">
        <v>1306</v>
      </c>
    </row>
    <row r="243" spans="1:35" ht="261" x14ac:dyDescent="0.35">
      <c r="A243" s="56" t="s">
        <v>2226</v>
      </c>
      <c r="B243" s="56" t="s">
        <v>1451</v>
      </c>
      <c r="C243" s="56" t="s">
        <v>1452</v>
      </c>
      <c r="D243" s="56" t="s">
        <v>1224</v>
      </c>
      <c r="E243" s="56" t="s">
        <v>1453</v>
      </c>
      <c r="G243" s="56" t="s">
        <v>1284</v>
      </c>
      <c r="H243" s="56" t="s">
        <v>1579</v>
      </c>
      <c r="J243" s="56" t="s">
        <v>1260</v>
      </c>
      <c r="K243" s="56" t="s">
        <v>1302</v>
      </c>
      <c r="L243" s="56" t="s">
        <v>1303</v>
      </c>
      <c r="M243" s="56" t="s">
        <v>1304</v>
      </c>
      <c r="N243" s="56" t="s">
        <v>1305</v>
      </c>
      <c r="O243" s="56" t="s">
        <v>1203</v>
      </c>
      <c r="P243" s="56" t="s">
        <v>2153</v>
      </c>
      <c r="Q243" s="56" t="s">
        <v>2154</v>
      </c>
      <c r="R243" s="56" t="s">
        <v>2155</v>
      </c>
      <c r="S243" s="56" t="s">
        <v>2156</v>
      </c>
      <c r="T243" s="56" t="s">
        <v>2157</v>
      </c>
      <c r="U243" s="56" t="s">
        <v>2158</v>
      </c>
      <c r="V243" s="56" t="s">
        <v>2159</v>
      </c>
      <c r="W243" s="56" t="s">
        <v>2160</v>
      </c>
      <c r="X243" s="56" t="s">
        <v>2161</v>
      </c>
      <c r="Y243" s="56" t="s">
        <v>2227</v>
      </c>
      <c r="Z243" s="56" t="s">
        <v>2228</v>
      </c>
      <c r="AA243" s="56" t="s">
        <v>2229</v>
      </c>
      <c r="AB243" s="56" t="s">
        <v>2230</v>
      </c>
      <c r="AC243" s="56" t="s">
        <v>1528</v>
      </c>
      <c r="AE243" s="56" t="s">
        <v>1493</v>
      </c>
      <c r="AI243" s="56" t="s">
        <v>1306</v>
      </c>
    </row>
    <row r="244" spans="1:35" ht="261" x14ac:dyDescent="0.35">
      <c r="A244" s="56" t="s">
        <v>2226</v>
      </c>
      <c r="B244" s="56" t="s">
        <v>1451</v>
      </c>
      <c r="C244" s="56" t="s">
        <v>1452</v>
      </c>
      <c r="D244" s="56" t="s">
        <v>1224</v>
      </c>
      <c r="E244" s="56" t="s">
        <v>1453</v>
      </c>
      <c r="G244" s="56" t="s">
        <v>1284</v>
      </c>
      <c r="H244" s="56" t="s">
        <v>1579</v>
      </c>
      <c r="J244" s="56" t="s">
        <v>1260</v>
      </c>
      <c r="K244" s="56" t="s">
        <v>1302</v>
      </c>
      <c r="L244" s="56" t="s">
        <v>1303</v>
      </c>
      <c r="M244" s="56" t="s">
        <v>1304</v>
      </c>
      <c r="N244" s="56" t="s">
        <v>1305</v>
      </c>
      <c r="O244" s="56" t="s">
        <v>1203</v>
      </c>
      <c r="P244" s="56" t="s">
        <v>2153</v>
      </c>
      <c r="Q244" s="56" t="s">
        <v>2154</v>
      </c>
      <c r="R244" s="56" t="s">
        <v>2155</v>
      </c>
      <c r="S244" s="56" t="s">
        <v>2156</v>
      </c>
      <c r="T244" s="56" t="s">
        <v>2157</v>
      </c>
      <c r="U244" s="56" t="s">
        <v>2158</v>
      </c>
      <c r="V244" s="56" t="s">
        <v>2159</v>
      </c>
      <c r="W244" s="56" t="s">
        <v>2160</v>
      </c>
      <c r="X244" s="56" t="s">
        <v>2161</v>
      </c>
      <c r="Y244" s="56" t="s">
        <v>2227</v>
      </c>
      <c r="Z244" s="56" t="s">
        <v>2228</v>
      </c>
      <c r="AA244" s="56" t="s">
        <v>2229</v>
      </c>
      <c r="AB244" s="56" t="s">
        <v>2230</v>
      </c>
      <c r="AC244" s="56" t="s">
        <v>1529</v>
      </c>
      <c r="AE244" s="56" t="s">
        <v>1493</v>
      </c>
      <c r="AI244" s="56" t="s">
        <v>1306</v>
      </c>
    </row>
    <row r="245" spans="1:35" ht="261" x14ac:dyDescent="0.35">
      <c r="A245" s="56" t="s">
        <v>2226</v>
      </c>
      <c r="B245" s="56" t="s">
        <v>1451</v>
      </c>
      <c r="C245" s="56" t="s">
        <v>1452</v>
      </c>
      <c r="D245" s="56" t="s">
        <v>1224</v>
      </c>
      <c r="E245" s="56" t="s">
        <v>1453</v>
      </c>
      <c r="G245" s="56" t="s">
        <v>1284</v>
      </c>
      <c r="H245" s="56" t="s">
        <v>1579</v>
      </c>
      <c r="J245" s="56" t="s">
        <v>1260</v>
      </c>
      <c r="K245" s="56" t="s">
        <v>1302</v>
      </c>
      <c r="L245" s="56" t="s">
        <v>1303</v>
      </c>
      <c r="M245" s="56" t="s">
        <v>1304</v>
      </c>
      <c r="N245" s="56" t="s">
        <v>1305</v>
      </c>
      <c r="O245" s="56" t="s">
        <v>1203</v>
      </c>
      <c r="P245" s="56" t="s">
        <v>2153</v>
      </c>
      <c r="Q245" s="56" t="s">
        <v>2154</v>
      </c>
      <c r="R245" s="56" t="s">
        <v>2155</v>
      </c>
      <c r="S245" s="56" t="s">
        <v>2156</v>
      </c>
      <c r="T245" s="56" t="s">
        <v>2157</v>
      </c>
      <c r="U245" s="56" t="s">
        <v>2158</v>
      </c>
      <c r="V245" s="56" t="s">
        <v>2159</v>
      </c>
      <c r="W245" s="56" t="s">
        <v>2160</v>
      </c>
      <c r="X245" s="56" t="s">
        <v>2161</v>
      </c>
      <c r="Y245" s="56" t="s">
        <v>2227</v>
      </c>
      <c r="Z245" s="56" t="s">
        <v>2228</v>
      </c>
      <c r="AA245" s="56" t="s">
        <v>2229</v>
      </c>
      <c r="AB245" s="56" t="s">
        <v>2230</v>
      </c>
      <c r="AC245" s="56" t="s">
        <v>1530</v>
      </c>
      <c r="AE245" s="56" t="s">
        <v>1493</v>
      </c>
      <c r="AI245" s="56" t="s">
        <v>1306</v>
      </c>
    </row>
    <row r="246" spans="1:35" ht="261" x14ac:dyDescent="0.35">
      <c r="A246" s="56" t="s">
        <v>2226</v>
      </c>
      <c r="B246" s="56" t="s">
        <v>1451</v>
      </c>
      <c r="C246" s="56" t="s">
        <v>1452</v>
      </c>
      <c r="D246" s="56" t="s">
        <v>1224</v>
      </c>
      <c r="E246" s="56" t="s">
        <v>1453</v>
      </c>
      <c r="G246" s="56" t="s">
        <v>1284</v>
      </c>
      <c r="H246" s="56" t="s">
        <v>1579</v>
      </c>
      <c r="J246" s="56" t="s">
        <v>1260</v>
      </c>
      <c r="K246" s="56" t="s">
        <v>1302</v>
      </c>
      <c r="L246" s="56" t="s">
        <v>1303</v>
      </c>
      <c r="M246" s="56" t="s">
        <v>1304</v>
      </c>
      <c r="N246" s="56" t="s">
        <v>1305</v>
      </c>
      <c r="O246" s="56" t="s">
        <v>1203</v>
      </c>
      <c r="P246" s="56" t="s">
        <v>2153</v>
      </c>
      <c r="Q246" s="56" t="s">
        <v>2154</v>
      </c>
      <c r="R246" s="56" t="s">
        <v>2155</v>
      </c>
      <c r="S246" s="56" t="s">
        <v>2156</v>
      </c>
      <c r="T246" s="56" t="s">
        <v>2157</v>
      </c>
      <c r="U246" s="56" t="s">
        <v>2158</v>
      </c>
      <c r="V246" s="56" t="s">
        <v>2159</v>
      </c>
      <c r="W246" s="56" t="s">
        <v>2160</v>
      </c>
      <c r="X246" s="56" t="s">
        <v>2161</v>
      </c>
      <c r="Y246" s="56" t="s">
        <v>2227</v>
      </c>
      <c r="Z246" s="56" t="s">
        <v>2228</v>
      </c>
      <c r="AA246" s="56" t="s">
        <v>2229</v>
      </c>
      <c r="AB246" s="56" t="s">
        <v>2230</v>
      </c>
      <c r="AC246" s="56" t="s">
        <v>1531</v>
      </c>
      <c r="AE246" s="56" t="s">
        <v>1493</v>
      </c>
      <c r="AI246" s="56" t="s">
        <v>1306</v>
      </c>
    </row>
    <row r="247" spans="1:35" ht="261" x14ac:dyDescent="0.35">
      <c r="A247" s="56" t="s">
        <v>2226</v>
      </c>
      <c r="B247" s="56" t="s">
        <v>1451</v>
      </c>
      <c r="C247" s="56" t="s">
        <v>1452</v>
      </c>
      <c r="D247" s="56" t="s">
        <v>1224</v>
      </c>
      <c r="E247" s="56" t="s">
        <v>1453</v>
      </c>
      <c r="G247" s="56" t="s">
        <v>1284</v>
      </c>
      <c r="H247" s="56" t="s">
        <v>1579</v>
      </c>
      <c r="J247" s="56" t="s">
        <v>1260</v>
      </c>
      <c r="K247" s="56" t="s">
        <v>1302</v>
      </c>
      <c r="L247" s="56" t="s">
        <v>1303</v>
      </c>
      <c r="M247" s="56" t="s">
        <v>1304</v>
      </c>
      <c r="N247" s="56" t="s">
        <v>1305</v>
      </c>
      <c r="O247" s="56" t="s">
        <v>1203</v>
      </c>
      <c r="P247" s="56" t="s">
        <v>2153</v>
      </c>
      <c r="Q247" s="56" t="s">
        <v>2154</v>
      </c>
      <c r="R247" s="56" t="s">
        <v>2155</v>
      </c>
      <c r="S247" s="56" t="s">
        <v>2156</v>
      </c>
      <c r="T247" s="56" t="s">
        <v>2157</v>
      </c>
      <c r="U247" s="56" t="s">
        <v>2158</v>
      </c>
      <c r="V247" s="56" t="s">
        <v>2159</v>
      </c>
      <c r="W247" s="56" t="s">
        <v>2160</v>
      </c>
      <c r="X247" s="56" t="s">
        <v>2161</v>
      </c>
      <c r="Y247" s="56" t="s">
        <v>2227</v>
      </c>
      <c r="Z247" s="56" t="s">
        <v>2228</v>
      </c>
      <c r="AA247" s="56" t="s">
        <v>2229</v>
      </c>
      <c r="AB247" s="56" t="s">
        <v>2230</v>
      </c>
      <c r="AC247" s="56" t="s">
        <v>1532</v>
      </c>
      <c r="AE247" s="56" t="s">
        <v>1493</v>
      </c>
      <c r="AI247" s="56" t="s">
        <v>1306</v>
      </c>
    </row>
    <row r="248" spans="1:35" ht="275.5" x14ac:dyDescent="0.35">
      <c r="A248" s="56" t="s">
        <v>2241</v>
      </c>
      <c r="B248" s="56" t="s">
        <v>1451</v>
      </c>
      <c r="C248" s="56" t="s">
        <v>1452</v>
      </c>
      <c r="D248" s="56" t="s">
        <v>1224</v>
      </c>
      <c r="E248" s="56" t="s">
        <v>1453</v>
      </c>
      <c r="G248" s="56" t="s">
        <v>1278</v>
      </c>
      <c r="H248" s="56" t="s">
        <v>1331</v>
      </c>
      <c r="J248" s="56" t="s">
        <v>1277</v>
      </c>
      <c r="K248" s="56" t="s">
        <v>1327</v>
      </c>
      <c r="L248" s="56" t="s">
        <v>1328</v>
      </c>
      <c r="M248" s="56" t="s">
        <v>1329</v>
      </c>
      <c r="N248" s="56" t="s">
        <v>1330</v>
      </c>
      <c r="O248" s="56" t="s">
        <v>1203</v>
      </c>
      <c r="P248" s="56" t="s">
        <v>2153</v>
      </c>
      <c r="Q248" s="56" t="s">
        <v>2154</v>
      </c>
      <c r="R248" s="56" t="s">
        <v>2155</v>
      </c>
      <c r="S248" s="56" t="s">
        <v>2156</v>
      </c>
      <c r="T248" s="56" t="s">
        <v>2157</v>
      </c>
      <c r="U248" s="56" t="s">
        <v>2158</v>
      </c>
      <c r="V248" s="56" t="s">
        <v>2159</v>
      </c>
      <c r="W248" s="56" t="s">
        <v>2160</v>
      </c>
      <c r="X248" s="56" t="s">
        <v>2195</v>
      </c>
      <c r="Y248" s="56" t="s">
        <v>2182</v>
      </c>
      <c r="Z248" s="56" t="s">
        <v>2183</v>
      </c>
      <c r="AA248" s="56" t="s">
        <v>2184</v>
      </c>
      <c r="AB248" s="56" t="s">
        <v>2185</v>
      </c>
      <c r="AC248" s="56" t="s">
        <v>1454</v>
      </c>
      <c r="AD248" s="56" t="s">
        <v>1455</v>
      </c>
      <c r="AE248" s="56" t="s">
        <v>2046</v>
      </c>
      <c r="AF248" s="56" t="s">
        <v>1601</v>
      </c>
      <c r="AG248" s="56" t="s">
        <v>2242</v>
      </c>
      <c r="AH248" s="56" t="s">
        <v>2243</v>
      </c>
      <c r="AI248" s="56" t="s">
        <v>2244</v>
      </c>
    </row>
    <row r="249" spans="1:35" ht="116" x14ac:dyDescent="0.35">
      <c r="A249" s="56" t="s">
        <v>2241</v>
      </c>
      <c r="B249" s="56" t="s">
        <v>1451</v>
      </c>
      <c r="C249" s="56" t="s">
        <v>1452</v>
      </c>
      <c r="D249" s="56" t="s">
        <v>1224</v>
      </c>
      <c r="E249" s="56" t="s">
        <v>1453</v>
      </c>
      <c r="G249" s="56" t="s">
        <v>1278</v>
      </c>
      <c r="H249" s="56" t="s">
        <v>1331</v>
      </c>
      <c r="J249" s="56" t="s">
        <v>1277</v>
      </c>
      <c r="K249" s="56" t="s">
        <v>1327</v>
      </c>
      <c r="L249" s="56" t="s">
        <v>1328</v>
      </c>
      <c r="M249" s="56" t="s">
        <v>1329</v>
      </c>
      <c r="N249" s="56" t="s">
        <v>1330</v>
      </c>
      <c r="O249" s="56" t="s">
        <v>1203</v>
      </c>
      <c r="P249" s="56" t="s">
        <v>2153</v>
      </c>
      <c r="Q249" s="56" t="s">
        <v>2154</v>
      </c>
      <c r="R249" s="56" t="s">
        <v>2155</v>
      </c>
      <c r="S249" s="56" t="s">
        <v>2156</v>
      </c>
      <c r="T249" s="56" t="s">
        <v>2157</v>
      </c>
      <c r="U249" s="56" t="s">
        <v>2158</v>
      </c>
      <c r="V249" s="56" t="s">
        <v>2159</v>
      </c>
      <c r="W249" s="56" t="s">
        <v>2160</v>
      </c>
      <c r="X249" s="56" t="s">
        <v>2195</v>
      </c>
      <c r="Y249" s="56" t="s">
        <v>2182</v>
      </c>
      <c r="Z249" s="56" t="s">
        <v>2183</v>
      </c>
      <c r="AA249" s="56" t="s">
        <v>2184</v>
      </c>
      <c r="AB249" s="56" t="s">
        <v>2185</v>
      </c>
      <c r="AC249" s="56" t="s">
        <v>1463</v>
      </c>
      <c r="AD249" s="56" t="s">
        <v>1464</v>
      </c>
      <c r="AE249" s="56" t="s">
        <v>2046</v>
      </c>
      <c r="AI249" s="56" t="s">
        <v>2244</v>
      </c>
    </row>
    <row r="250" spans="1:35" ht="116" x14ac:dyDescent="0.35">
      <c r="A250" s="56" t="s">
        <v>2241</v>
      </c>
      <c r="B250" s="56" t="s">
        <v>1451</v>
      </c>
      <c r="C250" s="56" t="s">
        <v>1452</v>
      </c>
      <c r="D250" s="56" t="s">
        <v>1224</v>
      </c>
      <c r="E250" s="56" t="s">
        <v>1453</v>
      </c>
      <c r="G250" s="56" t="s">
        <v>1278</v>
      </c>
      <c r="H250" s="56" t="s">
        <v>1331</v>
      </c>
      <c r="J250" s="56" t="s">
        <v>1277</v>
      </c>
      <c r="K250" s="56" t="s">
        <v>1327</v>
      </c>
      <c r="L250" s="56" t="s">
        <v>1328</v>
      </c>
      <c r="M250" s="56" t="s">
        <v>1329</v>
      </c>
      <c r="N250" s="56" t="s">
        <v>1330</v>
      </c>
      <c r="O250" s="56" t="s">
        <v>1203</v>
      </c>
      <c r="P250" s="56" t="s">
        <v>2153</v>
      </c>
      <c r="Q250" s="56" t="s">
        <v>2154</v>
      </c>
      <c r="R250" s="56" t="s">
        <v>2155</v>
      </c>
      <c r="S250" s="56" t="s">
        <v>2156</v>
      </c>
      <c r="T250" s="56" t="s">
        <v>2157</v>
      </c>
      <c r="U250" s="56" t="s">
        <v>2158</v>
      </c>
      <c r="V250" s="56" t="s">
        <v>2159</v>
      </c>
      <c r="W250" s="56" t="s">
        <v>2160</v>
      </c>
      <c r="X250" s="56" t="s">
        <v>2195</v>
      </c>
      <c r="Y250" s="56" t="s">
        <v>2182</v>
      </c>
      <c r="Z250" s="56" t="s">
        <v>2183</v>
      </c>
      <c r="AA250" s="56" t="s">
        <v>2184</v>
      </c>
      <c r="AB250" s="56" t="s">
        <v>2185</v>
      </c>
      <c r="AC250" s="56" t="s">
        <v>1465</v>
      </c>
      <c r="AD250" s="56" t="s">
        <v>1466</v>
      </c>
      <c r="AE250" s="56" t="s">
        <v>2046</v>
      </c>
      <c r="AI250" s="56" t="s">
        <v>2244</v>
      </c>
    </row>
    <row r="251" spans="1:35" ht="116" x14ac:dyDescent="0.35">
      <c r="A251" s="56" t="s">
        <v>2241</v>
      </c>
      <c r="B251" s="56" t="s">
        <v>1451</v>
      </c>
      <c r="C251" s="56" t="s">
        <v>1452</v>
      </c>
      <c r="D251" s="56" t="s">
        <v>1224</v>
      </c>
      <c r="E251" s="56" t="s">
        <v>1453</v>
      </c>
      <c r="G251" s="56" t="s">
        <v>1278</v>
      </c>
      <c r="H251" s="56" t="s">
        <v>1331</v>
      </c>
      <c r="J251" s="56" t="s">
        <v>1277</v>
      </c>
      <c r="K251" s="56" t="s">
        <v>1327</v>
      </c>
      <c r="L251" s="56" t="s">
        <v>1328</v>
      </c>
      <c r="M251" s="56" t="s">
        <v>1329</v>
      </c>
      <c r="N251" s="56" t="s">
        <v>1330</v>
      </c>
      <c r="O251" s="56" t="s">
        <v>1203</v>
      </c>
      <c r="P251" s="56" t="s">
        <v>2153</v>
      </c>
      <c r="Q251" s="56" t="s">
        <v>2154</v>
      </c>
      <c r="R251" s="56" t="s">
        <v>2155</v>
      </c>
      <c r="S251" s="56" t="s">
        <v>2156</v>
      </c>
      <c r="T251" s="56" t="s">
        <v>2157</v>
      </c>
      <c r="U251" s="56" t="s">
        <v>2158</v>
      </c>
      <c r="V251" s="56" t="s">
        <v>2159</v>
      </c>
      <c r="W251" s="56" t="s">
        <v>2160</v>
      </c>
      <c r="X251" s="56" t="s">
        <v>2195</v>
      </c>
      <c r="Y251" s="56" t="s">
        <v>2182</v>
      </c>
      <c r="Z251" s="56" t="s">
        <v>2183</v>
      </c>
      <c r="AA251" s="56" t="s">
        <v>2184</v>
      </c>
      <c r="AB251" s="56" t="s">
        <v>2185</v>
      </c>
      <c r="AC251" s="56" t="s">
        <v>1467</v>
      </c>
      <c r="AD251" s="56" t="s">
        <v>1468</v>
      </c>
      <c r="AE251" s="56" t="s">
        <v>2046</v>
      </c>
      <c r="AI251" s="56" t="s">
        <v>2244</v>
      </c>
    </row>
    <row r="252" spans="1:35" ht="116" x14ac:dyDescent="0.35">
      <c r="A252" s="56" t="s">
        <v>2241</v>
      </c>
      <c r="B252" s="56" t="s">
        <v>1451</v>
      </c>
      <c r="C252" s="56" t="s">
        <v>1452</v>
      </c>
      <c r="D252" s="56" t="s">
        <v>1224</v>
      </c>
      <c r="E252" s="56" t="s">
        <v>1453</v>
      </c>
      <c r="G252" s="56" t="s">
        <v>1278</v>
      </c>
      <c r="H252" s="56" t="s">
        <v>1331</v>
      </c>
      <c r="J252" s="56" t="s">
        <v>1277</v>
      </c>
      <c r="K252" s="56" t="s">
        <v>1327</v>
      </c>
      <c r="L252" s="56" t="s">
        <v>1328</v>
      </c>
      <c r="M252" s="56" t="s">
        <v>1329</v>
      </c>
      <c r="N252" s="56" t="s">
        <v>1330</v>
      </c>
      <c r="O252" s="56" t="s">
        <v>1203</v>
      </c>
      <c r="P252" s="56" t="s">
        <v>2153</v>
      </c>
      <c r="Q252" s="56" t="s">
        <v>2154</v>
      </c>
      <c r="R252" s="56" t="s">
        <v>2155</v>
      </c>
      <c r="S252" s="56" t="s">
        <v>2156</v>
      </c>
      <c r="T252" s="56" t="s">
        <v>2157</v>
      </c>
      <c r="U252" s="56" t="s">
        <v>2158</v>
      </c>
      <c r="V252" s="56" t="s">
        <v>2159</v>
      </c>
      <c r="W252" s="56" t="s">
        <v>2160</v>
      </c>
      <c r="X252" s="56" t="s">
        <v>2195</v>
      </c>
      <c r="Y252" s="56" t="s">
        <v>2182</v>
      </c>
      <c r="Z252" s="56" t="s">
        <v>2183</v>
      </c>
      <c r="AA252" s="56" t="s">
        <v>2184</v>
      </c>
      <c r="AB252" s="56" t="s">
        <v>2185</v>
      </c>
      <c r="AC252" s="56" t="s">
        <v>1471</v>
      </c>
      <c r="AD252" s="56" t="s">
        <v>1472</v>
      </c>
      <c r="AE252" s="56" t="s">
        <v>2046</v>
      </c>
      <c r="AI252" s="56" t="s">
        <v>2244</v>
      </c>
    </row>
    <row r="253" spans="1:35" ht="246.5" x14ac:dyDescent="0.35">
      <c r="A253" s="56" t="s">
        <v>2241</v>
      </c>
      <c r="B253" s="56" t="s">
        <v>1451</v>
      </c>
      <c r="C253" s="56" t="s">
        <v>1452</v>
      </c>
      <c r="D253" s="56" t="s">
        <v>1224</v>
      </c>
      <c r="E253" s="56" t="s">
        <v>1453</v>
      </c>
      <c r="G253" s="56" t="s">
        <v>1278</v>
      </c>
      <c r="H253" s="56" t="s">
        <v>1331</v>
      </c>
      <c r="J253" s="56" t="s">
        <v>1277</v>
      </c>
      <c r="K253" s="56" t="s">
        <v>1327</v>
      </c>
      <c r="L253" s="56" t="s">
        <v>1328</v>
      </c>
      <c r="M253" s="56" t="s">
        <v>1329</v>
      </c>
      <c r="N253" s="56" t="s">
        <v>1330</v>
      </c>
      <c r="O253" s="56" t="s">
        <v>1203</v>
      </c>
      <c r="P253" s="56" t="s">
        <v>2153</v>
      </c>
      <c r="Q253" s="56" t="s">
        <v>2154</v>
      </c>
      <c r="R253" s="56" t="s">
        <v>2155</v>
      </c>
      <c r="S253" s="56" t="s">
        <v>2156</v>
      </c>
      <c r="T253" s="56" t="s">
        <v>2157</v>
      </c>
      <c r="U253" s="56" t="s">
        <v>2158</v>
      </c>
      <c r="V253" s="56" t="s">
        <v>2159</v>
      </c>
      <c r="W253" s="56" t="s">
        <v>2160</v>
      </c>
      <c r="X253" s="56" t="s">
        <v>2195</v>
      </c>
      <c r="Y253" s="56" t="s">
        <v>2182</v>
      </c>
      <c r="Z253" s="56" t="s">
        <v>2183</v>
      </c>
      <c r="AA253" s="56" t="s">
        <v>2184</v>
      </c>
      <c r="AB253" s="56" t="s">
        <v>2185</v>
      </c>
      <c r="AC253" s="56" t="s">
        <v>1475</v>
      </c>
      <c r="AD253" s="56" t="s">
        <v>1476</v>
      </c>
      <c r="AE253" s="56" t="s">
        <v>2046</v>
      </c>
      <c r="AF253" s="56" t="s">
        <v>2245</v>
      </c>
      <c r="AG253" s="56" t="s">
        <v>2246</v>
      </c>
      <c r="AH253" s="56" t="s">
        <v>2247</v>
      </c>
      <c r="AI253" s="56" t="s">
        <v>2244</v>
      </c>
    </row>
    <row r="254" spans="1:35" ht="116" x14ac:dyDescent="0.35">
      <c r="A254" s="56" t="s">
        <v>2241</v>
      </c>
      <c r="B254" s="56" t="s">
        <v>1451</v>
      </c>
      <c r="C254" s="56" t="s">
        <v>1452</v>
      </c>
      <c r="D254" s="56" t="s">
        <v>1224</v>
      </c>
      <c r="E254" s="56" t="s">
        <v>1453</v>
      </c>
      <c r="G254" s="56" t="s">
        <v>1278</v>
      </c>
      <c r="H254" s="56" t="s">
        <v>1331</v>
      </c>
      <c r="J254" s="56" t="s">
        <v>1277</v>
      </c>
      <c r="K254" s="56" t="s">
        <v>1327</v>
      </c>
      <c r="L254" s="56" t="s">
        <v>1328</v>
      </c>
      <c r="M254" s="56" t="s">
        <v>1329</v>
      </c>
      <c r="N254" s="56" t="s">
        <v>1330</v>
      </c>
      <c r="O254" s="56" t="s">
        <v>1203</v>
      </c>
      <c r="P254" s="56" t="s">
        <v>2153</v>
      </c>
      <c r="Q254" s="56" t="s">
        <v>2154</v>
      </c>
      <c r="R254" s="56" t="s">
        <v>2155</v>
      </c>
      <c r="S254" s="56" t="s">
        <v>2156</v>
      </c>
      <c r="T254" s="56" t="s">
        <v>2157</v>
      </c>
      <c r="U254" s="56" t="s">
        <v>2158</v>
      </c>
      <c r="V254" s="56" t="s">
        <v>2159</v>
      </c>
      <c r="W254" s="56" t="s">
        <v>2160</v>
      </c>
      <c r="X254" s="56" t="s">
        <v>2195</v>
      </c>
      <c r="Y254" s="56" t="s">
        <v>2182</v>
      </c>
      <c r="Z254" s="56" t="s">
        <v>2183</v>
      </c>
      <c r="AA254" s="56" t="s">
        <v>2184</v>
      </c>
      <c r="AB254" s="56" t="s">
        <v>2185</v>
      </c>
      <c r="AC254" s="56" t="s">
        <v>1477</v>
      </c>
      <c r="AD254" s="56" t="s">
        <v>1478</v>
      </c>
      <c r="AE254" s="56" t="s">
        <v>2046</v>
      </c>
      <c r="AI254" s="56" t="s">
        <v>2244</v>
      </c>
    </row>
    <row r="255" spans="1:35" ht="116" x14ac:dyDescent="0.35">
      <c r="A255" s="56" t="s">
        <v>2241</v>
      </c>
      <c r="B255" s="56" t="s">
        <v>1451</v>
      </c>
      <c r="C255" s="56" t="s">
        <v>1452</v>
      </c>
      <c r="D255" s="56" t="s">
        <v>1224</v>
      </c>
      <c r="E255" s="56" t="s">
        <v>1453</v>
      </c>
      <c r="G255" s="56" t="s">
        <v>1278</v>
      </c>
      <c r="H255" s="56" t="s">
        <v>1331</v>
      </c>
      <c r="J255" s="56" t="s">
        <v>1277</v>
      </c>
      <c r="K255" s="56" t="s">
        <v>1327</v>
      </c>
      <c r="L255" s="56" t="s">
        <v>1328</v>
      </c>
      <c r="M255" s="56" t="s">
        <v>1329</v>
      </c>
      <c r="N255" s="56" t="s">
        <v>1330</v>
      </c>
      <c r="O255" s="56" t="s">
        <v>1203</v>
      </c>
      <c r="P255" s="56" t="s">
        <v>2153</v>
      </c>
      <c r="Q255" s="56" t="s">
        <v>2154</v>
      </c>
      <c r="R255" s="56" t="s">
        <v>2155</v>
      </c>
      <c r="S255" s="56" t="s">
        <v>2156</v>
      </c>
      <c r="T255" s="56" t="s">
        <v>2157</v>
      </c>
      <c r="U255" s="56" t="s">
        <v>2158</v>
      </c>
      <c r="V255" s="56" t="s">
        <v>2159</v>
      </c>
      <c r="W255" s="56" t="s">
        <v>2160</v>
      </c>
      <c r="X255" s="56" t="s">
        <v>2195</v>
      </c>
      <c r="Y255" s="56" t="s">
        <v>2182</v>
      </c>
      <c r="Z255" s="56" t="s">
        <v>2183</v>
      </c>
      <c r="AA255" s="56" t="s">
        <v>2184</v>
      </c>
      <c r="AB255" s="56" t="s">
        <v>2185</v>
      </c>
      <c r="AC255" s="56" t="s">
        <v>1481</v>
      </c>
      <c r="AD255" s="56" t="s">
        <v>1482</v>
      </c>
      <c r="AE255" s="56" t="s">
        <v>2046</v>
      </c>
      <c r="AI255" s="56" t="s">
        <v>2244</v>
      </c>
    </row>
    <row r="256" spans="1:35" ht="116" x14ac:dyDescent="0.35">
      <c r="A256" s="56" t="s">
        <v>2241</v>
      </c>
      <c r="B256" s="56" t="s">
        <v>1451</v>
      </c>
      <c r="C256" s="56" t="s">
        <v>1452</v>
      </c>
      <c r="D256" s="56" t="s">
        <v>1224</v>
      </c>
      <c r="E256" s="56" t="s">
        <v>1453</v>
      </c>
      <c r="G256" s="56" t="s">
        <v>1278</v>
      </c>
      <c r="H256" s="56" t="s">
        <v>1331</v>
      </c>
      <c r="J256" s="56" t="s">
        <v>1277</v>
      </c>
      <c r="K256" s="56" t="s">
        <v>1327</v>
      </c>
      <c r="L256" s="56" t="s">
        <v>1328</v>
      </c>
      <c r="M256" s="56" t="s">
        <v>1329</v>
      </c>
      <c r="N256" s="56" t="s">
        <v>1330</v>
      </c>
      <c r="O256" s="56" t="s">
        <v>1203</v>
      </c>
      <c r="P256" s="56" t="s">
        <v>2153</v>
      </c>
      <c r="Q256" s="56" t="s">
        <v>2154</v>
      </c>
      <c r="R256" s="56" t="s">
        <v>2155</v>
      </c>
      <c r="S256" s="56" t="s">
        <v>2156</v>
      </c>
      <c r="T256" s="56" t="s">
        <v>2157</v>
      </c>
      <c r="U256" s="56" t="s">
        <v>2158</v>
      </c>
      <c r="V256" s="56" t="s">
        <v>2159</v>
      </c>
      <c r="W256" s="56" t="s">
        <v>2160</v>
      </c>
      <c r="X256" s="56" t="s">
        <v>2195</v>
      </c>
      <c r="Y256" s="56" t="s">
        <v>2182</v>
      </c>
      <c r="Z256" s="56" t="s">
        <v>2183</v>
      </c>
      <c r="AA256" s="56" t="s">
        <v>2184</v>
      </c>
      <c r="AB256" s="56" t="s">
        <v>2185</v>
      </c>
      <c r="AC256" s="56" t="s">
        <v>1483</v>
      </c>
      <c r="AD256" s="56" t="s">
        <v>1484</v>
      </c>
      <c r="AE256" s="56" t="s">
        <v>2046</v>
      </c>
      <c r="AI256" s="56" t="s">
        <v>2244</v>
      </c>
    </row>
    <row r="257" spans="1:35" ht="116" x14ac:dyDescent="0.35">
      <c r="A257" s="56" t="s">
        <v>2241</v>
      </c>
      <c r="B257" s="56" t="s">
        <v>1451</v>
      </c>
      <c r="C257" s="56" t="s">
        <v>1452</v>
      </c>
      <c r="D257" s="56" t="s">
        <v>1224</v>
      </c>
      <c r="E257" s="56" t="s">
        <v>1453</v>
      </c>
      <c r="G257" s="56" t="s">
        <v>1278</v>
      </c>
      <c r="H257" s="56" t="s">
        <v>1331</v>
      </c>
      <c r="J257" s="56" t="s">
        <v>1277</v>
      </c>
      <c r="K257" s="56" t="s">
        <v>1327</v>
      </c>
      <c r="L257" s="56" t="s">
        <v>1328</v>
      </c>
      <c r="M257" s="56" t="s">
        <v>1329</v>
      </c>
      <c r="N257" s="56" t="s">
        <v>1330</v>
      </c>
      <c r="O257" s="56" t="s">
        <v>1203</v>
      </c>
      <c r="P257" s="56" t="s">
        <v>2153</v>
      </c>
      <c r="Q257" s="56" t="s">
        <v>2154</v>
      </c>
      <c r="R257" s="56" t="s">
        <v>2155</v>
      </c>
      <c r="S257" s="56" t="s">
        <v>2156</v>
      </c>
      <c r="T257" s="56" t="s">
        <v>2157</v>
      </c>
      <c r="U257" s="56" t="s">
        <v>2158</v>
      </c>
      <c r="V257" s="56" t="s">
        <v>2159</v>
      </c>
      <c r="W257" s="56" t="s">
        <v>2160</v>
      </c>
      <c r="X257" s="56" t="s">
        <v>2195</v>
      </c>
      <c r="Y257" s="56" t="s">
        <v>2182</v>
      </c>
      <c r="Z257" s="56" t="s">
        <v>2183</v>
      </c>
      <c r="AA257" s="56" t="s">
        <v>2184</v>
      </c>
      <c r="AB257" s="56" t="s">
        <v>2185</v>
      </c>
      <c r="AC257" s="56" t="s">
        <v>1486</v>
      </c>
      <c r="AD257" s="56" t="s">
        <v>1487</v>
      </c>
      <c r="AE257" s="56" t="s">
        <v>2046</v>
      </c>
      <c r="AI257" s="56" t="s">
        <v>2244</v>
      </c>
    </row>
    <row r="258" spans="1:35" ht="116" x14ac:dyDescent="0.35">
      <c r="A258" s="56" t="s">
        <v>2241</v>
      </c>
      <c r="B258" s="56" t="s">
        <v>1451</v>
      </c>
      <c r="C258" s="56" t="s">
        <v>1452</v>
      </c>
      <c r="D258" s="56" t="s">
        <v>1224</v>
      </c>
      <c r="E258" s="56" t="s">
        <v>1453</v>
      </c>
      <c r="G258" s="56" t="s">
        <v>1278</v>
      </c>
      <c r="H258" s="56" t="s">
        <v>1331</v>
      </c>
      <c r="J258" s="56" t="s">
        <v>1277</v>
      </c>
      <c r="K258" s="56" t="s">
        <v>1327</v>
      </c>
      <c r="L258" s="56" t="s">
        <v>1328</v>
      </c>
      <c r="M258" s="56" t="s">
        <v>1329</v>
      </c>
      <c r="N258" s="56" t="s">
        <v>1330</v>
      </c>
      <c r="O258" s="56" t="s">
        <v>1203</v>
      </c>
      <c r="P258" s="56" t="s">
        <v>2153</v>
      </c>
      <c r="Q258" s="56" t="s">
        <v>2154</v>
      </c>
      <c r="R258" s="56" t="s">
        <v>2155</v>
      </c>
      <c r="S258" s="56" t="s">
        <v>2156</v>
      </c>
      <c r="T258" s="56" t="s">
        <v>2157</v>
      </c>
      <c r="U258" s="56" t="s">
        <v>2158</v>
      </c>
      <c r="V258" s="56" t="s">
        <v>2159</v>
      </c>
      <c r="W258" s="56" t="s">
        <v>2160</v>
      </c>
      <c r="X258" s="56" t="s">
        <v>2195</v>
      </c>
      <c r="Y258" s="56" t="s">
        <v>2182</v>
      </c>
      <c r="Z258" s="56" t="s">
        <v>2183</v>
      </c>
      <c r="AA258" s="56" t="s">
        <v>2184</v>
      </c>
      <c r="AB258" s="56" t="s">
        <v>2185</v>
      </c>
      <c r="AC258" s="56" t="s">
        <v>1488</v>
      </c>
      <c r="AD258" s="56" t="s">
        <v>1489</v>
      </c>
      <c r="AE258" s="56" t="s">
        <v>2046</v>
      </c>
      <c r="AI258" s="56" t="s">
        <v>2244</v>
      </c>
    </row>
    <row r="259" spans="1:35" ht="116" x14ac:dyDescent="0.35">
      <c r="A259" s="56" t="s">
        <v>2241</v>
      </c>
      <c r="B259" s="56" t="s">
        <v>1451</v>
      </c>
      <c r="C259" s="56" t="s">
        <v>1452</v>
      </c>
      <c r="D259" s="56" t="s">
        <v>1224</v>
      </c>
      <c r="E259" s="56" t="s">
        <v>1453</v>
      </c>
      <c r="G259" s="56" t="s">
        <v>1278</v>
      </c>
      <c r="H259" s="56" t="s">
        <v>1331</v>
      </c>
      <c r="J259" s="56" t="s">
        <v>1277</v>
      </c>
      <c r="K259" s="56" t="s">
        <v>1327</v>
      </c>
      <c r="L259" s="56" t="s">
        <v>1328</v>
      </c>
      <c r="M259" s="56" t="s">
        <v>1329</v>
      </c>
      <c r="N259" s="56" t="s">
        <v>1330</v>
      </c>
      <c r="O259" s="56" t="s">
        <v>1203</v>
      </c>
      <c r="P259" s="56" t="s">
        <v>2153</v>
      </c>
      <c r="Q259" s="56" t="s">
        <v>2154</v>
      </c>
      <c r="R259" s="56" t="s">
        <v>2155</v>
      </c>
      <c r="S259" s="56" t="s">
        <v>2156</v>
      </c>
      <c r="T259" s="56" t="s">
        <v>2157</v>
      </c>
      <c r="U259" s="56" t="s">
        <v>2158</v>
      </c>
      <c r="V259" s="56" t="s">
        <v>2159</v>
      </c>
      <c r="W259" s="56" t="s">
        <v>2160</v>
      </c>
      <c r="X259" s="56" t="s">
        <v>2195</v>
      </c>
      <c r="Y259" s="56" t="s">
        <v>2182</v>
      </c>
      <c r="Z259" s="56" t="s">
        <v>2183</v>
      </c>
      <c r="AA259" s="56" t="s">
        <v>2184</v>
      </c>
      <c r="AB259" s="56" t="s">
        <v>2185</v>
      </c>
      <c r="AC259" s="56" t="s">
        <v>1490</v>
      </c>
      <c r="AD259" s="56" t="s">
        <v>1491</v>
      </c>
      <c r="AE259" s="56" t="s">
        <v>2046</v>
      </c>
      <c r="AI259" s="56" t="s">
        <v>2244</v>
      </c>
    </row>
    <row r="260" spans="1:35" ht="116" x14ac:dyDescent="0.35">
      <c r="A260" s="56" t="s">
        <v>2241</v>
      </c>
      <c r="B260" s="56" t="s">
        <v>1451</v>
      </c>
      <c r="C260" s="56" t="s">
        <v>1452</v>
      </c>
      <c r="D260" s="56" t="s">
        <v>1224</v>
      </c>
      <c r="E260" s="56" t="s">
        <v>1453</v>
      </c>
      <c r="G260" s="56" t="s">
        <v>1278</v>
      </c>
      <c r="H260" s="56" t="s">
        <v>1331</v>
      </c>
      <c r="J260" s="56" t="s">
        <v>1277</v>
      </c>
      <c r="K260" s="56" t="s">
        <v>1327</v>
      </c>
      <c r="L260" s="56" t="s">
        <v>1328</v>
      </c>
      <c r="M260" s="56" t="s">
        <v>1329</v>
      </c>
      <c r="N260" s="56" t="s">
        <v>1330</v>
      </c>
      <c r="O260" s="56" t="s">
        <v>1203</v>
      </c>
      <c r="P260" s="56" t="s">
        <v>2153</v>
      </c>
      <c r="Q260" s="56" t="s">
        <v>2154</v>
      </c>
      <c r="R260" s="56" t="s">
        <v>2155</v>
      </c>
      <c r="S260" s="56" t="s">
        <v>2156</v>
      </c>
      <c r="T260" s="56" t="s">
        <v>2157</v>
      </c>
      <c r="U260" s="56" t="s">
        <v>2158</v>
      </c>
      <c r="V260" s="56" t="s">
        <v>2159</v>
      </c>
      <c r="W260" s="56" t="s">
        <v>2160</v>
      </c>
      <c r="X260" s="56" t="s">
        <v>2195</v>
      </c>
      <c r="Y260" s="56" t="s">
        <v>2182</v>
      </c>
      <c r="Z260" s="56" t="s">
        <v>2183</v>
      </c>
      <c r="AA260" s="56" t="s">
        <v>2184</v>
      </c>
      <c r="AB260" s="56" t="s">
        <v>2185</v>
      </c>
      <c r="AC260" s="56" t="s">
        <v>1492</v>
      </c>
      <c r="AD260" s="56" t="s">
        <v>1538</v>
      </c>
      <c r="AE260" s="56" t="s">
        <v>1493</v>
      </c>
      <c r="AI260" s="56" t="s">
        <v>2244</v>
      </c>
    </row>
    <row r="261" spans="1:35" ht="116" x14ac:dyDescent="0.35">
      <c r="A261" s="56" t="s">
        <v>2241</v>
      </c>
      <c r="B261" s="56" t="s">
        <v>1451</v>
      </c>
      <c r="C261" s="56" t="s">
        <v>1452</v>
      </c>
      <c r="D261" s="56" t="s">
        <v>1224</v>
      </c>
      <c r="E261" s="56" t="s">
        <v>1453</v>
      </c>
      <c r="G261" s="56" t="s">
        <v>1278</v>
      </c>
      <c r="H261" s="56" t="s">
        <v>1331</v>
      </c>
      <c r="J261" s="56" t="s">
        <v>1277</v>
      </c>
      <c r="K261" s="56" t="s">
        <v>1327</v>
      </c>
      <c r="L261" s="56" t="s">
        <v>1328</v>
      </c>
      <c r="M261" s="56" t="s">
        <v>1329</v>
      </c>
      <c r="N261" s="56" t="s">
        <v>1330</v>
      </c>
      <c r="O261" s="56" t="s">
        <v>1203</v>
      </c>
      <c r="P261" s="56" t="s">
        <v>2153</v>
      </c>
      <c r="Q261" s="56" t="s">
        <v>2154</v>
      </c>
      <c r="R261" s="56" t="s">
        <v>2155</v>
      </c>
      <c r="S261" s="56" t="s">
        <v>2156</v>
      </c>
      <c r="T261" s="56" t="s">
        <v>2157</v>
      </c>
      <c r="U261" s="56" t="s">
        <v>2158</v>
      </c>
      <c r="V261" s="56" t="s">
        <v>2159</v>
      </c>
      <c r="W261" s="56" t="s">
        <v>2160</v>
      </c>
      <c r="X261" s="56" t="s">
        <v>2195</v>
      </c>
      <c r="Y261" s="56" t="s">
        <v>2182</v>
      </c>
      <c r="Z261" s="56" t="s">
        <v>2183</v>
      </c>
      <c r="AA261" s="56" t="s">
        <v>2184</v>
      </c>
      <c r="AB261" s="56" t="s">
        <v>2185</v>
      </c>
      <c r="AC261" s="56" t="s">
        <v>1494</v>
      </c>
      <c r="AD261" s="56" t="s">
        <v>1539</v>
      </c>
      <c r="AE261" s="56" t="s">
        <v>1493</v>
      </c>
      <c r="AI261" s="56" t="s">
        <v>2244</v>
      </c>
    </row>
    <row r="262" spans="1:35" ht="116" x14ac:dyDescent="0.35">
      <c r="A262" s="56" t="s">
        <v>2241</v>
      </c>
      <c r="B262" s="56" t="s">
        <v>1451</v>
      </c>
      <c r="C262" s="56" t="s">
        <v>1452</v>
      </c>
      <c r="D262" s="56" t="s">
        <v>1224</v>
      </c>
      <c r="E262" s="56" t="s">
        <v>1453</v>
      </c>
      <c r="G262" s="56" t="s">
        <v>1278</v>
      </c>
      <c r="H262" s="56" t="s">
        <v>1331</v>
      </c>
      <c r="J262" s="56" t="s">
        <v>1277</v>
      </c>
      <c r="K262" s="56" t="s">
        <v>1327</v>
      </c>
      <c r="L262" s="56" t="s">
        <v>1328</v>
      </c>
      <c r="M262" s="56" t="s">
        <v>1329</v>
      </c>
      <c r="N262" s="56" t="s">
        <v>1330</v>
      </c>
      <c r="O262" s="56" t="s">
        <v>1203</v>
      </c>
      <c r="P262" s="56" t="s">
        <v>2153</v>
      </c>
      <c r="Q262" s="56" t="s">
        <v>2154</v>
      </c>
      <c r="R262" s="56" t="s">
        <v>2155</v>
      </c>
      <c r="S262" s="56" t="s">
        <v>2156</v>
      </c>
      <c r="T262" s="56" t="s">
        <v>2157</v>
      </c>
      <c r="U262" s="56" t="s">
        <v>2158</v>
      </c>
      <c r="V262" s="56" t="s">
        <v>2159</v>
      </c>
      <c r="W262" s="56" t="s">
        <v>2160</v>
      </c>
      <c r="X262" s="56" t="s">
        <v>2195</v>
      </c>
      <c r="Y262" s="56" t="s">
        <v>2182</v>
      </c>
      <c r="Z262" s="56" t="s">
        <v>2183</v>
      </c>
      <c r="AA262" s="56" t="s">
        <v>2184</v>
      </c>
      <c r="AB262" s="56" t="s">
        <v>2185</v>
      </c>
      <c r="AC262" s="56" t="s">
        <v>1495</v>
      </c>
      <c r="AE262" s="56" t="s">
        <v>1493</v>
      </c>
      <c r="AI262" s="56" t="s">
        <v>2244</v>
      </c>
    </row>
    <row r="263" spans="1:35" ht="116" x14ac:dyDescent="0.35">
      <c r="A263" s="56" t="s">
        <v>2241</v>
      </c>
      <c r="B263" s="56" t="s">
        <v>1451</v>
      </c>
      <c r="C263" s="56" t="s">
        <v>1452</v>
      </c>
      <c r="D263" s="56" t="s">
        <v>1224</v>
      </c>
      <c r="E263" s="56" t="s">
        <v>1453</v>
      </c>
      <c r="G263" s="56" t="s">
        <v>1278</v>
      </c>
      <c r="H263" s="56" t="s">
        <v>1331</v>
      </c>
      <c r="J263" s="56" t="s">
        <v>1277</v>
      </c>
      <c r="K263" s="56" t="s">
        <v>1327</v>
      </c>
      <c r="L263" s="56" t="s">
        <v>1328</v>
      </c>
      <c r="M263" s="56" t="s">
        <v>1329</v>
      </c>
      <c r="N263" s="56" t="s">
        <v>1330</v>
      </c>
      <c r="O263" s="56" t="s">
        <v>1203</v>
      </c>
      <c r="P263" s="56" t="s">
        <v>2153</v>
      </c>
      <c r="Q263" s="56" t="s">
        <v>2154</v>
      </c>
      <c r="R263" s="56" t="s">
        <v>2155</v>
      </c>
      <c r="S263" s="56" t="s">
        <v>2156</v>
      </c>
      <c r="T263" s="56" t="s">
        <v>2157</v>
      </c>
      <c r="U263" s="56" t="s">
        <v>2158</v>
      </c>
      <c r="V263" s="56" t="s">
        <v>2159</v>
      </c>
      <c r="W263" s="56" t="s">
        <v>2160</v>
      </c>
      <c r="X263" s="56" t="s">
        <v>2195</v>
      </c>
      <c r="Y263" s="56" t="s">
        <v>2182</v>
      </c>
      <c r="Z263" s="56" t="s">
        <v>2183</v>
      </c>
      <c r="AA263" s="56" t="s">
        <v>2184</v>
      </c>
      <c r="AB263" s="56" t="s">
        <v>2185</v>
      </c>
      <c r="AC263" s="56" t="s">
        <v>1496</v>
      </c>
      <c r="AE263" s="56" t="s">
        <v>1493</v>
      </c>
      <c r="AI263" s="56" t="s">
        <v>2244</v>
      </c>
    </row>
    <row r="264" spans="1:35" ht="116" x14ac:dyDescent="0.35">
      <c r="A264" s="56" t="s">
        <v>2241</v>
      </c>
      <c r="B264" s="56" t="s">
        <v>1451</v>
      </c>
      <c r="C264" s="56" t="s">
        <v>1452</v>
      </c>
      <c r="D264" s="56" t="s">
        <v>1224</v>
      </c>
      <c r="E264" s="56" t="s">
        <v>1453</v>
      </c>
      <c r="G264" s="56" t="s">
        <v>1278</v>
      </c>
      <c r="H264" s="56" t="s">
        <v>1331</v>
      </c>
      <c r="J264" s="56" t="s">
        <v>1277</v>
      </c>
      <c r="K264" s="56" t="s">
        <v>1327</v>
      </c>
      <c r="L264" s="56" t="s">
        <v>1328</v>
      </c>
      <c r="M264" s="56" t="s">
        <v>1329</v>
      </c>
      <c r="N264" s="56" t="s">
        <v>1330</v>
      </c>
      <c r="O264" s="56" t="s">
        <v>1203</v>
      </c>
      <c r="P264" s="56" t="s">
        <v>2153</v>
      </c>
      <c r="Q264" s="56" t="s">
        <v>2154</v>
      </c>
      <c r="R264" s="56" t="s">
        <v>2155</v>
      </c>
      <c r="S264" s="56" t="s">
        <v>2156</v>
      </c>
      <c r="T264" s="56" t="s">
        <v>2157</v>
      </c>
      <c r="U264" s="56" t="s">
        <v>2158</v>
      </c>
      <c r="V264" s="56" t="s">
        <v>2159</v>
      </c>
      <c r="W264" s="56" t="s">
        <v>2160</v>
      </c>
      <c r="X264" s="56" t="s">
        <v>2195</v>
      </c>
      <c r="Y264" s="56" t="s">
        <v>2182</v>
      </c>
      <c r="Z264" s="56" t="s">
        <v>2183</v>
      </c>
      <c r="AA264" s="56" t="s">
        <v>2184</v>
      </c>
      <c r="AB264" s="56" t="s">
        <v>2185</v>
      </c>
      <c r="AC264" s="56" t="s">
        <v>1499</v>
      </c>
      <c r="AE264" s="56" t="s">
        <v>1493</v>
      </c>
      <c r="AI264" s="56" t="s">
        <v>2244</v>
      </c>
    </row>
    <row r="265" spans="1:35" ht="116" x14ac:dyDescent="0.35">
      <c r="A265" s="56" t="s">
        <v>2241</v>
      </c>
      <c r="B265" s="56" t="s">
        <v>1451</v>
      </c>
      <c r="C265" s="56" t="s">
        <v>1452</v>
      </c>
      <c r="D265" s="56" t="s">
        <v>1224</v>
      </c>
      <c r="E265" s="56" t="s">
        <v>1453</v>
      </c>
      <c r="G265" s="56" t="s">
        <v>1278</v>
      </c>
      <c r="H265" s="56" t="s">
        <v>1331</v>
      </c>
      <c r="J265" s="56" t="s">
        <v>1277</v>
      </c>
      <c r="K265" s="56" t="s">
        <v>1327</v>
      </c>
      <c r="L265" s="56" t="s">
        <v>1328</v>
      </c>
      <c r="M265" s="56" t="s">
        <v>1329</v>
      </c>
      <c r="N265" s="56" t="s">
        <v>1330</v>
      </c>
      <c r="O265" s="56" t="s">
        <v>1203</v>
      </c>
      <c r="P265" s="56" t="s">
        <v>2153</v>
      </c>
      <c r="Q265" s="56" t="s">
        <v>2154</v>
      </c>
      <c r="R265" s="56" t="s">
        <v>2155</v>
      </c>
      <c r="S265" s="56" t="s">
        <v>2156</v>
      </c>
      <c r="T265" s="56" t="s">
        <v>2157</v>
      </c>
      <c r="U265" s="56" t="s">
        <v>2158</v>
      </c>
      <c r="V265" s="56" t="s">
        <v>2159</v>
      </c>
      <c r="W265" s="56" t="s">
        <v>2160</v>
      </c>
      <c r="X265" s="56" t="s">
        <v>2195</v>
      </c>
      <c r="Y265" s="56" t="s">
        <v>2182</v>
      </c>
      <c r="Z265" s="56" t="s">
        <v>2183</v>
      </c>
      <c r="AA265" s="56" t="s">
        <v>2184</v>
      </c>
      <c r="AB265" s="56" t="s">
        <v>2185</v>
      </c>
      <c r="AC265" s="56" t="s">
        <v>1500</v>
      </c>
      <c r="AE265" s="56" t="s">
        <v>1493</v>
      </c>
      <c r="AI265" s="56" t="s">
        <v>2244</v>
      </c>
    </row>
    <row r="266" spans="1:35" ht="116" x14ac:dyDescent="0.35">
      <c r="A266" s="56" t="s">
        <v>2241</v>
      </c>
      <c r="B266" s="56" t="s">
        <v>1451</v>
      </c>
      <c r="C266" s="56" t="s">
        <v>1452</v>
      </c>
      <c r="D266" s="56" t="s">
        <v>1224</v>
      </c>
      <c r="E266" s="56" t="s">
        <v>1453</v>
      </c>
      <c r="G266" s="56" t="s">
        <v>1278</v>
      </c>
      <c r="H266" s="56" t="s">
        <v>1331</v>
      </c>
      <c r="J266" s="56" t="s">
        <v>1277</v>
      </c>
      <c r="K266" s="56" t="s">
        <v>1327</v>
      </c>
      <c r="L266" s="56" t="s">
        <v>1328</v>
      </c>
      <c r="M266" s="56" t="s">
        <v>1329</v>
      </c>
      <c r="N266" s="56" t="s">
        <v>1330</v>
      </c>
      <c r="O266" s="56" t="s">
        <v>1203</v>
      </c>
      <c r="P266" s="56" t="s">
        <v>2153</v>
      </c>
      <c r="Q266" s="56" t="s">
        <v>2154</v>
      </c>
      <c r="R266" s="56" t="s">
        <v>2155</v>
      </c>
      <c r="S266" s="56" t="s">
        <v>2156</v>
      </c>
      <c r="T266" s="56" t="s">
        <v>2157</v>
      </c>
      <c r="U266" s="56" t="s">
        <v>2158</v>
      </c>
      <c r="V266" s="56" t="s">
        <v>2159</v>
      </c>
      <c r="W266" s="56" t="s">
        <v>2160</v>
      </c>
      <c r="X266" s="56" t="s">
        <v>2195</v>
      </c>
      <c r="Y266" s="56" t="s">
        <v>2182</v>
      </c>
      <c r="Z266" s="56" t="s">
        <v>2183</v>
      </c>
      <c r="AA266" s="56" t="s">
        <v>2184</v>
      </c>
      <c r="AB266" s="56" t="s">
        <v>2185</v>
      </c>
      <c r="AC266" s="56" t="s">
        <v>1501</v>
      </c>
      <c r="AE266" s="56" t="s">
        <v>1493</v>
      </c>
      <c r="AI266" s="56" t="s">
        <v>2244</v>
      </c>
    </row>
    <row r="267" spans="1:35" ht="116" x14ac:dyDescent="0.35">
      <c r="A267" s="56" t="s">
        <v>2241</v>
      </c>
      <c r="B267" s="56" t="s">
        <v>1451</v>
      </c>
      <c r="C267" s="56" t="s">
        <v>1452</v>
      </c>
      <c r="D267" s="56" t="s">
        <v>1224</v>
      </c>
      <c r="E267" s="56" t="s">
        <v>1453</v>
      </c>
      <c r="G267" s="56" t="s">
        <v>1278</v>
      </c>
      <c r="H267" s="56" t="s">
        <v>1331</v>
      </c>
      <c r="J267" s="56" t="s">
        <v>1277</v>
      </c>
      <c r="K267" s="56" t="s">
        <v>1327</v>
      </c>
      <c r="L267" s="56" t="s">
        <v>1328</v>
      </c>
      <c r="M267" s="56" t="s">
        <v>1329</v>
      </c>
      <c r="N267" s="56" t="s">
        <v>1330</v>
      </c>
      <c r="O267" s="56" t="s">
        <v>1203</v>
      </c>
      <c r="P267" s="56" t="s">
        <v>2153</v>
      </c>
      <c r="Q267" s="56" t="s">
        <v>2154</v>
      </c>
      <c r="R267" s="56" t="s">
        <v>2155</v>
      </c>
      <c r="S267" s="56" t="s">
        <v>2156</v>
      </c>
      <c r="T267" s="56" t="s">
        <v>2157</v>
      </c>
      <c r="U267" s="56" t="s">
        <v>2158</v>
      </c>
      <c r="V267" s="56" t="s">
        <v>2159</v>
      </c>
      <c r="W267" s="56" t="s">
        <v>2160</v>
      </c>
      <c r="X267" s="56" t="s">
        <v>2195</v>
      </c>
      <c r="Y267" s="56" t="s">
        <v>2182</v>
      </c>
      <c r="Z267" s="56" t="s">
        <v>2183</v>
      </c>
      <c r="AA267" s="56" t="s">
        <v>2184</v>
      </c>
      <c r="AB267" s="56" t="s">
        <v>2185</v>
      </c>
      <c r="AC267" s="56" t="s">
        <v>1502</v>
      </c>
      <c r="AE267" s="56" t="s">
        <v>1493</v>
      </c>
      <c r="AI267" s="56" t="s">
        <v>2244</v>
      </c>
    </row>
    <row r="268" spans="1:35" ht="116" x14ac:dyDescent="0.35">
      <c r="A268" s="56" t="s">
        <v>2241</v>
      </c>
      <c r="B268" s="56" t="s">
        <v>1451</v>
      </c>
      <c r="C268" s="56" t="s">
        <v>1452</v>
      </c>
      <c r="D268" s="56" t="s">
        <v>1224</v>
      </c>
      <c r="E268" s="56" t="s">
        <v>1453</v>
      </c>
      <c r="G268" s="56" t="s">
        <v>1278</v>
      </c>
      <c r="H268" s="56" t="s">
        <v>1331</v>
      </c>
      <c r="J268" s="56" t="s">
        <v>1277</v>
      </c>
      <c r="K268" s="56" t="s">
        <v>1327</v>
      </c>
      <c r="L268" s="56" t="s">
        <v>1328</v>
      </c>
      <c r="M268" s="56" t="s">
        <v>1329</v>
      </c>
      <c r="N268" s="56" t="s">
        <v>1330</v>
      </c>
      <c r="O268" s="56" t="s">
        <v>1203</v>
      </c>
      <c r="P268" s="56" t="s">
        <v>2153</v>
      </c>
      <c r="Q268" s="56" t="s">
        <v>2154</v>
      </c>
      <c r="R268" s="56" t="s">
        <v>2155</v>
      </c>
      <c r="S268" s="56" t="s">
        <v>2156</v>
      </c>
      <c r="T268" s="56" t="s">
        <v>2157</v>
      </c>
      <c r="U268" s="56" t="s">
        <v>2158</v>
      </c>
      <c r="V268" s="56" t="s">
        <v>2159</v>
      </c>
      <c r="W268" s="56" t="s">
        <v>2160</v>
      </c>
      <c r="X268" s="56" t="s">
        <v>2195</v>
      </c>
      <c r="Y268" s="56" t="s">
        <v>2182</v>
      </c>
      <c r="Z268" s="56" t="s">
        <v>2183</v>
      </c>
      <c r="AA268" s="56" t="s">
        <v>2184</v>
      </c>
      <c r="AB268" s="56" t="s">
        <v>2185</v>
      </c>
      <c r="AC268" s="56" t="s">
        <v>1503</v>
      </c>
      <c r="AE268" s="56" t="s">
        <v>1493</v>
      </c>
      <c r="AI268" s="56" t="s">
        <v>2244</v>
      </c>
    </row>
    <row r="269" spans="1:35" ht="174" x14ac:dyDescent="0.35">
      <c r="A269" s="56" t="s">
        <v>2241</v>
      </c>
      <c r="B269" s="56" t="s">
        <v>1451</v>
      </c>
      <c r="C269" s="56" t="s">
        <v>1452</v>
      </c>
      <c r="D269" s="56" t="s">
        <v>1224</v>
      </c>
      <c r="E269" s="56" t="s">
        <v>1453</v>
      </c>
      <c r="G269" s="56" t="s">
        <v>1278</v>
      </c>
      <c r="H269" s="56" t="s">
        <v>1331</v>
      </c>
      <c r="J269" s="56" t="s">
        <v>1277</v>
      </c>
      <c r="K269" s="56" t="s">
        <v>1327</v>
      </c>
      <c r="L269" s="56" t="s">
        <v>1328</v>
      </c>
      <c r="M269" s="56" t="s">
        <v>1329</v>
      </c>
      <c r="N269" s="56" t="s">
        <v>1330</v>
      </c>
      <c r="O269" s="56" t="s">
        <v>1203</v>
      </c>
      <c r="P269" s="56" t="s">
        <v>2153</v>
      </c>
      <c r="Q269" s="56" t="s">
        <v>2154</v>
      </c>
      <c r="R269" s="56" t="s">
        <v>2155</v>
      </c>
      <c r="S269" s="56" t="s">
        <v>2156</v>
      </c>
      <c r="T269" s="56" t="s">
        <v>2157</v>
      </c>
      <c r="U269" s="56" t="s">
        <v>2158</v>
      </c>
      <c r="V269" s="56" t="s">
        <v>2159</v>
      </c>
      <c r="W269" s="56" t="s">
        <v>2160</v>
      </c>
      <c r="X269" s="56" t="s">
        <v>2195</v>
      </c>
      <c r="Y269" s="56" t="s">
        <v>2182</v>
      </c>
      <c r="Z269" s="56" t="s">
        <v>2183</v>
      </c>
      <c r="AA269" s="56" t="s">
        <v>2184</v>
      </c>
      <c r="AB269" s="56" t="s">
        <v>2185</v>
      </c>
      <c r="AC269" s="56" t="s">
        <v>1504</v>
      </c>
      <c r="AE269" s="56" t="s">
        <v>1493</v>
      </c>
      <c r="AF269" s="56" t="s">
        <v>2248</v>
      </c>
      <c r="AG269" s="56" t="s">
        <v>2249</v>
      </c>
      <c r="AH269" s="56" t="s">
        <v>2250</v>
      </c>
      <c r="AI269" s="56" t="s">
        <v>2244</v>
      </c>
    </row>
    <row r="270" spans="1:35" ht="116" x14ac:dyDescent="0.35">
      <c r="A270" s="56" t="s">
        <v>2241</v>
      </c>
      <c r="B270" s="56" t="s">
        <v>1451</v>
      </c>
      <c r="C270" s="56" t="s">
        <v>1452</v>
      </c>
      <c r="D270" s="56" t="s">
        <v>1224</v>
      </c>
      <c r="E270" s="56" t="s">
        <v>1453</v>
      </c>
      <c r="G270" s="56" t="s">
        <v>1278</v>
      </c>
      <c r="H270" s="56" t="s">
        <v>1331</v>
      </c>
      <c r="J270" s="56" t="s">
        <v>1277</v>
      </c>
      <c r="K270" s="56" t="s">
        <v>1327</v>
      </c>
      <c r="L270" s="56" t="s">
        <v>1328</v>
      </c>
      <c r="M270" s="56" t="s">
        <v>1329</v>
      </c>
      <c r="N270" s="56" t="s">
        <v>1330</v>
      </c>
      <c r="O270" s="56" t="s">
        <v>1203</v>
      </c>
      <c r="P270" s="56" t="s">
        <v>2153</v>
      </c>
      <c r="Q270" s="56" t="s">
        <v>2154</v>
      </c>
      <c r="R270" s="56" t="s">
        <v>2155</v>
      </c>
      <c r="S270" s="56" t="s">
        <v>2156</v>
      </c>
      <c r="T270" s="56" t="s">
        <v>2157</v>
      </c>
      <c r="U270" s="56" t="s">
        <v>2158</v>
      </c>
      <c r="V270" s="56" t="s">
        <v>2159</v>
      </c>
      <c r="W270" s="56" t="s">
        <v>2160</v>
      </c>
      <c r="X270" s="56" t="s">
        <v>2195</v>
      </c>
      <c r="Y270" s="56" t="s">
        <v>2182</v>
      </c>
      <c r="Z270" s="56" t="s">
        <v>2183</v>
      </c>
      <c r="AA270" s="56" t="s">
        <v>2184</v>
      </c>
      <c r="AB270" s="56" t="s">
        <v>2185</v>
      </c>
      <c r="AC270" s="56" t="s">
        <v>1505</v>
      </c>
      <c r="AE270" s="56" t="s">
        <v>1493</v>
      </c>
      <c r="AI270" s="56" t="s">
        <v>2244</v>
      </c>
    </row>
    <row r="271" spans="1:35" ht="203" x14ac:dyDescent="0.35">
      <c r="A271" s="56" t="s">
        <v>2241</v>
      </c>
      <c r="B271" s="56" t="s">
        <v>1451</v>
      </c>
      <c r="C271" s="56" t="s">
        <v>1452</v>
      </c>
      <c r="D271" s="56" t="s">
        <v>1224</v>
      </c>
      <c r="E271" s="56" t="s">
        <v>1453</v>
      </c>
      <c r="G271" s="56" t="s">
        <v>1278</v>
      </c>
      <c r="H271" s="56" t="s">
        <v>1331</v>
      </c>
      <c r="J271" s="56" t="s">
        <v>1277</v>
      </c>
      <c r="K271" s="56" t="s">
        <v>1327</v>
      </c>
      <c r="L271" s="56" t="s">
        <v>1328</v>
      </c>
      <c r="M271" s="56" t="s">
        <v>1329</v>
      </c>
      <c r="N271" s="56" t="s">
        <v>1330</v>
      </c>
      <c r="O271" s="56" t="s">
        <v>1203</v>
      </c>
      <c r="P271" s="56" t="s">
        <v>2153</v>
      </c>
      <c r="Q271" s="56" t="s">
        <v>2154</v>
      </c>
      <c r="R271" s="56" t="s">
        <v>2155</v>
      </c>
      <c r="S271" s="56" t="s">
        <v>2156</v>
      </c>
      <c r="T271" s="56" t="s">
        <v>2157</v>
      </c>
      <c r="U271" s="56" t="s">
        <v>2158</v>
      </c>
      <c r="V271" s="56" t="s">
        <v>2159</v>
      </c>
      <c r="W271" s="56" t="s">
        <v>2160</v>
      </c>
      <c r="X271" s="56" t="s">
        <v>2195</v>
      </c>
      <c r="Y271" s="56" t="s">
        <v>2182</v>
      </c>
      <c r="Z271" s="56" t="s">
        <v>2183</v>
      </c>
      <c r="AA271" s="56" t="s">
        <v>2184</v>
      </c>
      <c r="AB271" s="56" t="s">
        <v>2185</v>
      </c>
      <c r="AC271" s="56" t="s">
        <v>1506</v>
      </c>
      <c r="AE271" s="56" t="s">
        <v>1493</v>
      </c>
      <c r="AF271" s="56" t="s">
        <v>1609</v>
      </c>
      <c r="AG271" s="56" t="s">
        <v>2251</v>
      </c>
      <c r="AH271" s="56" t="s">
        <v>2252</v>
      </c>
      <c r="AI271" s="56" t="s">
        <v>2244</v>
      </c>
    </row>
    <row r="272" spans="1:35" ht="116" x14ac:dyDescent="0.35">
      <c r="A272" s="56" t="s">
        <v>2241</v>
      </c>
      <c r="B272" s="56" t="s">
        <v>1451</v>
      </c>
      <c r="C272" s="56" t="s">
        <v>1452</v>
      </c>
      <c r="D272" s="56" t="s">
        <v>1224</v>
      </c>
      <c r="E272" s="56" t="s">
        <v>1453</v>
      </c>
      <c r="G272" s="56" t="s">
        <v>1278</v>
      </c>
      <c r="H272" s="56" t="s">
        <v>1331</v>
      </c>
      <c r="J272" s="56" t="s">
        <v>1277</v>
      </c>
      <c r="K272" s="56" t="s">
        <v>1327</v>
      </c>
      <c r="L272" s="56" t="s">
        <v>1328</v>
      </c>
      <c r="M272" s="56" t="s">
        <v>1329</v>
      </c>
      <c r="N272" s="56" t="s">
        <v>1330</v>
      </c>
      <c r="O272" s="56" t="s">
        <v>1203</v>
      </c>
      <c r="P272" s="56" t="s">
        <v>2153</v>
      </c>
      <c r="Q272" s="56" t="s">
        <v>2154</v>
      </c>
      <c r="R272" s="56" t="s">
        <v>2155</v>
      </c>
      <c r="S272" s="56" t="s">
        <v>2156</v>
      </c>
      <c r="T272" s="56" t="s">
        <v>2157</v>
      </c>
      <c r="U272" s="56" t="s">
        <v>2158</v>
      </c>
      <c r="V272" s="56" t="s">
        <v>2159</v>
      </c>
      <c r="W272" s="56" t="s">
        <v>2160</v>
      </c>
      <c r="X272" s="56" t="s">
        <v>2195</v>
      </c>
      <c r="Y272" s="56" t="s">
        <v>2182</v>
      </c>
      <c r="Z272" s="56" t="s">
        <v>2183</v>
      </c>
      <c r="AA272" s="56" t="s">
        <v>2184</v>
      </c>
      <c r="AB272" s="56" t="s">
        <v>2185</v>
      </c>
      <c r="AC272" s="56" t="s">
        <v>1507</v>
      </c>
      <c r="AE272" s="56" t="s">
        <v>1493</v>
      </c>
      <c r="AI272" s="56" t="s">
        <v>2244</v>
      </c>
    </row>
    <row r="273" spans="1:35" ht="188.5" x14ac:dyDescent="0.35">
      <c r="A273" s="56" t="s">
        <v>2241</v>
      </c>
      <c r="B273" s="56" t="s">
        <v>1451</v>
      </c>
      <c r="C273" s="56" t="s">
        <v>1452</v>
      </c>
      <c r="D273" s="56" t="s">
        <v>1224</v>
      </c>
      <c r="E273" s="56" t="s">
        <v>1453</v>
      </c>
      <c r="G273" s="56" t="s">
        <v>1278</v>
      </c>
      <c r="H273" s="56" t="s">
        <v>1331</v>
      </c>
      <c r="J273" s="56" t="s">
        <v>1277</v>
      </c>
      <c r="K273" s="56" t="s">
        <v>1327</v>
      </c>
      <c r="L273" s="56" t="s">
        <v>1328</v>
      </c>
      <c r="M273" s="56" t="s">
        <v>1329</v>
      </c>
      <c r="N273" s="56" t="s">
        <v>1330</v>
      </c>
      <c r="O273" s="56" t="s">
        <v>1203</v>
      </c>
      <c r="P273" s="56" t="s">
        <v>2153</v>
      </c>
      <c r="Q273" s="56" t="s">
        <v>2154</v>
      </c>
      <c r="R273" s="56" t="s">
        <v>2155</v>
      </c>
      <c r="S273" s="56" t="s">
        <v>2156</v>
      </c>
      <c r="T273" s="56" t="s">
        <v>2157</v>
      </c>
      <c r="U273" s="56" t="s">
        <v>2158</v>
      </c>
      <c r="V273" s="56" t="s">
        <v>2159</v>
      </c>
      <c r="W273" s="56" t="s">
        <v>2160</v>
      </c>
      <c r="X273" s="56" t="s">
        <v>2195</v>
      </c>
      <c r="Y273" s="56" t="s">
        <v>2182</v>
      </c>
      <c r="Z273" s="56" t="s">
        <v>2183</v>
      </c>
      <c r="AA273" s="56" t="s">
        <v>2184</v>
      </c>
      <c r="AB273" s="56" t="s">
        <v>2185</v>
      </c>
      <c r="AC273" s="56" t="s">
        <v>1508</v>
      </c>
      <c r="AE273" s="56" t="s">
        <v>1493</v>
      </c>
      <c r="AF273" s="56" t="s">
        <v>2253</v>
      </c>
      <c r="AG273" s="56" t="s">
        <v>2254</v>
      </c>
      <c r="AH273" s="56" t="s">
        <v>2255</v>
      </c>
      <c r="AI273" s="56" t="s">
        <v>2244</v>
      </c>
    </row>
    <row r="274" spans="1:35" ht="116" x14ac:dyDescent="0.35">
      <c r="A274" s="56" t="s">
        <v>2241</v>
      </c>
      <c r="B274" s="56" t="s">
        <v>1451</v>
      </c>
      <c r="C274" s="56" t="s">
        <v>1452</v>
      </c>
      <c r="D274" s="56" t="s">
        <v>1224</v>
      </c>
      <c r="E274" s="56" t="s">
        <v>1453</v>
      </c>
      <c r="G274" s="56" t="s">
        <v>1278</v>
      </c>
      <c r="H274" s="56" t="s">
        <v>1331</v>
      </c>
      <c r="J274" s="56" t="s">
        <v>1277</v>
      </c>
      <c r="K274" s="56" t="s">
        <v>1327</v>
      </c>
      <c r="L274" s="56" t="s">
        <v>1328</v>
      </c>
      <c r="M274" s="56" t="s">
        <v>1329</v>
      </c>
      <c r="N274" s="56" t="s">
        <v>1330</v>
      </c>
      <c r="O274" s="56" t="s">
        <v>1203</v>
      </c>
      <c r="P274" s="56" t="s">
        <v>2153</v>
      </c>
      <c r="Q274" s="56" t="s">
        <v>2154</v>
      </c>
      <c r="R274" s="56" t="s">
        <v>2155</v>
      </c>
      <c r="S274" s="56" t="s">
        <v>2156</v>
      </c>
      <c r="T274" s="56" t="s">
        <v>2157</v>
      </c>
      <c r="U274" s="56" t="s">
        <v>2158</v>
      </c>
      <c r="V274" s="56" t="s">
        <v>2159</v>
      </c>
      <c r="W274" s="56" t="s">
        <v>2160</v>
      </c>
      <c r="X274" s="56" t="s">
        <v>2195</v>
      </c>
      <c r="Y274" s="56" t="s">
        <v>2182</v>
      </c>
      <c r="Z274" s="56" t="s">
        <v>2183</v>
      </c>
      <c r="AA274" s="56" t="s">
        <v>2184</v>
      </c>
      <c r="AB274" s="56" t="s">
        <v>2185</v>
      </c>
      <c r="AC274" s="56" t="s">
        <v>1509</v>
      </c>
      <c r="AE274" s="56" t="s">
        <v>1493</v>
      </c>
      <c r="AI274" s="56" t="s">
        <v>2244</v>
      </c>
    </row>
    <row r="275" spans="1:35" ht="145" x14ac:dyDescent="0.35">
      <c r="A275" s="56" t="s">
        <v>2241</v>
      </c>
      <c r="B275" s="56" t="s">
        <v>1451</v>
      </c>
      <c r="C275" s="56" t="s">
        <v>1452</v>
      </c>
      <c r="D275" s="56" t="s">
        <v>1224</v>
      </c>
      <c r="E275" s="56" t="s">
        <v>1453</v>
      </c>
      <c r="G275" s="56" t="s">
        <v>1278</v>
      </c>
      <c r="H275" s="56" t="s">
        <v>1331</v>
      </c>
      <c r="J275" s="56" t="s">
        <v>1277</v>
      </c>
      <c r="K275" s="56" t="s">
        <v>1327</v>
      </c>
      <c r="L275" s="56" t="s">
        <v>1328</v>
      </c>
      <c r="M275" s="56" t="s">
        <v>1329</v>
      </c>
      <c r="N275" s="56" t="s">
        <v>1330</v>
      </c>
      <c r="O275" s="56" t="s">
        <v>1203</v>
      </c>
      <c r="P275" s="56" t="s">
        <v>2153</v>
      </c>
      <c r="Q275" s="56" t="s">
        <v>2154</v>
      </c>
      <c r="R275" s="56" t="s">
        <v>2155</v>
      </c>
      <c r="S275" s="56" t="s">
        <v>2156</v>
      </c>
      <c r="T275" s="56" t="s">
        <v>2157</v>
      </c>
      <c r="U275" s="56" t="s">
        <v>2158</v>
      </c>
      <c r="V275" s="56" t="s">
        <v>2159</v>
      </c>
      <c r="W275" s="56" t="s">
        <v>2160</v>
      </c>
      <c r="X275" s="56" t="s">
        <v>2195</v>
      </c>
      <c r="Y275" s="56" t="s">
        <v>2182</v>
      </c>
      <c r="Z275" s="56" t="s">
        <v>2183</v>
      </c>
      <c r="AA275" s="56" t="s">
        <v>2184</v>
      </c>
      <c r="AB275" s="56" t="s">
        <v>2185</v>
      </c>
      <c r="AC275" s="56" t="s">
        <v>1510</v>
      </c>
      <c r="AE275" s="56" t="s">
        <v>1493</v>
      </c>
      <c r="AF275" s="56" t="s">
        <v>2256</v>
      </c>
      <c r="AG275" s="56" t="s">
        <v>2257</v>
      </c>
      <c r="AH275" s="56" t="s">
        <v>2258</v>
      </c>
      <c r="AI275" s="56" t="s">
        <v>2244</v>
      </c>
    </row>
    <row r="276" spans="1:35" ht="159.5" x14ac:dyDescent="0.35">
      <c r="A276" s="56" t="s">
        <v>2241</v>
      </c>
      <c r="B276" s="56" t="s">
        <v>1451</v>
      </c>
      <c r="C276" s="56" t="s">
        <v>1452</v>
      </c>
      <c r="D276" s="56" t="s">
        <v>1224</v>
      </c>
      <c r="E276" s="56" t="s">
        <v>1453</v>
      </c>
      <c r="G276" s="56" t="s">
        <v>1278</v>
      </c>
      <c r="H276" s="56" t="s">
        <v>1331</v>
      </c>
      <c r="J276" s="56" t="s">
        <v>1277</v>
      </c>
      <c r="K276" s="56" t="s">
        <v>1327</v>
      </c>
      <c r="L276" s="56" t="s">
        <v>1328</v>
      </c>
      <c r="M276" s="56" t="s">
        <v>1329</v>
      </c>
      <c r="N276" s="56" t="s">
        <v>1330</v>
      </c>
      <c r="O276" s="56" t="s">
        <v>1203</v>
      </c>
      <c r="P276" s="56" t="s">
        <v>2153</v>
      </c>
      <c r="Q276" s="56" t="s">
        <v>2154</v>
      </c>
      <c r="R276" s="56" t="s">
        <v>2155</v>
      </c>
      <c r="S276" s="56" t="s">
        <v>2156</v>
      </c>
      <c r="T276" s="56" t="s">
        <v>2157</v>
      </c>
      <c r="U276" s="56" t="s">
        <v>2158</v>
      </c>
      <c r="V276" s="56" t="s">
        <v>2159</v>
      </c>
      <c r="W276" s="56" t="s">
        <v>2160</v>
      </c>
      <c r="X276" s="56" t="s">
        <v>2195</v>
      </c>
      <c r="Y276" s="56" t="s">
        <v>2182</v>
      </c>
      <c r="Z276" s="56" t="s">
        <v>2183</v>
      </c>
      <c r="AA276" s="56" t="s">
        <v>2184</v>
      </c>
      <c r="AB276" s="56" t="s">
        <v>2185</v>
      </c>
      <c r="AC276" s="56" t="s">
        <v>1511</v>
      </c>
      <c r="AE276" s="56" t="s">
        <v>1493</v>
      </c>
      <c r="AF276" s="56" t="s">
        <v>2259</v>
      </c>
      <c r="AG276" s="56" t="s">
        <v>2260</v>
      </c>
      <c r="AH276" s="56" t="s">
        <v>2261</v>
      </c>
      <c r="AI276" s="56" t="s">
        <v>2244</v>
      </c>
    </row>
    <row r="277" spans="1:35" ht="145" x14ac:dyDescent="0.35">
      <c r="A277" s="56" t="s">
        <v>2241</v>
      </c>
      <c r="B277" s="56" t="s">
        <v>1451</v>
      </c>
      <c r="C277" s="56" t="s">
        <v>1452</v>
      </c>
      <c r="D277" s="56" t="s">
        <v>1224</v>
      </c>
      <c r="E277" s="56" t="s">
        <v>1453</v>
      </c>
      <c r="G277" s="56" t="s">
        <v>1278</v>
      </c>
      <c r="H277" s="56" t="s">
        <v>1331</v>
      </c>
      <c r="J277" s="56" t="s">
        <v>1277</v>
      </c>
      <c r="K277" s="56" t="s">
        <v>1327</v>
      </c>
      <c r="L277" s="56" t="s">
        <v>1328</v>
      </c>
      <c r="M277" s="56" t="s">
        <v>1329</v>
      </c>
      <c r="N277" s="56" t="s">
        <v>1330</v>
      </c>
      <c r="O277" s="56" t="s">
        <v>1203</v>
      </c>
      <c r="P277" s="56" t="s">
        <v>2153</v>
      </c>
      <c r="Q277" s="56" t="s">
        <v>2154</v>
      </c>
      <c r="R277" s="56" t="s">
        <v>2155</v>
      </c>
      <c r="S277" s="56" t="s">
        <v>2156</v>
      </c>
      <c r="T277" s="56" t="s">
        <v>2157</v>
      </c>
      <c r="U277" s="56" t="s">
        <v>2158</v>
      </c>
      <c r="V277" s="56" t="s">
        <v>2159</v>
      </c>
      <c r="W277" s="56" t="s">
        <v>2160</v>
      </c>
      <c r="X277" s="56" t="s">
        <v>2195</v>
      </c>
      <c r="Y277" s="56" t="s">
        <v>2182</v>
      </c>
      <c r="Z277" s="56" t="s">
        <v>2183</v>
      </c>
      <c r="AA277" s="56" t="s">
        <v>2184</v>
      </c>
      <c r="AB277" s="56" t="s">
        <v>2185</v>
      </c>
      <c r="AC277" s="56" t="s">
        <v>1512</v>
      </c>
      <c r="AE277" s="56" t="s">
        <v>1493</v>
      </c>
      <c r="AF277" s="56" t="s">
        <v>2262</v>
      </c>
      <c r="AG277" s="56" t="s">
        <v>2263</v>
      </c>
      <c r="AH277" s="56" t="s">
        <v>2264</v>
      </c>
      <c r="AI277" s="56" t="s">
        <v>2244</v>
      </c>
    </row>
    <row r="278" spans="1:35" ht="116" x14ac:dyDescent="0.35">
      <c r="A278" s="56" t="s">
        <v>2241</v>
      </c>
      <c r="B278" s="56" t="s">
        <v>1451</v>
      </c>
      <c r="C278" s="56" t="s">
        <v>1452</v>
      </c>
      <c r="D278" s="56" t="s">
        <v>1224</v>
      </c>
      <c r="E278" s="56" t="s">
        <v>1453</v>
      </c>
      <c r="G278" s="56" t="s">
        <v>1278</v>
      </c>
      <c r="H278" s="56" t="s">
        <v>1331</v>
      </c>
      <c r="J278" s="56" t="s">
        <v>1277</v>
      </c>
      <c r="K278" s="56" t="s">
        <v>1327</v>
      </c>
      <c r="L278" s="56" t="s">
        <v>1328</v>
      </c>
      <c r="M278" s="56" t="s">
        <v>1329</v>
      </c>
      <c r="N278" s="56" t="s">
        <v>1330</v>
      </c>
      <c r="O278" s="56" t="s">
        <v>1203</v>
      </c>
      <c r="P278" s="56" t="s">
        <v>2153</v>
      </c>
      <c r="Q278" s="56" t="s">
        <v>2154</v>
      </c>
      <c r="R278" s="56" t="s">
        <v>2155</v>
      </c>
      <c r="S278" s="56" t="s">
        <v>2156</v>
      </c>
      <c r="T278" s="56" t="s">
        <v>2157</v>
      </c>
      <c r="U278" s="56" t="s">
        <v>2158</v>
      </c>
      <c r="V278" s="56" t="s">
        <v>2159</v>
      </c>
      <c r="W278" s="56" t="s">
        <v>2160</v>
      </c>
      <c r="X278" s="56" t="s">
        <v>2195</v>
      </c>
      <c r="Y278" s="56" t="s">
        <v>2182</v>
      </c>
      <c r="Z278" s="56" t="s">
        <v>2183</v>
      </c>
      <c r="AA278" s="56" t="s">
        <v>2184</v>
      </c>
      <c r="AB278" s="56" t="s">
        <v>2185</v>
      </c>
      <c r="AC278" s="56" t="s">
        <v>1513</v>
      </c>
      <c r="AE278" s="56" t="s">
        <v>1493</v>
      </c>
      <c r="AI278" s="56" t="s">
        <v>2244</v>
      </c>
    </row>
    <row r="279" spans="1:35" ht="130.5" x14ac:dyDescent="0.35">
      <c r="A279" s="56" t="s">
        <v>2241</v>
      </c>
      <c r="B279" s="56" t="s">
        <v>1451</v>
      </c>
      <c r="C279" s="56" t="s">
        <v>1452</v>
      </c>
      <c r="D279" s="56" t="s">
        <v>1224</v>
      </c>
      <c r="E279" s="56" t="s">
        <v>1453</v>
      </c>
      <c r="G279" s="56" t="s">
        <v>1278</v>
      </c>
      <c r="H279" s="56" t="s">
        <v>1331</v>
      </c>
      <c r="J279" s="56" t="s">
        <v>1277</v>
      </c>
      <c r="K279" s="56" t="s">
        <v>1327</v>
      </c>
      <c r="L279" s="56" t="s">
        <v>1328</v>
      </c>
      <c r="M279" s="56" t="s">
        <v>1329</v>
      </c>
      <c r="N279" s="56" t="s">
        <v>1330</v>
      </c>
      <c r="O279" s="56" t="s">
        <v>1203</v>
      </c>
      <c r="P279" s="56" t="s">
        <v>2153</v>
      </c>
      <c r="Q279" s="56" t="s">
        <v>2154</v>
      </c>
      <c r="R279" s="56" t="s">
        <v>2155</v>
      </c>
      <c r="S279" s="56" t="s">
        <v>2156</v>
      </c>
      <c r="T279" s="56" t="s">
        <v>2157</v>
      </c>
      <c r="U279" s="56" t="s">
        <v>2158</v>
      </c>
      <c r="V279" s="56" t="s">
        <v>2159</v>
      </c>
      <c r="W279" s="56" t="s">
        <v>2160</v>
      </c>
      <c r="X279" s="56" t="s">
        <v>2195</v>
      </c>
      <c r="Y279" s="56" t="s">
        <v>2182</v>
      </c>
      <c r="Z279" s="56" t="s">
        <v>2183</v>
      </c>
      <c r="AA279" s="56" t="s">
        <v>2184</v>
      </c>
      <c r="AB279" s="56" t="s">
        <v>2185</v>
      </c>
      <c r="AC279" s="56" t="s">
        <v>1514</v>
      </c>
      <c r="AE279" s="56" t="s">
        <v>1493</v>
      </c>
      <c r="AF279" s="56" t="s">
        <v>1615</v>
      </c>
      <c r="AG279" s="56" t="s">
        <v>2265</v>
      </c>
      <c r="AH279" s="56" t="s">
        <v>2266</v>
      </c>
      <c r="AI279" s="56" t="s">
        <v>2244</v>
      </c>
    </row>
    <row r="280" spans="1:35" ht="116" x14ac:dyDescent="0.35">
      <c r="A280" s="56" t="s">
        <v>2241</v>
      </c>
      <c r="B280" s="56" t="s">
        <v>1451</v>
      </c>
      <c r="C280" s="56" t="s">
        <v>1452</v>
      </c>
      <c r="D280" s="56" t="s">
        <v>1224</v>
      </c>
      <c r="E280" s="56" t="s">
        <v>1453</v>
      </c>
      <c r="G280" s="56" t="s">
        <v>1278</v>
      </c>
      <c r="H280" s="56" t="s">
        <v>1331</v>
      </c>
      <c r="J280" s="56" t="s">
        <v>1277</v>
      </c>
      <c r="K280" s="56" t="s">
        <v>1327</v>
      </c>
      <c r="L280" s="56" t="s">
        <v>1328</v>
      </c>
      <c r="M280" s="56" t="s">
        <v>1329</v>
      </c>
      <c r="N280" s="56" t="s">
        <v>1330</v>
      </c>
      <c r="O280" s="56" t="s">
        <v>1203</v>
      </c>
      <c r="P280" s="56" t="s">
        <v>2153</v>
      </c>
      <c r="Q280" s="56" t="s">
        <v>2154</v>
      </c>
      <c r="R280" s="56" t="s">
        <v>2155</v>
      </c>
      <c r="S280" s="56" t="s">
        <v>2156</v>
      </c>
      <c r="T280" s="56" t="s">
        <v>2157</v>
      </c>
      <c r="U280" s="56" t="s">
        <v>2158</v>
      </c>
      <c r="V280" s="56" t="s">
        <v>2159</v>
      </c>
      <c r="W280" s="56" t="s">
        <v>2160</v>
      </c>
      <c r="X280" s="56" t="s">
        <v>2195</v>
      </c>
      <c r="Y280" s="56" t="s">
        <v>2182</v>
      </c>
      <c r="Z280" s="56" t="s">
        <v>2183</v>
      </c>
      <c r="AA280" s="56" t="s">
        <v>2184</v>
      </c>
      <c r="AB280" s="56" t="s">
        <v>2185</v>
      </c>
      <c r="AC280" s="56" t="s">
        <v>1515</v>
      </c>
      <c r="AE280" s="56" t="s">
        <v>1493</v>
      </c>
      <c r="AI280" s="56" t="s">
        <v>2244</v>
      </c>
    </row>
    <row r="281" spans="1:35" ht="116" x14ac:dyDescent="0.35">
      <c r="A281" s="56" t="s">
        <v>2241</v>
      </c>
      <c r="B281" s="56" t="s">
        <v>1451</v>
      </c>
      <c r="C281" s="56" t="s">
        <v>1452</v>
      </c>
      <c r="D281" s="56" t="s">
        <v>1224</v>
      </c>
      <c r="E281" s="56" t="s">
        <v>1453</v>
      </c>
      <c r="G281" s="56" t="s">
        <v>1278</v>
      </c>
      <c r="H281" s="56" t="s">
        <v>1331</v>
      </c>
      <c r="J281" s="56" t="s">
        <v>1277</v>
      </c>
      <c r="K281" s="56" t="s">
        <v>1327</v>
      </c>
      <c r="L281" s="56" t="s">
        <v>1328</v>
      </c>
      <c r="M281" s="56" t="s">
        <v>1329</v>
      </c>
      <c r="N281" s="56" t="s">
        <v>1330</v>
      </c>
      <c r="O281" s="56" t="s">
        <v>1203</v>
      </c>
      <c r="P281" s="56" t="s">
        <v>2153</v>
      </c>
      <c r="Q281" s="56" t="s">
        <v>2154</v>
      </c>
      <c r="R281" s="56" t="s">
        <v>2155</v>
      </c>
      <c r="S281" s="56" t="s">
        <v>2156</v>
      </c>
      <c r="T281" s="56" t="s">
        <v>2157</v>
      </c>
      <c r="U281" s="56" t="s">
        <v>2158</v>
      </c>
      <c r="V281" s="56" t="s">
        <v>2159</v>
      </c>
      <c r="W281" s="56" t="s">
        <v>2160</v>
      </c>
      <c r="X281" s="56" t="s">
        <v>2195</v>
      </c>
      <c r="Y281" s="56" t="s">
        <v>2182</v>
      </c>
      <c r="Z281" s="56" t="s">
        <v>2183</v>
      </c>
      <c r="AA281" s="56" t="s">
        <v>2184</v>
      </c>
      <c r="AB281" s="56" t="s">
        <v>2185</v>
      </c>
      <c r="AC281" s="56" t="s">
        <v>1516</v>
      </c>
      <c r="AE281" s="56" t="s">
        <v>1493</v>
      </c>
      <c r="AI281" s="56" t="s">
        <v>2244</v>
      </c>
    </row>
    <row r="282" spans="1:35" ht="116" x14ac:dyDescent="0.35">
      <c r="A282" s="56" t="s">
        <v>2241</v>
      </c>
      <c r="B282" s="56" t="s">
        <v>1451</v>
      </c>
      <c r="C282" s="56" t="s">
        <v>1452</v>
      </c>
      <c r="D282" s="56" t="s">
        <v>1224</v>
      </c>
      <c r="E282" s="56" t="s">
        <v>1453</v>
      </c>
      <c r="G282" s="56" t="s">
        <v>1278</v>
      </c>
      <c r="H282" s="56" t="s">
        <v>1331</v>
      </c>
      <c r="J282" s="56" t="s">
        <v>1277</v>
      </c>
      <c r="K282" s="56" t="s">
        <v>1327</v>
      </c>
      <c r="L282" s="56" t="s">
        <v>1328</v>
      </c>
      <c r="M282" s="56" t="s">
        <v>1329</v>
      </c>
      <c r="N282" s="56" t="s">
        <v>1330</v>
      </c>
      <c r="O282" s="56" t="s">
        <v>1203</v>
      </c>
      <c r="P282" s="56" t="s">
        <v>2153</v>
      </c>
      <c r="Q282" s="56" t="s">
        <v>2154</v>
      </c>
      <c r="R282" s="56" t="s">
        <v>2155</v>
      </c>
      <c r="S282" s="56" t="s">
        <v>2156</v>
      </c>
      <c r="T282" s="56" t="s">
        <v>2157</v>
      </c>
      <c r="U282" s="56" t="s">
        <v>2158</v>
      </c>
      <c r="V282" s="56" t="s">
        <v>2159</v>
      </c>
      <c r="W282" s="56" t="s">
        <v>2160</v>
      </c>
      <c r="X282" s="56" t="s">
        <v>2195</v>
      </c>
      <c r="Y282" s="56" t="s">
        <v>2182</v>
      </c>
      <c r="Z282" s="56" t="s">
        <v>2183</v>
      </c>
      <c r="AA282" s="56" t="s">
        <v>2184</v>
      </c>
      <c r="AB282" s="56" t="s">
        <v>2185</v>
      </c>
      <c r="AC282" s="56" t="s">
        <v>1517</v>
      </c>
      <c r="AE282" s="56" t="s">
        <v>1493</v>
      </c>
      <c r="AI282" s="56" t="s">
        <v>2244</v>
      </c>
    </row>
    <row r="283" spans="1:35" ht="116" x14ac:dyDescent="0.35">
      <c r="A283" s="56" t="s">
        <v>2241</v>
      </c>
      <c r="B283" s="56" t="s">
        <v>1451</v>
      </c>
      <c r="C283" s="56" t="s">
        <v>1452</v>
      </c>
      <c r="D283" s="56" t="s">
        <v>1224</v>
      </c>
      <c r="E283" s="56" t="s">
        <v>1453</v>
      </c>
      <c r="G283" s="56" t="s">
        <v>1278</v>
      </c>
      <c r="H283" s="56" t="s">
        <v>1331</v>
      </c>
      <c r="J283" s="56" t="s">
        <v>1277</v>
      </c>
      <c r="K283" s="56" t="s">
        <v>1327</v>
      </c>
      <c r="L283" s="56" t="s">
        <v>1328</v>
      </c>
      <c r="M283" s="56" t="s">
        <v>1329</v>
      </c>
      <c r="N283" s="56" t="s">
        <v>1330</v>
      </c>
      <c r="O283" s="56" t="s">
        <v>1203</v>
      </c>
      <c r="P283" s="56" t="s">
        <v>2153</v>
      </c>
      <c r="Q283" s="56" t="s">
        <v>2154</v>
      </c>
      <c r="R283" s="56" t="s">
        <v>2155</v>
      </c>
      <c r="S283" s="56" t="s">
        <v>2156</v>
      </c>
      <c r="T283" s="56" t="s">
        <v>2157</v>
      </c>
      <c r="U283" s="56" t="s">
        <v>2158</v>
      </c>
      <c r="V283" s="56" t="s">
        <v>2159</v>
      </c>
      <c r="W283" s="56" t="s">
        <v>2160</v>
      </c>
      <c r="X283" s="56" t="s">
        <v>2195</v>
      </c>
      <c r="Y283" s="56" t="s">
        <v>2182</v>
      </c>
      <c r="Z283" s="56" t="s">
        <v>2183</v>
      </c>
      <c r="AA283" s="56" t="s">
        <v>2184</v>
      </c>
      <c r="AB283" s="56" t="s">
        <v>2185</v>
      </c>
      <c r="AC283" s="56" t="s">
        <v>1524</v>
      </c>
      <c r="AE283" s="56" t="s">
        <v>1493</v>
      </c>
      <c r="AI283" s="56" t="s">
        <v>2244</v>
      </c>
    </row>
    <row r="284" spans="1:35" ht="116" x14ac:dyDescent="0.35">
      <c r="A284" s="56" t="s">
        <v>2241</v>
      </c>
      <c r="B284" s="56" t="s">
        <v>1451</v>
      </c>
      <c r="C284" s="56" t="s">
        <v>1452</v>
      </c>
      <c r="D284" s="56" t="s">
        <v>1224</v>
      </c>
      <c r="E284" s="56" t="s">
        <v>1453</v>
      </c>
      <c r="G284" s="56" t="s">
        <v>1278</v>
      </c>
      <c r="H284" s="56" t="s">
        <v>1331</v>
      </c>
      <c r="J284" s="56" t="s">
        <v>1277</v>
      </c>
      <c r="K284" s="56" t="s">
        <v>1327</v>
      </c>
      <c r="L284" s="56" t="s">
        <v>1328</v>
      </c>
      <c r="M284" s="56" t="s">
        <v>1329</v>
      </c>
      <c r="N284" s="56" t="s">
        <v>1330</v>
      </c>
      <c r="O284" s="56" t="s">
        <v>1203</v>
      </c>
      <c r="P284" s="56" t="s">
        <v>2153</v>
      </c>
      <c r="Q284" s="56" t="s">
        <v>2154</v>
      </c>
      <c r="R284" s="56" t="s">
        <v>2155</v>
      </c>
      <c r="S284" s="56" t="s">
        <v>2156</v>
      </c>
      <c r="T284" s="56" t="s">
        <v>2157</v>
      </c>
      <c r="U284" s="56" t="s">
        <v>2158</v>
      </c>
      <c r="V284" s="56" t="s">
        <v>2159</v>
      </c>
      <c r="W284" s="56" t="s">
        <v>2160</v>
      </c>
      <c r="X284" s="56" t="s">
        <v>2195</v>
      </c>
      <c r="Y284" s="56" t="s">
        <v>2182</v>
      </c>
      <c r="Z284" s="56" t="s">
        <v>2183</v>
      </c>
      <c r="AA284" s="56" t="s">
        <v>2184</v>
      </c>
      <c r="AB284" s="56" t="s">
        <v>2185</v>
      </c>
      <c r="AC284" s="56" t="s">
        <v>1528</v>
      </c>
      <c r="AE284" s="56" t="s">
        <v>1493</v>
      </c>
      <c r="AI284" s="56" t="s">
        <v>2244</v>
      </c>
    </row>
    <row r="285" spans="1:35" ht="116" x14ac:dyDescent="0.35">
      <c r="A285" s="56" t="s">
        <v>2241</v>
      </c>
      <c r="B285" s="56" t="s">
        <v>1451</v>
      </c>
      <c r="C285" s="56" t="s">
        <v>1452</v>
      </c>
      <c r="D285" s="56" t="s">
        <v>1224</v>
      </c>
      <c r="E285" s="56" t="s">
        <v>1453</v>
      </c>
      <c r="G285" s="56" t="s">
        <v>1278</v>
      </c>
      <c r="H285" s="56" t="s">
        <v>1331</v>
      </c>
      <c r="J285" s="56" t="s">
        <v>1277</v>
      </c>
      <c r="K285" s="56" t="s">
        <v>1327</v>
      </c>
      <c r="L285" s="56" t="s">
        <v>1328</v>
      </c>
      <c r="M285" s="56" t="s">
        <v>1329</v>
      </c>
      <c r="N285" s="56" t="s">
        <v>1330</v>
      </c>
      <c r="O285" s="56" t="s">
        <v>1203</v>
      </c>
      <c r="P285" s="56" t="s">
        <v>2153</v>
      </c>
      <c r="Q285" s="56" t="s">
        <v>2154</v>
      </c>
      <c r="R285" s="56" t="s">
        <v>2155</v>
      </c>
      <c r="S285" s="56" t="s">
        <v>2156</v>
      </c>
      <c r="T285" s="56" t="s">
        <v>2157</v>
      </c>
      <c r="U285" s="56" t="s">
        <v>2158</v>
      </c>
      <c r="V285" s="56" t="s">
        <v>2159</v>
      </c>
      <c r="W285" s="56" t="s">
        <v>2160</v>
      </c>
      <c r="X285" s="56" t="s">
        <v>2195</v>
      </c>
      <c r="Y285" s="56" t="s">
        <v>2182</v>
      </c>
      <c r="Z285" s="56" t="s">
        <v>2183</v>
      </c>
      <c r="AA285" s="56" t="s">
        <v>2184</v>
      </c>
      <c r="AB285" s="56" t="s">
        <v>2185</v>
      </c>
      <c r="AC285" s="56" t="s">
        <v>1529</v>
      </c>
      <c r="AE285" s="56" t="s">
        <v>1493</v>
      </c>
      <c r="AI285" s="56" t="s">
        <v>2244</v>
      </c>
    </row>
    <row r="286" spans="1:35" ht="116" x14ac:dyDescent="0.35">
      <c r="A286" s="56" t="s">
        <v>2241</v>
      </c>
      <c r="B286" s="56" t="s">
        <v>1451</v>
      </c>
      <c r="C286" s="56" t="s">
        <v>1452</v>
      </c>
      <c r="D286" s="56" t="s">
        <v>1224</v>
      </c>
      <c r="E286" s="56" t="s">
        <v>1453</v>
      </c>
      <c r="G286" s="56" t="s">
        <v>1278</v>
      </c>
      <c r="H286" s="56" t="s">
        <v>1331</v>
      </c>
      <c r="J286" s="56" t="s">
        <v>1277</v>
      </c>
      <c r="K286" s="56" t="s">
        <v>1327</v>
      </c>
      <c r="L286" s="56" t="s">
        <v>1328</v>
      </c>
      <c r="M286" s="56" t="s">
        <v>1329</v>
      </c>
      <c r="N286" s="56" t="s">
        <v>1330</v>
      </c>
      <c r="O286" s="56" t="s">
        <v>1203</v>
      </c>
      <c r="P286" s="56" t="s">
        <v>2153</v>
      </c>
      <c r="Q286" s="56" t="s">
        <v>2154</v>
      </c>
      <c r="R286" s="56" t="s">
        <v>2155</v>
      </c>
      <c r="S286" s="56" t="s">
        <v>2156</v>
      </c>
      <c r="T286" s="56" t="s">
        <v>2157</v>
      </c>
      <c r="U286" s="56" t="s">
        <v>2158</v>
      </c>
      <c r="V286" s="56" t="s">
        <v>2159</v>
      </c>
      <c r="W286" s="56" t="s">
        <v>2160</v>
      </c>
      <c r="X286" s="56" t="s">
        <v>2195</v>
      </c>
      <c r="Y286" s="56" t="s">
        <v>2182</v>
      </c>
      <c r="Z286" s="56" t="s">
        <v>2183</v>
      </c>
      <c r="AA286" s="56" t="s">
        <v>2184</v>
      </c>
      <c r="AB286" s="56" t="s">
        <v>2185</v>
      </c>
      <c r="AC286" s="56" t="s">
        <v>1530</v>
      </c>
      <c r="AE286" s="56" t="s">
        <v>1493</v>
      </c>
      <c r="AI286" s="56" t="s">
        <v>2244</v>
      </c>
    </row>
    <row r="287" spans="1:35" ht="116" x14ac:dyDescent="0.35">
      <c r="A287" s="56" t="s">
        <v>2241</v>
      </c>
      <c r="B287" s="56" t="s">
        <v>1451</v>
      </c>
      <c r="C287" s="56" t="s">
        <v>1452</v>
      </c>
      <c r="D287" s="56" t="s">
        <v>1224</v>
      </c>
      <c r="E287" s="56" t="s">
        <v>1453</v>
      </c>
      <c r="G287" s="56" t="s">
        <v>1278</v>
      </c>
      <c r="H287" s="56" t="s">
        <v>1331</v>
      </c>
      <c r="J287" s="56" t="s">
        <v>1277</v>
      </c>
      <c r="K287" s="56" t="s">
        <v>1327</v>
      </c>
      <c r="L287" s="56" t="s">
        <v>1328</v>
      </c>
      <c r="M287" s="56" t="s">
        <v>1329</v>
      </c>
      <c r="N287" s="56" t="s">
        <v>1330</v>
      </c>
      <c r="O287" s="56" t="s">
        <v>1203</v>
      </c>
      <c r="P287" s="56" t="s">
        <v>2153</v>
      </c>
      <c r="Q287" s="56" t="s">
        <v>2154</v>
      </c>
      <c r="R287" s="56" t="s">
        <v>2155</v>
      </c>
      <c r="S287" s="56" t="s">
        <v>2156</v>
      </c>
      <c r="T287" s="56" t="s">
        <v>2157</v>
      </c>
      <c r="U287" s="56" t="s">
        <v>2158</v>
      </c>
      <c r="V287" s="56" t="s">
        <v>2159</v>
      </c>
      <c r="W287" s="56" t="s">
        <v>2160</v>
      </c>
      <c r="X287" s="56" t="s">
        <v>2195</v>
      </c>
      <c r="Y287" s="56" t="s">
        <v>2182</v>
      </c>
      <c r="Z287" s="56" t="s">
        <v>2183</v>
      </c>
      <c r="AA287" s="56" t="s">
        <v>2184</v>
      </c>
      <c r="AB287" s="56" t="s">
        <v>2185</v>
      </c>
      <c r="AC287" s="56" t="s">
        <v>1531</v>
      </c>
      <c r="AE287" s="56" t="s">
        <v>1493</v>
      </c>
      <c r="AI287" s="56" t="s">
        <v>2244</v>
      </c>
    </row>
    <row r="288" spans="1:35" ht="116" x14ac:dyDescent="0.35">
      <c r="A288" s="56" t="s">
        <v>2241</v>
      </c>
      <c r="B288" s="56" t="s">
        <v>1451</v>
      </c>
      <c r="C288" s="56" t="s">
        <v>1452</v>
      </c>
      <c r="D288" s="56" t="s">
        <v>1224</v>
      </c>
      <c r="E288" s="56" t="s">
        <v>1453</v>
      </c>
      <c r="G288" s="56" t="s">
        <v>1278</v>
      </c>
      <c r="H288" s="56" t="s">
        <v>1331</v>
      </c>
      <c r="J288" s="56" t="s">
        <v>1277</v>
      </c>
      <c r="K288" s="56" t="s">
        <v>1327</v>
      </c>
      <c r="L288" s="56" t="s">
        <v>1328</v>
      </c>
      <c r="M288" s="56" t="s">
        <v>1329</v>
      </c>
      <c r="N288" s="56" t="s">
        <v>1330</v>
      </c>
      <c r="O288" s="56" t="s">
        <v>1203</v>
      </c>
      <c r="P288" s="56" t="s">
        <v>2153</v>
      </c>
      <c r="Q288" s="56" t="s">
        <v>2154</v>
      </c>
      <c r="R288" s="56" t="s">
        <v>2155</v>
      </c>
      <c r="S288" s="56" t="s">
        <v>2156</v>
      </c>
      <c r="T288" s="56" t="s">
        <v>2157</v>
      </c>
      <c r="U288" s="56" t="s">
        <v>2158</v>
      </c>
      <c r="V288" s="56" t="s">
        <v>2159</v>
      </c>
      <c r="W288" s="56" t="s">
        <v>2160</v>
      </c>
      <c r="X288" s="56" t="s">
        <v>2195</v>
      </c>
      <c r="Y288" s="56" t="s">
        <v>2182</v>
      </c>
      <c r="Z288" s="56" t="s">
        <v>2183</v>
      </c>
      <c r="AA288" s="56" t="s">
        <v>2184</v>
      </c>
      <c r="AB288" s="56" t="s">
        <v>2185</v>
      </c>
      <c r="AC288" s="56" t="s">
        <v>1532</v>
      </c>
      <c r="AE288" s="56" t="s">
        <v>1493</v>
      </c>
      <c r="AI288" s="56" t="s">
        <v>2244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FE8D0-3249-422F-A1B8-ED3EE7EDD102}">
  <dimension ref="A1:AA54"/>
  <sheetViews>
    <sheetView workbookViewId="0">
      <selection activeCell="K10" sqref="K10"/>
    </sheetView>
  </sheetViews>
  <sheetFormatPr defaultRowHeight="14.5" x14ac:dyDescent="0.35"/>
  <cols>
    <col min="11" max="13" width="8.7265625" customWidth="1"/>
  </cols>
  <sheetData>
    <row r="1" spans="1:27" x14ac:dyDescent="0.35">
      <c r="A1" s="124" t="s">
        <v>1389</v>
      </c>
      <c r="B1" s="124" t="s">
        <v>1390</v>
      </c>
      <c r="C1" s="124" t="s">
        <v>1391</v>
      </c>
      <c r="D1" s="124" t="s">
        <v>7</v>
      </c>
      <c r="E1" s="124" t="s">
        <v>8</v>
      </c>
      <c r="F1" s="124" t="s">
        <v>1210</v>
      </c>
      <c r="G1" s="124" t="s">
        <v>1392</v>
      </c>
      <c r="H1" s="124" t="s">
        <v>1393</v>
      </c>
      <c r="I1" s="124" t="s">
        <v>1394</v>
      </c>
      <c r="J1" s="124" t="s">
        <v>1395</v>
      </c>
      <c r="K1" s="124" t="s">
        <v>1424</v>
      </c>
      <c r="L1" s="124" t="s">
        <v>1426</v>
      </c>
      <c r="M1" s="124" t="s">
        <v>1427</v>
      </c>
      <c r="N1" s="124" t="s">
        <v>1626</v>
      </c>
      <c r="O1" s="124" t="s">
        <v>1429</v>
      </c>
      <c r="P1" s="124" t="s">
        <v>1430</v>
      </c>
      <c r="Q1" s="124" t="s">
        <v>1431</v>
      </c>
      <c r="R1" s="124" t="s">
        <v>1829</v>
      </c>
      <c r="S1" s="124" t="s">
        <v>1830</v>
      </c>
      <c r="T1" s="124" t="s">
        <v>1831</v>
      </c>
      <c r="U1" s="124"/>
      <c r="V1" s="124"/>
      <c r="W1" s="124"/>
      <c r="X1" s="124"/>
      <c r="Y1" s="124"/>
      <c r="Z1" s="124"/>
      <c r="AA1" s="124"/>
    </row>
    <row r="2" spans="1:27" x14ac:dyDescent="0.35">
      <c r="A2">
        <v>1</v>
      </c>
      <c r="B2" t="s">
        <v>1451</v>
      </c>
      <c r="C2" t="s">
        <v>1452</v>
      </c>
      <c r="D2" t="s">
        <v>1224</v>
      </c>
      <c r="E2" t="s">
        <v>1453</v>
      </c>
      <c r="G2" t="s">
        <v>1274</v>
      </c>
      <c r="H2" t="s">
        <v>1292</v>
      </c>
      <c r="J2" t="s">
        <v>1321</v>
      </c>
      <c r="K2" t="s">
        <v>1454</v>
      </c>
      <c r="L2" t="s">
        <v>1456</v>
      </c>
      <c r="M2" t="s">
        <v>1457</v>
      </c>
      <c r="N2" t="s">
        <v>1584</v>
      </c>
      <c r="O2" t="s">
        <v>1458</v>
      </c>
      <c r="S2" t="s">
        <v>2267</v>
      </c>
      <c r="T2" t="str">
        <f>CONCATENATE(H2,"_",K2)</f>
        <v>To what extent have you explored bundling of volumes across different types of vegetable oils to maximize economies of scale?_Regional Spend Addressability</v>
      </c>
    </row>
    <row r="3" spans="1:27" x14ac:dyDescent="0.35">
      <c r="A3">
        <v>1</v>
      </c>
      <c r="B3" t="s">
        <v>1451</v>
      </c>
      <c r="C3" t="s">
        <v>1452</v>
      </c>
      <c r="D3" t="s">
        <v>1224</v>
      </c>
      <c r="E3" t="s">
        <v>1453</v>
      </c>
      <c r="G3" t="s">
        <v>1274</v>
      </c>
      <c r="H3" t="s">
        <v>1292</v>
      </c>
      <c r="J3" t="s">
        <v>1462</v>
      </c>
      <c r="K3" t="s">
        <v>1467</v>
      </c>
      <c r="L3" t="s">
        <v>1456</v>
      </c>
      <c r="M3" t="s">
        <v>1469</v>
      </c>
      <c r="N3" t="s">
        <v>1584</v>
      </c>
      <c r="O3" t="s">
        <v>1458</v>
      </c>
      <c r="S3" t="s">
        <v>2268</v>
      </c>
      <c r="T3" t="str">
        <f t="shared" ref="T3:T54" si="0">CONCATENATE(H3,"_",K3)</f>
        <v>To what extent have you explored bundling of volumes across different types of vegetable oils to maximize economies of scale?_Tail Spend Consolidation Opportunity - Volume &amp; Administrative Savings</v>
      </c>
    </row>
    <row r="4" spans="1:27" x14ac:dyDescent="0.35">
      <c r="A4">
        <v>1</v>
      </c>
      <c r="B4" t="s">
        <v>1451</v>
      </c>
      <c r="C4" t="s">
        <v>1452</v>
      </c>
      <c r="D4" t="s">
        <v>1224</v>
      </c>
      <c r="E4" t="s">
        <v>1453</v>
      </c>
      <c r="G4" t="s">
        <v>1274</v>
      </c>
      <c r="H4" t="s">
        <v>1292</v>
      </c>
      <c r="J4" t="s">
        <v>1462</v>
      </c>
      <c r="K4" t="s">
        <v>1471</v>
      </c>
      <c r="L4" t="s">
        <v>1456</v>
      </c>
      <c r="M4" t="s">
        <v>1473</v>
      </c>
      <c r="N4" t="s">
        <v>1584</v>
      </c>
      <c r="O4" t="s">
        <v>1458</v>
      </c>
      <c r="S4" t="s">
        <v>2268</v>
      </c>
      <c r="T4" t="str">
        <f t="shared" si="0"/>
        <v>To what extent have you explored bundling of volumes across different types of vegetable oils to maximize economies of scale?_Volume Leverage from Fragmented Category Spend</v>
      </c>
    </row>
    <row r="5" spans="1:27" x14ac:dyDescent="0.35">
      <c r="A5">
        <v>1</v>
      </c>
      <c r="B5" t="s">
        <v>1451</v>
      </c>
      <c r="C5" t="s">
        <v>1452</v>
      </c>
      <c r="D5" t="s">
        <v>1224</v>
      </c>
      <c r="E5" t="s">
        <v>1453</v>
      </c>
      <c r="G5" t="s">
        <v>1274</v>
      </c>
      <c r="H5" t="s">
        <v>1292</v>
      </c>
      <c r="J5" t="s">
        <v>1462</v>
      </c>
      <c r="K5" t="s">
        <v>1477</v>
      </c>
      <c r="L5" t="s">
        <v>1456</v>
      </c>
      <c r="M5" t="s">
        <v>1479</v>
      </c>
      <c r="N5" t="s">
        <v>1584</v>
      </c>
      <c r="O5" t="s">
        <v>1458</v>
      </c>
      <c r="S5" t="s">
        <v>2269</v>
      </c>
      <c r="T5" t="str">
        <f t="shared" si="0"/>
        <v xml:space="preserve">To what extent have you explored bundling of volumes across different types of vegetable oils to maximize economies of scale?_Price Variance for Identical Items/SKUs </v>
      </c>
    </row>
    <row r="6" spans="1:27" x14ac:dyDescent="0.35">
      <c r="A6">
        <v>1</v>
      </c>
      <c r="B6" t="s">
        <v>1451</v>
      </c>
      <c r="C6" t="s">
        <v>1452</v>
      </c>
      <c r="D6" t="s">
        <v>1224</v>
      </c>
      <c r="E6" t="s">
        <v>1453</v>
      </c>
      <c r="G6" t="s">
        <v>1274</v>
      </c>
      <c r="H6" t="s">
        <v>1292</v>
      </c>
      <c r="J6" t="s">
        <v>1462</v>
      </c>
      <c r="K6" t="s">
        <v>1483</v>
      </c>
      <c r="L6" t="s">
        <v>1456</v>
      </c>
      <c r="M6" t="s">
        <v>1485</v>
      </c>
      <c r="N6" t="s">
        <v>1584</v>
      </c>
      <c r="O6" t="s">
        <v>1458</v>
      </c>
      <c r="S6" t="s">
        <v>2270</v>
      </c>
      <c r="T6" t="str">
        <f t="shared" si="0"/>
        <v>To what extent have you explored bundling of volumes across different types of vegetable oils to maximize economies of scale?_Average Spend per Supplier vs. Industry Benchmarks/Internal Targets</v>
      </c>
    </row>
    <row r="7" spans="1:27" x14ac:dyDescent="0.35">
      <c r="A7">
        <v>1</v>
      </c>
      <c r="B7" t="s">
        <v>1451</v>
      </c>
      <c r="C7" t="s">
        <v>1452</v>
      </c>
      <c r="D7" t="s">
        <v>1224</v>
      </c>
      <c r="E7" t="s">
        <v>1453</v>
      </c>
      <c r="G7" t="s">
        <v>1274</v>
      </c>
      <c r="H7" t="s">
        <v>1292</v>
      </c>
      <c r="J7" t="s">
        <v>1462</v>
      </c>
      <c r="K7" t="s">
        <v>1496</v>
      </c>
      <c r="L7" t="s">
        <v>1493</v>
      </c>
      <c r="M7" t="s">
        <v>1497</v>
      </c>
      <c r="N7" t="s">
        <v>1584</v>
      </c>
      <c r="O7" t="s">
        <v>1458</v>
      </c>
      <c r="S7" t="s">
        <v>2271</v>
      </c>
      <c r="T7" t="str">
        <f t="shared" si="0"/>
        <v>To what extent have you explored bundling of volumes across different types of vegetable oils to maximize economies of scale?_Market Consolidation</v>
      </c>
    </row>
    <row r="8" spans="1:27" x14ac:dyDescent="0.35">
      <c r="A8">
        <v>1</v>
      </c>
      <c r="B8" t="s">
        <v>1451</v>
      </c>
      <c r="C8" t="s">
        <v>1452</v>
      </c>
      <c r="D8" t="s">
        <v>1224</v>
      </c>
      <c r="E8" t="s">
        <v>1453</v>
      </c>
      <c r="G8" t="s">
        <v>1274</v>
      </c>
      <c r="H8" t="s">
        <v>1292</v>
      </c>
      <c r="J8" t="s">
        <v>1462</v>
      </c>
      <c r="K8" t="s">
        <v>1517</v>
      </c>
      <c r="L8" t="s">
        <v>1493</v>
      </c>
      <c r="M8" t="s">
        <v>1518</v>
      </c>
      <c r="N8" t="s">
        <v>1584</v>
      </c>
      <c r="O8" t="s">
        <v>1458</v>
      </c>
      <c r="P8" t="s">
        <v>1519</v>
      </c>
      <c r="Q8" t="s">
        <v>1520</v>
      </c>
      <c r="S8" t="s">
        <v>2272</v>
      </c>
      <c r="T8" t="str">
        <f t="shared" si="0"/>
        <v>To what extent have you explored bundling of volumes across different types of vegetable oils to maximize economies of scale?_Supplier Location</v>
      </c>
    </row>
    <row r="9" spans="1:27" x14ac:dyDescent="0.35">
      <c r="A9">
        <v>1</v>
      </c>
      <c r="B9" t="s">
        <v>1451</v>
      </c>
      <c r="C9" t="s">
        <v>1452</v>
      </c>
      <c r="D9" t="s">
        <v>1224</v>
      </c>
      <c r="E9" t="s">
        <v>1453</v>
      </c>
      <c r="G9" t="s">
        <v>1274</v>
      </c>
      <c r="H9" t="s">
        <v>1292</v>
      </c>
      <c r="J9" t="s">
        <v>1462</v>
      </c>
      <c r="K9" t="s">
        <v>1524</v>
      </c>
      <c r="L9" t="s">
        <v>1493</v>
      </c>
      <c r="M9" t="s">
        <v>1525</v>
      </c>
      <c r="N9" t="s">
        <v>1584</v>
      </c>
      <c r="O9" t="s">
        <v>1458</v>
      </c>
      <c r="P9" t="s">
        <v>1519</v>
      </c>
      <c r="Q9" t="s">
        <v>1520</v>
      </c>
      <c r="S9" t="s">
        <v>2273</v>
      </c>
      <c r="T9" t="str">
        <f t="shared" si="0"/>
        <v>To what extent have you explored bundling of volumes across different types of vegetable oils to maximize economies of scale?_Supplier Risk Rating</v>
      </c>
    </row>
    <row r="10" spans="1:27" x14ac:dyDescent="0.35">
      <c r="A10">
        <v>2</v>
      </c>
      <c r="B10" t="s">
        <v>1451</v>
      </c>
      <c r="C10" t="s">
        <v>1452</v>
      </c>
      <c r="D10" t="s">
        <v>1224</v>
      </c>
      <c r="E10" t="s">
        <v>1453</v>
      </c>
      <c r="G10" t="s">
        <v>1274</v>
      </c>
      <c r="H10" t="s">
        <v>1289</v>
      </c>
      <c r="J10" t="s">
        <v>1316</v>
      </c>
      <c r="K10" t="s">
        <v>1477</v>
      </c>
      <c r="L10" t="s">
        <v>1456</v>
      </c>
      <c r="M10" t="s">
        <v>1535</v>
      </c>
      <c r="N10" t="s">
        <v>1584</v>
      </c>
      <c r="O10" t="s">
        <v>1458</v>
      </c>
      <c r="S10" t="s">
        <v>2269</v>
      </c>
      <c r="T10" t="str">
        <f t="shared" si="0"/>
        <v xml:space="preserve">To what extent do you use should cost models to challenge and negotiate supplier pricing?_Price Variance for Identical Items/SKUs </v>
      </c>
    </row>
    <row r="11" spans="1:27" x14ac:dyDescent="0.35">
      <c r="A11">
        <v>2</v>
      </c>
      <c r="B11" t="s">
        <v>1451</v>
      </c>
      <c r="C11" t="s">
        <v>1452</v>
      </c>
      <c r="D11" t="s">
        <v>1224</v>
      </c>
      <c r="E11" t="s">
        <v>1453</v>
      </c>
      <c r="G11" t="s">
        <v>1274</v>
      </c>
      <c r="H11" t="s">
        <v>1289</v>
      </c>
      <c r="J11" t="s">
        <v>1316</v>
      </c>
      <c r="K11" t="s">
        <v>1506</v>
      </c>
      <c r="L11" t="s">
        <v>1493</v>
      </c>
      <c r="M11" t="s">
        <v>1540</v>
      </c>
      <c r="N11" t="s">
        <v>1584</v>
      </c>
      <c r="O11" t="s">
        <v>1458</v>
      </c>
      <c r="P11" t="s">
        <v>1446</v>
      </c>
      <c r="Q11" t="s">
        <v>1541</v>
      </c>
      <c r="S11" t="s">
        <v>2274</v>
      </c>
      <c r="T11" t="str">
        <f t="shared" si="0"/>
        <v>To what extent do you use should cost models to challenge and negotiate supplier pricing?_Tariff Rate</v>
      </c>
    </row>
    <row r="12" spans="1:27" x14ac:dyDescent="0.35">
      <c r="A12">
        <v>2</v>
      </c>
      <c r="B12" t="s">
        <v>1451</v>
      </c>
      <c r="C12" t="s">
        <v>1452</v>
      </c>
      <c r="D12" t="s">
        <v>1224</v>
      </c>
      <c r="E12" t="s">
        <v>1453</v>
      </c>
      <c r="G12" t="s">
        <v>1274</v>
      </c>
      <c r="H12" t="s">
        <v>1289</v>
      </c>
      <c r="J12" t="s">
        <v>1316</v>
      </c>
      <c r="K12" t="s">
        <v>1508</v>
      </c>
      <c r="L12" t="s">
        <v>1493</v>
      </c>
      <c r="M12" t="s">
        <v>1544</v>
      </c>
      <c r="N12" t="s">
        <v>1584</v>
      </c>
      <c r="O12" t="s">
        <v>1458</v>
      </c>
      <c r="S12" t="s">
        <v>2275</v>
      </c>
      <c r="T12" t="str">
        <f t="shared" si="0"/>
        <v>To what extent do you use should cost models to challenge and negotiate supplier pricing?_Cost Structure</v>
      </c>
    </row>
    <row r="13" spans="1:27" x14ac:dyDescent="0.35">
      <c r="A13">
        <v>2</v>
      </c>
      <c r="B13" t="s">
        <v>1451</v>
      </c>
      <c r="C13" t="s">
        <v>1452</v>
      </c>
      <c r="D13" t="s">
        <v>1224</v>
      </c>
      <c r="E13" t="s">
        <v>1453</v>
      </c>
      <c r="G13" t="s">
        <v>1274</v>
      </c>
      <c r="H13" t="s">
        <v>1289</v>
      </c>
      <c r="J13" t="s">
        <v>1316</v>
      </c>
      <c r="K13" t="s">
        <v>1514</v>
      </c>
      <c r="L13" t="s">
        <v>1493</v>
      </c>
      <c r="M13" t="s">
        <v>1546</v>
      </c>
      <c r="N13" t="s">
        <v>1584</v>
      </c>
      <c r="O13" t="s">
        <v>1458</v>
      </c>
      <c r="P13" t="s">
        <v>1446</v>
      </c>
      <c r="Q13" t="s">
        <v>1547</v>
      </c>
      <c r="S13" t="s">
        <v>2276</v>
      </c>
      <c r="T13" t="str">
        <f t="shared" si="0"/>
        <v>To what extent do you use should cost models to challenge and negotiate supplier pricing?_Unit Price</v>
      </c>
    </row>
    <row r="14" spans="1:27" x14ac:dyDescent="0.35">
      <c r="A14">
        <v>3</v>
      </c>
      <c r="B14" t="s">
        <v>1451</v>
      </c>
      <c r="C14" t="s">
        <v>1452</v>
      </c>
      <c r="D14" t="s">
        <v>1224</v>
      </c>
      <c r="E14" t="s">
        <v>1453</v>
      </c>
      <c r="G14" t="s">
        <v>1274</v>
      </c>
      <c r="H14" t="s">
        <v>1279</v>
      </c>
      <c r="J14" t="s">
        <v>1336</v>
      </c>
      <c r="K14" t="s">
        <v>1477</v>
      </c>
      <c r="L14" t="s">
        <v>1456</v>
      </c>
      <c r="M14" t="s">
        <v>1551</v>
      </c>
      <c r="N14" t="s">
        <v>1584</v>
      </c>
      <c r="O14" t="s">
        <v>1458</v>
      </c>
      <c r="S14" t="s">
        <v>2269</v>
      </c>
      <c r="T14" t="str">
        <f t="shared" si="0"/>
        <v xml:space="preserve">Do you review pack sizes and explore delivery options in bulk or flexi tanks to streamline supply chain operations and reduce costs?_Price Variance for Identical Items/SKUs </v>
      </c>
    </row>
    <row r="15" spans="1:27" x14ac:dyDescent="0.35">
      <c r="A15">
        <v>3</v>
      </c>
      <c r="B15" t="s">
        <v>1451</v>
      </c>
      <c r="C15" t="s">
        <v>1452</v>
      </c>
      <c r="D15" t="s">
        <v>1224</v>
      </c>
      <c r="E15" t="s">
        <v>1453</v>
      </c>
      <c r="G15" t="s">
        <v>1274</v>
      </c>
      <c r="H15" t="s">
        <v>1279</v>
      </c>
      <c r="J15" t="s">
        <v>1336</v>
      </c>
      <c r="K15" t="s">
        <v>1504</v>
      </c>
      <c r="L15" t="s">
        <v>1493</v>
      </c>
      <c r="M15" t="s">
        <v>1554</v>
      </c>
      <c r="N15" t="s">
        <v>1584</v>
      </c>
      <c r="O15" t="s">
        <v>1458</v>
      </c>
      <c r="S15" t="s">
        <v>2277</v>
      </c>
      <c r="T15" t="str">
        <f t="shared" si="0"/>
        <v>Do you review pack sizes and explore delivery options in bulk or flexi tanks to streamline supply chain operations and reduce costs?_Export Data</v>
      </c>
    </row>
    <row r="16" spans="1:27" x14ac:dyDescent="0.35">
      <c r="A16">
        <v>3</v>
      </c>
      <c r="B16" t="s">
        <v>1451</v>
      </c>
      <c r="C16" t="s">
        <v>1452</v>
      </c>
      <c r="D16" t="s">
        <v>1224</v>
      </c>
      <c r="E16" t="s">
        <v>1453</v>
      </c>
      <c r="G16" t="s">
        <v>1274</v>
      </c>
      <c r="H16" t="s">
        <v>1279</v>
      </c>
      <c r="J16" t="s">
        <v>1336</v>
      </c>
      <c r="K16" t="s">
        <v>1508</v>
      </c>
      <c r="L16" t="s">
        <v>1493</v>
      </c>
      <c r="M16" t="s">
        <v>1555</v>
      </c>
      <c r="N16" t="s">
        <v>1584</v>
      </c>
      <c r="O16" t="s">
        <v>1458</v>
      </c>
      <c r="S16" t="s">
        <v>2275</v>
      </c>
      <c r="T16" t="str">
        <f t="shared" si="0"/>
        <v>Do you review pack sizes and explore delivery options in bulk or flexi tanks to streamline supply chain operations and reduce costs?_Cost Structure</v>
      </c>
    </row>
    <row r="17" spans="1:20" x14ac:dyDescent="0.35">
      <c r="A17">
        <v>4</v>
      </c>
      <c r="B17" t="s">
        <v>1451</v>
      </c>
      <c r="C17" t="s">
        <v>1452</v>
      </c>
      <c r="D17" t="s">
        <v>1224</v>
      </c>
      <c r="E17" t="s">
        <v>1453</v>
      </c>
      <c r="G17" t="s">
        <v>1274</v>
      </c>
      <c r="H17" t="s">
        <v>1285</v>
      </c>
      <c r="J17" t="s">
        <v>1311</v>
      </c>
      <c r="K17" t="s">
        <v>1463</v>
      </c>
      <c r="L17" t="s">
        <v>1456</v>
      </c>
      <c r="M17" t="s">
        <v>1559</v>
      </c>
      <c r="N17" t="s">
        <v>1584</v>
      </c>
      <c r="O17" t="s">
        <v>1458</v>
      </c>
      <c r="S17" t="s">
        <v>1746</v>
      </c>
      <c r="T17" t="str">
        <f t="shared" si="0"/>
        <v>Do you approve / qualify multiple suppliers for specialty products to hedge against significant risks in the supply chain?_Single Sourcing / Supplier Dependency Risk</v>
      </c>
    </row>
    <row r="18" spans="1:20" x14ac:dyDescent="0.35">
      <c r="A18">
        <v>4</v>
      </c>
      <c r="B18" t="s">
        <v>1451</v>
      </c>
      <c r="C18" t="s">
        <v>1452</v>
      </c>
      <c r="D18" t="s">
        <v>1224</v>
      </c>
      <c r="E18" t="s">
        <v>1453</v>
      </c>
      <c r="G18" t="s">
        <v>1274</v>
      </c>
      <c r="H18" t="s">
        <v>1285</v>
      </c>
      <c r="J18" t="s">
        <v>1311</v>
      </c>
      <c r="K18" t="s">
        <v>1465</v>
      </c>
      <c r="L18" t="s">
        <v>1456</v>
      </c>
      <c r="M18" t="s">
        <v>1561</v>
      </c>
      <c r="N18" t="s">
        <v>1584</v>
      </c>
      <c r="O18" t="s">
        <v>1458</v>
      </c>
      <c r="S18" t="s">
        <v>1746</v>
      </c>
      <c r="T18" t="str">
        <f t="shared" si="0"/>
        <v xml:space="preserve">Do you approve / qualify multiple suppliers for specialty products to hedge against significant risks in the supply chain?_Supplier Concentration Risk </v>
      </c>
    </row>
    <row r="19" spans="1:20" x14ac:dyDescent="0.35">
      <c r="A19">
        <v>4</v>
      </c>
      <c r="B19" t="s">
        <v>1451</v>
      </c>
      <c r="C19" t="s">
        <v>1452</v>
      </c>
      <c r="D19" t="s">
        <v>1224</v>
      </c>
      <c r="E19" t="s">
        <v>1453</v>
      </c>
      <c r="G19" t="s">
        <v>1274</v>
      </c>
      <c r="H19" t="s">
        <v>1285</v>
      </c>
      <c r="J19" t="s">
        <v>1311</v>
      </c>
      <c r="K19" t="s">
        <v>1483</v>
      </c>
      <c r="L19" t="s">
        <v>1456</v>
      </c>
      <c r="M19" t="s">
        <v>1564</v>
      </c>
      <c r="N19" t="s">
        <v>1584</v>
      </c>
      <c r="O19" t="s">
        <v>1458</v>
      </c>
      <c r="S19" t="s">
        <v>2270</v>
      </c>
      <c r="T19" t="str">
        <f t="shared" si="0"/>
        <v>Do you approve / qualify multiple suppliers for specialty products to hedge against significant risks in the supply chain?_Average Spend per Supplier vs. Industry Benchmarks/Internal Targets</v>
      </c>
    </row>
    <row r="20" spans="1:20" x14ac:dyDescent="0.35">
      <c r="A20">
        <v>4</v>
      </c>
      <c r="B20" t="s">
        <v>1451</v>
      </c>
      <c r="C20" t="s">
        <v>1452</v>
      </c>
      <c r="D20" t="s">
        <v>1224</v>
      </c>
      <c r="E20" t="s">
        <v>1453</v>
      </c>
      <c r="G20" t="s">
        <v>1274</v>
      </c>
      <c r="H20" t="s">
        <v>1285</v>
      </c>
      <c r="J20" t="s">
        <v>1311</v>
      </c>
      <c r="K20" t="s">
        <v>1504</v>
      </c>
      <c r="L20" t="s">
        <v>1493</v>
      </c>
      <c r="M20" t="s">
        <v>1565</v>
      </c>
      <c r="N20" t="s">
        <v>1584</v>
      </c>
      <c r="O20" t="s">
        <v>1458</v>
      </c>
      <c r="P20" t="s">
        <v>1448</v>
      </c>
      <c r="Q20" t="s">
        <v>1566</v>
      </c>
      <c r="S20" t="s">
        <v>2277</v>
      </c>
      <c r="T20" t="str">
        <f t="shared" si="0"/>
        <v>Do you approve / qualify multiple suppliers for specialty products to hedge against significant risks in the supply chain?_Export Data</v>
      </c>
    </row>
    <row r="21" spans="1:20" x14ac:dyDescent="0.35">
      <c r="A21">
        <v>4</v>
      </c>
      <c r="B21" t="s">
        <v>1451</v>
      </c>
      <c r="C21" t="s">
        <v>1452</v>
      </c>
      <c r="D21" t="s">
        <v>1224</v>
      </c>
      <c r="E21" t="s">
        <v>1453</v>
      </c>
      <c r="G21" t="s">
        <v>1274</v>
      </c>
      <c r="H21" t="s">
        <v>1285</v>
      </c>
      <c r="J21" t="s">
        <v>1311</v>
      </c>
      <c r="K21" t="s">
        <v>1505</v>
      </c>
      <c r="L21" t="s">
        <v>1493</v>
      </c>
      <c r="M21" t="s">
        <v>1568</v>
      </c>
      <c r="N21" t="s">
        <v>1584</v>
      </c>
      <c r="O21" t="s">
        <v>1458</v>
      </c>
      <c r="P21" t="s">
        <v>1448</v>
      </c>
      <c r="Q21" t="s">
        <v>1569</v>
      </c>
      <c r="S21" t="s">
        <v>2278</v>
      </c>
      <c r="T21" t="str">
        <f t="shared" si="0"/>
        <v>Do you approve / qualify multiple suppliers for specialty products to hedge against significant risks in the supply chain?_Import Data</v>
      </c>
    </row>
    <row r="22" spans="1:20" x14ac:dyDescent="0.35">
      <c r="A22">
        <v>4</v>
      </c>
      <c r="B22" t="s">
        <v>1451</v>
      </c>
      <c r="C22" t="s">
        <v>1452</v>
      </c>
      <c r="D22" t="s">
        <v>1224</v>
      </c>
      <c r="E22" t="s">
        <v>1453</v>
      </c>
      <c r="G22" t="s">
        <v>1274</v>
      </c>
      <c r="H22" t="s">
        <v>1285</v>
      </c>
      <c r="J22" t="s">
        <v>1311</v>
      </c>
      <c r="K22" t="s">
        <v>1524</v>
      </c>
      <c r="L22" t="s">
        <v>1493</v>
      </c>
      <c r="M22" t="s">
        <v>1570</v>
      </c>
      <c r="N22" t="s">
        <v>1584</v>
      </c>
      <c r="O22" t="s">
        <v>1458</v>
      </c>
      <c r="S22" t="s">
        <v>2273</v>
      </c>
      <c r="T22" t="str">
        <f t="shared" si="0"/>
        <v>Do you approve / qualify multiple suppliers for specialty products to hedge against significant risks in the supply chain?_Supplier Risk Rating</v>
      </c>
    </row>
    <row r="23" spans="1:20" x14ac:dyDescent="0.35">
      <c r="A23">
        <v>5</v>
      </c>
      <c r="B23" t="s">
        <v>1451</v>
      </c>
      <c r="C23" t="s">
        <v>1452</v>
      </c>
      <c r="D23" t="s">
        <v>1224</v>
      </c>
      <c r="E23" t="s">
        <v>1453</v>
      </c>
      <c r="G23" t="s">
        <v>1274</v>
      </c>
      <c r="H23" t="s">
        <v>1281</v>
      </c>
      <c r="J23" t="s">
        <v>1326</v>
      </c>
      <c r="K23" t="s">
        <v>1454</v>
      </c>
      <c r="L23" t="s">
        <v>1456</v>
      </c>
      <c r="M23" t="s">
        <v>1571</v>
      </c>
      <c r="N23" t="s">
        <v>1584</v>
      </c>
      <c r="O23" t="s">
        <v>1458</v>
      </c>
      <c r="S23" t="s">
        <v>2267</v>
      </c>
      <c r="T23" t="str">
        <f t="shared" si="0"/>
        <v>Have you undertaken specification rationalization to enable volume bundling and reduce sourcing complexity?_Regional Spend Addressability</v>
      </c>
    </row>
    <row r="24" spans="1:20" x14ac:dyDescent="0.35">
      <c r="A24">
        <v>5</v>
      </c>
      <c r="B24" t="s">
        <v>1451</v>
      </c>
      <c r="C24" t="s">
        <v>1452</v>
      </c>
      <c r="D24" t="s">
        <v>1224</v>
      </c>
      <c r="E24" t="s">
        <v>1453</v>
      </c>
      <c r="G24" t="s">
        <v>1274</v>
      </c>
      <c r="H24" t="s">
        <v>1281</v>
      </c>
      <c r="J24" t="s">
        <v>1326</v>
      </c>
      <c r="K24" t="s">
        <v>1471</v>
      </c>
      <c r="L24" t="s">
        <v>1456</v>
      </c>
      <c r="M24" t="s">
        <v>1575</v>
      </c>
      <c r="N24" t="s">
        <v>1584</v>
      </c>
      <c r="O24" t="s">
        <v>1458</v>
      </c>
      <c r="S24" t="s">
        <v>2268</v>
      </c>
      <c r="T24" t="str">
        <f t="shared" si="0"/>
        <v>Have you undertaken specification rationalization to enable volume bundling and reduce sourcing complexity?_Volume Leverage from Fragmented Category Spend</v>
      </c>
    </row>
    <row r="25" spans="1:20" x14ac:dyDescent="0.35">
      <c r="A25">
        <v>5</v>
      </c>
      <c r="B25" t="s">
        <v>1451</v>
      </c>
      <c r="C25" t="s">
        <v>1452</v>
      </c>
      <c r="D25" t="s">
        <v>1224</v>
      </c>
      <c r="E25" t="s">
        <v>1453</v>
      </c>
      <c r="G25" t="s">
        <v>1274</v>
      </c>
      <c r="H25" t="s">
        <v>1281</v>
      </c>
      <c r="J25" t="s">
        <v>1326</v>
      </c>
      <c r="K25" t="s">
        <v>1477</v>
      </c>
      <c r="L25" t="s">
        <v>1456</v>
      </c>
      <c r="M25" t="s">
        <v>1577</v>
      </c>
      <c r="N25" t="s">
        <v>1584</v>
      </c>
      <c r="O25" t="s">
        <v>1458</v>
      </c>
      <c r="S25" t="s">
        <v>2269</v>
      </c>
      <c r="T25" t="str">
        <f t="shared" si="0"/>
        <v xml:space="preserve">Have you undertaken specification rationalization to enable volume bundling and reduce sourcing complexity?_Price Variance for Identical Items/SKUs </v>
      </c>
    </row>
    <row r="26" spans="1:20" x14ac:dyDescent="0.35">
      <c r="A26">
        <v>6</v>
      </c>
      <c r="B26" t="s">
        <v>1451</v>
      </c>
      <c r="C26" t="s">
        <v>1452</v>
      </c>
      <c r="D26" t="s">
        <v>1224</v>
      </c>
      <c r="E26" t="s">
        <v>1453</v>
      </c>
      <c r="G26" t="s">
        <v>1274</v>
      </c>
      <c r="H26" t="s">
        <v>1284</v>
      </c>
      <c r="J26" t="s">
        <v>1579</v>
      </c>
      <c r="K26" t="s">
        <v>1463</v>
      </c>
      <c r="L26" t="s">
        <v>1456</v>
      </c>
      <c r="M26" t="s">
        <v>1581</v>
      </c>
      <c r="N26" t="s">
        <v>1584</v>
      </c>
      <c r="O26" t="s">
        <v>1458</v>
      </c>
      <c r="P26" t="s">
        <v>1582</v>
      </c>
      <c r="Q26" t="s">
        <v>1583</v>
      </c>
      <c r="S26" t="s">
        <v>1746</v>
      </c>
      <c r="T26" t="str">
        <f t="shared" si="0"/>
        <v>Are financial instruments, such as hedging or long-term contracts, used to manage risks in vegetable oil procurement?_Single Sourcing / Supplier Dependency Risk</v>
      </c>
    </row>
    <row r="27" spans="1:20" x14ac:dyDescent="0.35">
      <c r="A27">
        <v>6</v>
      </c>
      <c r="B27" t="s">
        <v>1451</v>
      </c>
      <c r="C27" t="s">
        <v>1452</v>
      </c>
      <c r="D27" t="s">
        <v>1224</v>
      </c>
      <c r="E27" t="s">
        <v>1453</v>
      </c>
      <c r="G27" t="s">
        <v>1274</v>
      </c>
      <c r="H27" t="s">
        <v>1284</v>
      </c>
      <c r="J27" t="s">
        <v>1579</v>
      </c>
      <c r="K27" t="s">
        <v>1465</v>
      </c>
      <c r="L27" t="s">
        <v>1456</v>
      </c>
      <c r="M27" t="s">
        <v>1588</v>
      </c>
      <c r="N27" t="s">
        <v>1584</v>
      </c>
      <c r="O27" t="s">
        <v>1458</v>
      </c>
      <c r="P27" t="s">
        <v>1582</v>
      </c>
      <c r="Q27" t="s">
        <v>1583</v>
      </c>
      <c r="S27" t="s">
        <v>1746</v>
      </c>
      <c r="T27" t="str">
        <f t="shared" si="0"/>
        <v xml:space="preserve">Are financial instruments, such as hedging or long-term contracts, used to manage risks in vegetable oil procurement?_Supplier Concentration Risk </v>
      </c>
    </row>
    <row r="28" spans="1:20" x14ac:dyDescent="0.35">
      <c r="A28">
        <v>6</v>
      </c>
      <c r="B28" t="s">
        <v>1451</v>
      </c>
      <c r="C28" t="s">
        <v>1452</v>
      </c>
      <c r="D28" t="s">
        <v>1224</v>
      </c>
      <c r="E28" t="s">
        <v>1453</v>
      </c>
      <c r="G28" t="s">
        <v>1274</v>
      </c>
      <c r="H28" t="s">
        <v>1284</v>
      </c>
      <c r="J28" t="s">
        <v>1579</v>
      </c>
      <c r="K28" t="s">
        <v>1499</v>
      </c>
      <c r="L28" t="s">
        <v>1493</v>
      </c>
      <c r="M28" t="s">
        <v>1590</v>
      </c>
      <c r="N28" t="s">
        <v>1584</v>
      </c>
      <c r="O28" t="s">
        <v>1458</v>
      </c>
      <c r="P28" t="s">
        <v>1446</v>
      </c>
      <c r="Q28" t="s">
        <v>1591</v>
      </c>
      <c r="S28" t="s">
        <v>2279</v>
      </c>
      <c r="T28" t="str">
        <f t="shared" si="0"/>
        <v>Are financial instruments, such as hedging or long-term contracts, used to manage risks in vegetable oil procurement?_Category Risk</v>
      </c>
    </row>
    <row r="29" spans="1:20" x14ac:dyDescent="0.35">
      <c r="A29">
        <v>6</v>
      </c>
      <c r="B29" t="s">
        <v>1451</v>
      </c>
      <c r="C29" t="s">
        <v>1452</v>
      </c>
      <c r="D29" t="s">
        <v>1224</v>
      </c>
      <c r="E29" t="s">
        <v>1453</v>
      </c>
      <c r="G29" t="s">
        <v>1274</v>
      </c>
      <c r="H29" t="s">
        <v>1284</v>
      </c>
      <c r="J29" t="s">
        <v>1579</v>
      </c>
      <c r="K29" t="s">
        <v>1510</v>
      </c>
      <c r="L29" t="s">
        <v>1493</v>
      </c>
      <c r="M29" t="s">
        <v>1593</v>
      </c>
      <c r="N29" t="s">
        <v>1584</v>
      </c>
      <c r="O29" t="s">
        <v>1458</v>
      </c>
      <c r="S29" t="s">
        <v>2279</v>
      </c>
      <c r="T29" t="str">
        <f t="shared" si="0"/>
        <v>Are financial instruments, such as hedging or long-term contracts, used to manage risks in vegetable oil procurement?_Inflation</v>
      </c>
    </row>
    <row r="30" spans="1:20" x14ac:dyDescent="0.35">
      <c r="A30">
        <v>6</v>
      </c>
      <c r="B30" t="s">
        <v>1451</v>
      </c>
      <c r="C30" t="s">
        <v>1452</v>
      </c>
      <c r="D30" t="s">
        <v>1224</v>
      </c>
      <c r="E30" t="s">
        <v>1453</v>
      </c>
      <c r="G30" t="s">
        <v>1274</v>
      </c>
      <c r="H30" t="s">
        <v>1284</v>
      </c>
      <c r="J30" t="s">
        <v>1579</v>
      </c>
      <c r="K30" t="s">
        <v>1511</v>
      </c>
      <c r="L30" t="s">
        <v>1493</v>
      </c>
      <c r="M30" t="s">
        <v>1594</v>
      </c>
      <c r="N30" t="s">
        <v>1584</v>
      </c>
      <c r="O30" t="s">
        <v>1458</v>
      </c>
      <c r="S30" t="s">
        <v>2279</v>
      </c>
      <c r="T30" t="str">
        <f t="shared" si="0"/>
        <v>Are financial instruments, such as hedging or long-term contracts, used to manage risks in vegetable oil procurement?_Exchange Rate</v>
      </c>
    </row>
    <row r="31" spans="1:20" x14ac:dyDescent="0.35">
      <c r="A31">
        <v>6</v>
      </c>
      <c r="B31" t="s">
        <v>1451</v>
      </c>
      <c r="C31" t="s">
        <v>1452</v>
      </c>
      <c r="D31" t="s">
        <v>1224</v>
      </c>
      <c r="E31" t="s">
        <v>1453</v>
      </c>
      <c r="G31" t="s">
        <v>1274</v>
      </c>
      <c r="H31" t="s">
        <v>1284</v>
      </c>
      <c r="J31" t="s">
        <v>1579</v>
      </c>
      <c r="K31" t="s">
        <v>1512</v>
      </c>
      <c r="L31" t="s">
        <v>1493</v>
      </c>
      <c r="M31" t="s">
        <v>1595</v>
      </c>
      <c r="N31" t="s">
        <v>1584</v>
      </c>
      <c r="O31" t="s">
        <v>1458</v>
      </c>
      <c r="P31" t="s">
        <v>1449</v>
      </c>
      <c r="Q31" t="s">
        <v>1596</v>
      </c>
      <c r="S31" t="s">
        <v>2279</v>
      </c>
      <c r="T31" t="str">
        <f t="shared" si="0"/>
        <v>Are financial instruments, such as hedging or long-term contracts, used to manage risks in vegetable oil procurement?_Geo Political Risk</v>
      </c>
    </row>
    <row r="32" spans="1:20" x14ac:dyDescent="0.35">
      <c r="A32">
        <v>6</v>
      </c>
      <c r="B32" t="s">
        <v>1451</v>
      </c>
      <c r="C32" t="s">
        <v>1452</v>
      </c>
      <c r="D32" t="s">
        <v>1224</v>
      </c>
      <c r="E32" t="s">
        <v>1453</v>
      </c>
      <c r="G32" t="s">
        <v>1274</v>
      </c>
      <c r="H32" t="s">
        <v>1284</v>
      </c>
      <c r="J32" t="s">
        <v>1579</v>
      </c>
      <c r="K32" t="s">
        <v>1524</v>
      </c>
      <c r="L32" t="s">
        <v>1493</v>
      </c>
      <c r="M32" t="s">
        <v>1598</v>
      </c>
      <c r="N32" t="s">
        <v>1584</v>
      </c>
      <c r="O32" t="s">
        <v>1458</v>
      </c>
      <c r="P32" t="s">
        <v>1599</v>
      </c>
      <c r="S32" t="s">
        <v>2273</v>
      </c>
      <c r="T32" t="str">
        <f t="shared" si="0"/>
        <v>Are financial instruments, such as hedging or long-term contracts, used to manage risks in vegetable oil procurement?_Supplier Risk Rating</v>
      </c>
    </row>
    <row r="33" spans="1:20" x14ac:dyDescent="0.35">
      <c r="A33">
        <v>7</v>
      </c>
      <c r="B33" t="s">
        <v>1451</v>
      </c>
      <c r="C33" t="s">
        <v>1452</v>
      </c>
      <c r="D33" t="s">
        <v>1224</v>
      </c>
      <c r="E33" t="s">
        <v>1453</v>
      </c>
      <c r="G33" t="s">
        <v>1274</v>
      </c>
      <c r="H33" t="s">
        <v>1278</v>
      </c>
      <c r="J33" t="s">
        <v>1331</v>
      </c>
      <c r="K33" t="s">
        <v>1454</v>
      </c>
      <c r="L33" t="s">
        <v>1456</v>
      </c>
      <c r="M33" t="s">
        <v>1601</v>
      </c>
      <c r="N33" t="s">
        <v>1584</v>
      </c>
      <c r="O33" t="s">
        <v>1458</v>
      </c>
      <c r="P33" t="s">
        <v>1582</v>
      </c>
      <c r="Q33" t="s">
        <v>1583</v>
      </c>
      <c r="S33" t="s">
        <v>2267</v>
      </c>
      <c r="T33" t="str">
        <f t="shared" si="0"/>
        <v>Have you considered shifting sourcing origins to take advantage of cost or availability benefits? If so, what challenges have you faced?_Regional Spend Addressability</v>
      </c>
    </row>
    <row r="34" spans="1:20" x14ac:dyDescent="0.35">
      <c r="A34">
        <v>7</v>
      </c>
      <c r="B34" t="s">
        <v>1451</v>
      </c>
      <c r="C34" t="s">
        <v>1452</v>
      </c>
      <c r="D34" t="s">
        <v>1224</v>
      </c>
      <c r="E34" t="s">
        <v>1453</v>
      </c>
      <c r="G34" t="s">
        <v>1274</v>
      </c>
      <c r="H34" t="s">
        <v>1278</v>
      </c>
      <c r="J34" t="s">
        <v>1331</v>
      </c>
      <c r="K34" t="s">
        <v>1475</v>
      </c>
      <c r="L34" t="s">
        <v>1456</v>
      </c>
      <c r="M34" t="s">
        <v>1606</v>
      </c>
      <c r="N34" t="s">
        <v>1584</v>
      </c>
      <c r="O34" t="s">
        <v>1458</v>
      </c>
      <c r="P34" t="s">
        <v>1446</v>
      </c>
      <c r="Q34" t="s">
        <v>1607</v>
      </c>
      <c r="S34" t="s">
        <v>2279</v>
      </c>
      <c r="T34" t="str">
        <f t="shared" si="0"/>
        <v>Have you considered shifting sourcing origins to take advantage of cost or availability benefits? If so, what challenges have you faced?_Geographic Sourcing Optimization for Cost Reduction</v>
      </c>
    </row>
    <row r="35" spans="1:20" x14ac:dyDescent="0.35">
      <c r="A35">
        <v>7</v>
      </c>
      <c r="B35" t="s">
        <v>1451</v>
      </c>
      <c r="C35" t="s">
        <v>1452</v>
      </c>
      <c r="D35" t="s">
        <v>1224</v>
      </c>
      <c r="E35" t="s">
        <v>1453</v>
      </c>
      <c r="G35" t="s">
        <v>1274</v>
      </c>
      <c r="H35" t="s">
        <v>1278</v>
      </c>
      <c r="J35" t="s">
        <v>1331</v>
      </c>
      <c r="K35" t="s">
        <v>1504</v>
      </c>
      <c r="L35" t="s">
        <v>1493</v>
      </c>
      <c r="M35" t="s">
        <v>1608</v>
      </c>
      <c r="N35" t="s">
        <v>1584</v>
      </c>
      <c r="O35" t="s">
        <v>1458</v>
      </c>
      <c r="S35" t="s">
        <v>2277</v>
      </c>
      <c r="T35" t="str">
        <f t="shared" si="0"/>
        <v>Have you considered shifting sourcing origins to take advantage of cost or availability benefits? If so, what challenges have you faced?_Export Data</v>
      </c>
    </row>
    <row r="36" spans="1:20" x14ac:dyDescent="0.35">
      <c r="A36">
        <v>7</v>
      </c>
      <c r="B36" t="s">
        <v>1451</v>
      </c>
      <c r="C36" t="s">
        <v>1452</v>
      </c>
      <c r="D36" t="s">
        <v>1224</v>
      </c>
      <c r="E36" t="s">
        <v>1453</v>
      </c>
      <c r="G36" t="s">
        <v>1274</v>
      </c>
      <c r="H36" t="s">
        <v>1278</v>
      </c>
      <c r="J36" t="s">
        <v>1331</v>
      </c>
      <c r="K36" t="s">
        <v>1506</v>
      </c>
      <c r="L36" t="s">
        <v>1493</v>
      </c>
      <c r="M36" t="s">
        <v>1609</v>
      </c>
      <c r="N36" t="s">
        <v>1584</v>
      </c>
      <c r="O36" t="s">
        <v>1458</v>
      </c>
      <c r="P36" t="s">
        <v>1446</v>
      </c>
      <c r="Q36" t="s">
        <v>1541</v>
      </c>
      <c r="S36" t="s">
        <v>2274</v>
      </c>
      <c r="T36" t="str">
        <f t="shared" si="0"/>
        <v>Have you considered shifting sourcing origins to take advantage of cost or availability benefits? If so, what challenges have you faced?_Tariff Rate</v>
      </c>
    </row>
    <row r="37" spans="1:20" x14ac:dyDescent="0.35">
      <c r="A37">
        <v>7</v>
      </c>
      <c r="B37" t="s">
        <v>1451</v>
      </c>
      <c r="C37" t="s">
        <v>1452</v>
      </c>
      <c r="D37" t="s">
        <v>1224</v>
      </c>
      <c r="E37" t="s">
        <v>1453</v>
      </c>
      <c r="G37" t="s">
        <v>1274</v>
      </c>
      <c r="H37" t="s">
        <v>1278</v>
      </c>
      <c r="J37" t="s">
        <v>1331</v>
      </c>
      <c r="K37" t="s">
        <v>1508</v>
      </c>
      <c r="L37" t="s">
        <v>1493</v>
      </c>
      <c r="M37" t="s">
        <v>1610</v>
      </c>
      <c r="N37" t="s">
        <v>1584</v>
      </c>
      <c r="O37" t="s">
        <v>1458</v>
      </c>
      <c r="P37" t="s">
        <v>1446</v>
      </c>
      <c r="Q37" t="s">
        <v>1611</v>
      </c>
      <c r="S37" t="s">
        <v>2275</v>
      </c>
      <c r="T37" t="str">
        <f t="shared" si="0"/>
        <v>Have you considered shifting sourcing origins to take advantage of cost or availability benefits? If so, what challenges have you faced?_Cost Structure</v>
      </c>
    </row>
    <row r="38" spans="1:20" x14ac:dyDescent="0.35">
      <c r="A38">
        <v>7</v>
      </c>
      <c r="B38" t="s">
        <v>1451</v>
      </c>
      <c r="C38" t="s">
        <v>1452</v>
      </c>
      <c r="D38" t="s">
        <v>1224</v>
      </c>
      <c r="E38" t="s">
        <v>1453</v>
      </c>
      <c r="G38" t="s">
        <v>1274</v>
      </c>
      <c r="H38" t="s">
        <v>1278</v>
      </c>
      <c r="J38" t="s">
        <v>1331</v>
      </c>
      <c r="K38" t="s">
        <v>1510</v>
      </c>
      <c r="L38" t="s">
        <v>1493</v>
      </c>
      <c r="M38" t="s">
        <v>1612</v>
      </c>
      <c r="N38" t="s">
        <v>1584</v>
      </c>
      <c r="O38" t="s">
        <v>1458</v>
      </c>
      <c r="P38" t="s">
        <v>1446</v>
      </c>
      <c r="Q38" t="s">
        <v>1611</v>
      </c>
      <c r="S38" t="s">
        <v>2279</v>
      </c>
      <c r="T38" t="str">
        <f t="shared" si="0"/>
        <v>Have you considered shifting sourcing origins to take advantage of cost or availability benefits? If so, what challenges have you faced?_Inflation</v>
      </c>
    </row>
    <row r="39" spans="1:20" x14ac:dyDescent="0.35">
      <c r="A39">
        <v>7</v>
      </c>
      <c r="B39" t="s">
        <v>1451</v>
      </c>
      <c r="C39" t="s">
        <v>1452</v>
      </c>
      <c r="D39" t="s">
        <v>1224</v>
      </c>
      <c r="E39" t="s">
        <v>1453</v>
      </c>
      <c r="G39" t="s">
        <v>1274</v>
      </c>
      <c r="H39" t="s">
        <v>1278</v>
      </c>
      <c r="J39" t="s">
        <v>1331</v>
      </c>
      <c r="K39" t="s">
        <v>1511</v>
      </c>
      <c r="L39" t="s">
        <v>1493</v>
      </c>
      <c r="M39" t="s">
        <v>1613</v>
      </c>
      <c r="N39" t="s">
        <v>1584</v>
      </c>
      <c r="O39" t="s">
        <v>1458</v>
      </c>
      <c r="P39" t="s">
        <v>1446</v>
      </c>
      <c r="Q39" t="s">
        <v>1611</v>
      </c>
      <c r="S39" t="s">
        <v>2279</v>
      </c>
      <c r="T39" t="str">
        <f t="shared" si="0"/>
        <v>Have you considered shifting sourcing origins to take advantage of cost or availability benefits? If so, what challenges have you faced?_Exchange Rate</v>
      </c>
    </row>
    <row r="40" spans="1:20" x14ac:dyDescent="0.35">
      <c r="A40">
        <v>7</v>
      </c>
      <c r="B40" t="s">
        <v>1451</v>
      </c>
      <c r="C40" t="s">
        <v>1452</v>
      </c>
      <c r="D40" t="s">
        <v>1224</v>
      </c>
      <c r="E40" t="s">
        <v>1453</v>
      </c>
      <c r="G40" t="s">
        <v>1274</v>
      </c>
      <c r="H40" t="s">
        <v>1278</v>
      </c>
      <c r="J40" t="s">
        <v>1331</v>
      </c>
      <c r="K40" t="s">
        <v>1512</v>
      </c>
      <c r="L40" t="s">
        <v>1493</v>
      </c>
      <c r="M40" t="s">
        <v>1614</v>
      </c>
      <c r="N40" t="s">
        <v>1584</v>
      </c>
      <c r="O40" t="s">
        <v>1458</v>
      </c>
      <c r="P40" t="s">
        <v>1449</v>
      </c>
      <c r="Q40" t="s">
        <v>1596</v>
      </c>
      <c r="S40" t="s">
        <v>2279</v>
      </c>
      <c r="T40" t="str">
        <f t="shared" si="0"/>
        <v>Have you considered shifting sourcing origins to take advantage of cost or availability benefits? If so, what challenges have you faced?_Geo Political Risk</v>
      </c>
    </row>
    <row r="41" spans="1:20" x14ac:dyDescent="0.35">
      <c r="A41">
        <v>7</v>
      </c>
      <c r="B41" t="s">
        <v>1451</v>
      </c>
      <c r="C41" t="s">
        <v>1452</v>
      </c>
      <c r="D41" t="s">
        <v>1224</v>
      </c>
      <c r="E41" t="s">
        <v>1453</v>
      </c>
      <c r="G41" t="s">
        <v>1274</v>
      </c>
      <c r="H41" t="s">
        <v>1278</v>
      </c>
      <c r="J41" t="s">
        <v>1331</v>
      </c>
      <c r="K41" t="s">
        <v>1514</v>
      </c>
      <c r="L41" t="s">
        <v>1493</v>
      </c>
      <c r="M41" t="s">
        <v>1615</v>
      </c>
      <c r="N41" t="s">
        <v>1584</v>
      </c>
      <c r="O41" t="s">
        <v>1458</v>
      </c>
      <c r="P41" t="s">
        <v>1446</v>
      </c>
      <c r="Q41" t="s">
        <v>1547</v>
      </c>
      <c r="S41" t="s">
        <v>2276</v>
      </c>
      <c r="T41" t="str">
        <f t="shared" si="0"/>
        <v>Have you considered shifting sourcing origins to take advantage of cost or availability benefits? If so, what challenges have you faced?_Unit Price</v>
      </c>
    </row>
    <row r="42" spans="1:20" x14ac:dyDescent="0.35">
      <c r="A42">
        <v>8</v>
      </c>
      <c r="B42" t="s">
        <v>1451</v>
      </c>
      <c r="C42" t="s">
        <v>1452</v>
      </c>
      <c r="D42" t="s">
        <v>1224</v>
      </c>
      <c r="E42" t="s">
        <v>1453</v>
      </c>
      <c r="G42" t="s">
        <v>1269</v>
      </c>
      <c r="H42" t="s">
        <v>1270</v>
      </c>
      <c r="I42">
        <v>0.15</v>
      </c>
      <c r="J42" t="s">
        <v>1630</v>
      </c>
      <c r="K42" t="s">
        <v>1463</v>
      </c>
      <c r="L42" t="s">
        <v>1456</v>
      </c>
      <c r="M42" t="s">
        <v>2280</v>
      </c>
      <c r="N42" t="s">
        <v>1584</v>
      </c>
      <c r="O42" t="s">
        <v>1458</v>
      </c>
      <c r="S42" t="s">
        <v>1746</v>
      </c>
      <c r="T42" t="str">
        <f t="shared" si="0"/>
        <v>To what degree is the spend across suppliers concentrated within this category?_Single Sourcing / Supplier Dependency Risk</v>
      </c>
    </row>
    <row r="43" spans="1:20" x14ac:dyDescent="0.35">
      <c r="A43">
        <v>8</v>
      </c>
      <c r="B43" t="s">
        <v>1451</v>
      </c>
      <c r="C43" t="s">
        <v>1452</v>
      </c>
      <c r="D43" t="s">
        <v>1224</v>
      </c>
      <c r="E43" t="s">
        <v>1453</v>
      </c>
      <c r="G43" t="s">
        <v>1269</v>
      </c>
      <c r="H43" t="s">
        <v>1270</v>
      </c>
      <c r="I43">
        <v>0.15</v>
      </c>
      <c r="J43" t="s">
        <v>1630</v>
      </c>
      <c r="K43" t="s">
        <v>1639</v>
      </c>
      <c r="L43" t="s">
        <v>1493</v>
      </c>
      <c r="M43" t="s">
        <v>2281</v>
      </c>
      <c r="N43" t="s">
        <v>1584</v>
      </c>
      <c r="O43" t="s">
        <v>1458</v>
      </c>
      <c r="S43" t="s">
        <v>2279</v>
      </c>
      <c r="T43" t="str">
        <f t="shared" si="0"/>
        <v>To what degree is the spend across suppliers concentrated within this category?_Market consolidation</v>
      </c>
    </row>
    <row r="44" spans="1:20" x14ac:dyDescent="0.35">
      <c r="A44">
        <v>9</v>
      </c>
      <c r="B44" t="s">
        <v>1451</v>
      </c>
      <c r="C44" t="s">
        <v>1452</v>
      </c>
      <c r="D44" t="s">
        <v>1224</v>
      </c>
      <c r="E44" t="s">
        <v>1453</v>
      </c>
      <c r="G44" t="s">
        <v>1269</v>
      </c>
      <c r="H44" t="s">
        <v>1272</v>
      </c>
      <c r="I44">
        <v>0.35</v>
      </c>
      <c r="J44" t="s">
        <v>1641</v>
      </c>
      <c r="K44" t="s">
        <v>1524</v>
      </c>
      <c r="L44" t="s">
        <v>1456</v>
      </c>
      <c r="M44" t="s">
        <v>2011</v>
      </c>
      <c r="N44" t="s">
        <v>1584</v>
      </c>
      <c r="O44" t="s">
        <v>1458</v>
      </c>
      <c r="S44" t="s">
        <v>2273</v>
      </c>
      <c r="T44" t="str">
        <f t="shared" si="0"/>
        <v>What is the average (weight avg) financial risk profile of top suppliers? (suppliers covering top 80% spend)_Supplier Risk Rating</v>
      </c>
    </row>
    <row r="45" spans="1:20" x14ac:dyDescent="0.35">
      <c r="A45">
        <v>10</v>
      </c>
      <c r="B45" t="s">
        <v>1451</v>
      </c>
      <c r="C45" t="s">
        <v>1452</v>
      </c>
      <c r="D45" t="s">
        <v>1224</v>
      </c>
      <c r="E45" t="s">
        <v>1453</v>
      </c>
      <c r="G45" t="s">
        <v>1269</v>
      </c>
      <c r="H45" t="s">
        <v>1273</v>
      </c>
      <c r="I45">
        <v>0.25</v>
      </c>
      <c r="J45" t="s">
        <v>1641</v>
      </c>
      <c r="K45" t="s">
        <v>1512</v>
      </c>
      <c r="L45" t="s">
        <v>1493</v>
      </c>
      <c r="M45" t="s">
        <v>2282</v>
      </c>
      <c r="N45" t="s">
        <v>1584</v>
      </c>
      <c r="O45" t="s">
        <v>1458</v>
      </c>
      <c r="S45" t="s">
        <v>2279</v>
      </c>
      <c r="T45" t="str">
        <f t="shared" si="0"/>
        <v>What is the average (weighted avg) regional / geopoltical risk score across top suppliers?_Geo Political Risk</v>
      </c>
    </row>
    <row r="46" spans="1:20" x14ac:dyDescent="0.35">
      <c r="A46">
        <v>11</v>
      </c>
      <c r="B46" t="s">
        <v>1451</v>
      </c>
      <c r="C46" t="s">
        <v>1452</v>
      </c>
      <c r="D46" t="s">
        <v>1224</v>
      </c>
      <c r="E46" t="s">
        <v>1453</v>
      </c>
      <c r="G46" t="s">
        <v>1269</v>
      </c>
      <c r="H46" t="s">
        <v>1271</v>
      </c>
      <c r="I46">
        <v>0.25</v>
      </c>
      <c r="K46" t="s">
        <v>1477</v>
      </c>
      <c r="L46" t="s">
        <v>1456</v>
      </c>
      <c r="M46" t="s">
        <v>2283</v>
      </c>
      <c r="N46" t="s">
        <v>1584</v>
      </c>
      <c r="O46" t="s">
        <v>1458</v>
      </c>
      <c r="S46" t="s">
        <v>2269</v>
      </c>
      <c r="T46" t="str">
        <f t="shared" si="0"/>
        <v xml:space="preserve">To what degree is there a risk to prices for the major supply gerographies for this category?_Price Variance for Identical Items/SKUs </v>
      </c>
    </row>
    <row r="47" spans="1:20" x14ac:dyDescent="0.35">
      <c r="A47">
        <v>11</v>
      </c>
      <c r="B47" t="s">
        <v>1451</v>
      </c>
      <c r="C47" t="s">
        <v>1452</v>
      </c>
      <c r="D47" t="s">
        <v>1224</v>
      </c>
      <c r="E47" t="s">
        <v>1453</v>
      </c>
      <c r="G47" t="s">
        <v>1269</v>
      </c>
      <c r="H47" t="s">
        <v>1271</v>
      </c>
      <c r="I47">
        <v>0.25</v>
      </c>
      <c r="K47" t="s">
        <v>1501</v>
      </c>
      <c r="L47" t="s">
        <v>1493</v>
      </c>
      <c r="M47" t="s">
        <v>2284</v>
      </c>
      <c r="N47" t="s">
        <v>1584</v>
      </c>
      <c r="O47" t="s">
        <v>1458</v>
      </c>
      <c r="S47" t="s">
        <v>2279</v>
      </c>
      <c r="T47" t="str">
        <f t="shared" si="0"/>
        <v>To what degree is there a risk to prices for the major supply gerographies for this category?_Net Supply</v>
      </c>
    </row>
    <row r="48" spans="1:20" x14ac:dyDescent="0.35">
      <c r="A48">
        <v>11</v>
      </c>
      <c r="B48" t="s">
        <v>1451</v>
      </c>
      <c r="C48" t="s">
        <v>1452</v>
      </c>
      <c r="D48" t="s">
        <v>1224</v>
      </c>
      <c r="E48" t="s">
        <v>1453</v>
      </c>
      <c r="G48" t="s">
        <v>1269</v>
      </c>
      <c r="H48" t="s">
        <v>1271</v>
      </c>
      <c r="I48">
        <v>0.25</v>
      </c>
      <c r="K48" t="s">
        <v>1502</v>
      </c>
      <c r="L48" t="s">
        <v>1493</v>
      </c>
      <c r="M48" t="s">
        <v>2285</v>
      </c>
      <c r="N48" t="s">
        <v>1584</v>
      </c>
      <c r="O48" t="s">
        <v>1458</v>
      </c>
      <c r="S48" t="s">
        <v>2279</v>
      </c>
      <c r="T48" t="str">
        <f t="shared" si="0"/>
        <v>To what degree is there a risk to prices for the major supply gerographies for this category?_Net Capacity</v>
      </c>
    </row>
    <row r="49" spans="1:20" x14ac:dyDescent="0.35">
      <c r="A49">
        <v>11</v>
      </c>
      <c r="B49" t="s">
        <v>1451</v>
      </c>
      <c r="C49" t="s">
        <v>1452</v>
      </c>
      <c r="D49" t="s">
        <v>1224</v>
      </c>
      <c r="E49" t="s">
        <v>1453</v>
      </c>
      <c r="G49" t="s">
        <v>1269</v>
      </c>
      <c r="H49" t="s">
        <v>1271</v>
      </c>
      <c r="I49">
        <v>0.25</v>
      </c>
      <c r="K49" t="s">
        <v>1503</v>
      </c>
      <c r="L49" t="s">
        <v>1493</v>
      </c>
      <c r="M49" t="s">
        <v>2286</v>
      </c>
      <c r="N49" t="s">
        <v>1584</v>
      </c>
      <c r="O49" t="s">
        <v>1458</v>
      </c>
      <c r="S49" t="s">
        <v>2279</v>
      </c>
      <c r="T49" t="str">
        <f t="shared" si="0"/>
        <v>To what degree is there a risk to prices for the major supply gerographies for this category?_Net Demand</v>
      </c>
    </row>
    <row r="50" spans="1:20" x14ac:dyDescent="0.35">
      <c r="A50">
        <v>11</v>
      </c>
      <c r="B50" t="s">
        <v>1451</v>
      </c>
      <c r="C50" t="s">
        <v>1452</v>
      </c>
      <c r="D50" t="s">
        <v>1224</v>
      </c>
      <c r="E50" t="s">
        <v>1453</v>
      </c>
      <c r="G50" t="s">
        <v>1269</v>
      </c>
      <c r="H50" t="s">
        <v>1271</v>
      </c>
      <c r="I50">
        <v>0.25</v>
      </c>
      <c r="K50" t="s">
        <v>1506</v>
      </c>
      <c r="L50" t="s">
        <v>1493</v>
      </c>
      <c r="M50" t="s">
        <v>1540</v>
      </c>
      <c r="N50" t="s">
        <v>1584</v>
      </c>
      <c r="O50" t="s">
        <v>1458</v>
      </c>
      <c r="S50" t="s">
        <v>2274</v>
      </c>
      <c r="T50" t="str">
        <f t="shared" si="0"/>
        <v>To what degree is there a risk to prices for the major supply gerographies for this category?_Tariff Rate</v>
      </c>
    </row>
    <row r="51" spans="1:20" x14ac:dyDescent="0.35">
      <c r="A51">
        <v>11</v>
      </c>
      <c r="B51" t="s">
        <v>1451</v>
      </c>
      <c r="C51" t="s">
        <v>1452</v>
      </c>
      <c r="D51" t="s">
        <v>1224</v>
      </c>
      <c r="E51" t="s">
        <v>1453</v>
      </c>
      <c r="G51" t="s">
        <v>1269</v>
      </c>
      <c r="H51" t="s">
        <v>1271</v>
      </c>
      <c r="I51">
        <v>0.25</v>
      </c>
      <c r="K51" t="s">
        <v>1507</v>
      </c>
      <c r="L51" t="s">
        <v>1493</v>
      </c>
      <c r="M51" t="s">
        <v>2287</v>
      </c>
      <c r="N51" t="s">
        <v>1584</v>
      </c>
      <c r="O51" t="s">
        <v>1458</v>
      </c>
      <c r="S51" t="s">
        <v>2279</v>
      </c>
      <c r="T51" t="str">
        <f t="shared" si="0"/>
        <v>To what degree is there a risk to prices for the major supply gerographies for this category?_Other Trade Rate (Customs Duty)</v>
      </c>
    </row>
    <row r="52" spans="1:20" x14ac:dyDescent="0.35">
      <c r="A52">
        <v>11</v>
      </c>
      <c r="B52" t="s">
        <v>1451</v>
      </c>
      <c r="C52" t="s">
        <v>1452</v>
      </c>
      <c r="D52" t="s">
        <v>1224</v>
      </c>
      <c r="E52" t="s">
        <v>1453</v>
      </c>
      <c r="G52" t="s">
        <v>1269</v>
      </c>
      <c r="H52" t="s">
        <v>1271</v>
      </c>
      <c r="I52">
        <v>0.25</v>
      </c>
      <c r="K52" t="s">
        <v>1508</v>
      </c>
      <c r="L52" t="s">
        <v>1493</v>
      </c>
      <c r="M52" t="s">
        <v>2288</v>
      </c>
      <c r="N52" t="s">
        <v>1584</v>
      </c>
      <c r="O52" t="s">
        <v>1458</v>
      </c>
      <c r="S52" t="s">
        <v>2275</v>
      </c>
      <c r="T52" t="str">
        <f t="shared" si="0"/>
        <v>To what degree is there a risk to prices for the major supply gerographies for this category?_Cost Structure</v>
      </c>
    </row>
    <row r="53" spans="1:20" x14ac:dyDescent="0.35">
      <c r="A53">
        <v>11</v>
      </c>
      <c r="B53" t="s">
        <v>1451</v>
      </c>
      <c r="C53" t="s">
        <v>1452</v>
      </c>
      <c r="D53" t="s">
        <v>1224</v>
      </c>
      <c r="E53" t="s">
        <v>1453</v>
      </c>
      <c r="G53" t="s">
        <v>1269</v>
      </c>
      <c r="H53" t="s">
        <v>1271</v>
      </c>
      <c r="I53">
        <v>0.25</v>
      </c>
      <c r="K53" t="s">
        <v>1510</v>
      </c>
      <c r="L53" t="s">
        <v>1493</v>
      </c>
      <c r="M53" t="s">
        <v>2289</v>
      </c>
      <c r="N53" t="s">
        <v>1584</v>
      </c>
      <c r="O53" t="s">
        <v>1458</v>
      </c>
      <c r="S53" t="s">
        <v>2279</v>
      </c>
      <c r="T53" t="str">
        <f t="shared" si="0"/>
        <v>To what degree is there a risk to prices for the major supply gerographies for this category?_Inflation</v>
      </c>
    </row>
    <row r="54" spans="1:20" x14ac:dyDescent="0.35">
      <c r="A54">
        <v>11</v>
      </c>
      <c r="B54" t="s">
        <v>1451</v>
      </c>
      <c r="C54" t="s">
        <v>1452</v>
      </c>
      <c r="D54" t="s">
        <v>1224</v>
      </c>
      <c r="E54" t="s">
        <v>1453</v>
      </c>
      <c r="G54" t="s">
        <v>1269</v>
      </c>
      <c r="H54" t="s">
        <v>1271</v>
      </c>
      <c r="I54">
        <v>0.25</v>
      </c>
      <c r="K54" t="s">
        <v>1671</v>
      </c>
      <c r="L54" t="s">
        <v>1493</v>
      </c>
      <c r="M54" t="s">
        <v>2290</v>
      </c>
      <c r="N54" t="s">
        <v>1584</v>
      </c>
      <c r="O54" t="s">
        <v>1458</v>
      </c>
      <c r="S54" t="s">
        <v>2279</v>
      </c>
      <c r="T54" t="str">
        <f t="shared" si="0"/>
        <v>To what degree is there a risk to prices for the major supply gerographies for this category?_Unit price</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DD3C1-5351-4BA5-9A60-1618C8A123B3}">
  <dimension ref="A2:Q86"/>
  <sheetViews>
    <sheetView workbookViewId="0">
      <selection activeCell="B13" sqref="B13"/>
    </sheetView>
  </sheetViews>
  <sheetFormatPr defaultRowHeight="14.5" x14ac:dyDescent="0.35"/>
  <cols>
    <col min="1" max="1" width="66.1796875" style="18" bestFit="1" customWidth="1"/>
    <col min="2" max="2" width="18" bestFit="1" customWidth="1"/>
    <col min="3" max="3" width="111.26953125" bestFit="1" customWidth="1"/>
    <col min="4" max="4" width="114.7265625" bestFit="1" customWidth="1"/>
    <col min="5" max="5" width="112.26953125" bestFit="1" customWidth="1"/>
    <col min="6" max="6" width="115.7265625" bestFit="1" customWidth="1"/>
    <col min="7" max="7" width="123.81640625" bestFit="1" customWidth="1"/>
    <col min="8" max="8" width="127.1796875" bestFit="1" customWidth="1"/>
    <col min="9" max="9" width="126.1796875" bestFit="1" customWidth="1"/>
    <col min="10" max="10" width="129.453125" bestFit="1" customWidth="1"/>
    <col min="11" max="11" width="104.7265625" customWidth="1"/>
    <col min="12" max="12" width="107.81640625" customWidth="1"/>
    <col min="13" max="13" width="86.26953125" customWidth="1"/>
    <col min="14" max="14" width="89.54296875" customWidth="1"/>
    <col min="15" max="15" width="120.26953125" customWidth="1"/>
    <col min="16" max="16" width="123.54296875" customWidth="1"/>
    <col min="17" max="17" width="11.7265625" customWidth="1"/>
    <col min="18" max="18" width="60" customWidth="1"/>
    <col min="19" max="19" width="20.7265625" customWidth="1"/>
    <col min="20" max="20" width="19.81640625" customWidth="1"/>
    <col min="21" max="21" width="16.1796875" customWidth="1"/>
    <col min="22" max="22" width="11.54296875" customWidth="1"/>
    <col min="23" max="24" width="12.453125" customWidth="1"/>
    <col min="25" max="25" width="10.81640625" customWidth="1"/>
    <col min="26" max="26" width="34.7265625" customWidth="1"/>
    <col min="27" max="27" width="31.453125" customWidth="1"/>
    <col min="28" max="28" width="37.26953125" customWidth="1"/>
    <col min="29" max="29" width="13" customWidth="1"/>
    <col min="30" max="30" width="28.54296875" customWidth="1"/>
    <col min="31" max="31" width="40.54296875" customWidth="1"/>
    <col min="32" max="32" width="10.81640625" customWidth="1"/>
    <col min="33" max="33" width="57" customWidth="1"/>
    <col min="34" max="34" width="26.81640625" customWidth="1"/>
    <col min="35" max="35" width="17.54296875" customWidth="1"/>
    <col min="36" max="36" width="16.7265625" customWidth="1"/>
    <col min="37" max="37" width="14.453125" customWidth="1"/>
    <col min="38" max="38" width="19" customWidth="1"/>
    <col min="39" max="39" width="67.81640625" customWidth="1"/>
    <col min="40" max="40" width="10.453125" customWidth="1"/>
    <col min="41" max="41" width="9.81640625" customWidth="1"/>
    <col min="42" max="42" width="48.26953125" customWidth="1"/>
    <col min="43" max="43" width="11.7265625" customWidth="1"/>
    <col min="44" max="59" width="7.26953125" customWidth="1"/>
  </cols>
  <sheetData>
    <row r="2" spans="1:17" x14ac:dyDescent="0.35">
      <c r="B2" s="18"/>
      <c r="C2" s="212" t="s">
        <v>1393</v>
      </c>
      <c r="D2" s="153" t="s">
        <v>1389</v>
      </c>
    </row>
    <row r="3" spans="1:17" x14ac:dyDescent="0.35">
      <c r="B3" s="18"/>
      <c r="C3" t="s">
        <v>1284</v>
      </c>
      <c r="D3" t="s">
        <v>2291</v>
      </c>
      <c r="E3" t="s">
        <v>1285</v>
      </c>
      <c r="F3" t="s">
        <v>2292</v>
      </c>
      <c r="G3" t="s">
        <v>1279</v>
      </c>
      <c r="H3" t="s">
        <v>2293</v>
      </c>
      <c r="I3" t="s">
        <v>1278</v>
      </c>
      <c r="J3" t="s">
        <v>2294</v>
      </c>
      <c r="K3" t="s">
        <v>1281</v>
      </c>
      <c r="L3" t="s">
        <v>2295</v>
      </c>
      <c r="M3" t="s">
        <v>1289</v>
      </c>
      <c r="N3" t="s">
        <v>2296</v>
      </c>
      <c r="O3" t="s">
        <v>1292</v>
      </c>
      <c r="P3" t="s">
        <v>2297</v>
      </c>
      <c r="Q3" t="s">
        <v>1295</v>
      </c>
    </row>
    <row r="4" spans="1:17" x14ac:dyDescent="0.35">
      <c r="A4" s="153" t="s">
        <v>1424</v>
      </c>
      <c r="B4" s="153" t="s">
        <v>1426</v>
      </c>
      <c r="C4">
        <v>6</v>
      </c>
      <c r="E4">
        <v>4</v>
      </c>
      <c r="G4">
        <v>3</v>
      </c>
      <c r="I4">
        <v>7</v>
      </c>
      <c r="K4">
        <v>5</v>
      </c>
      <c r="M4">
        <v>2</v>
      </c>
      <c r="O4">
        <v>1</v>
      </c>
    </row>
    <row r="5" spans="1:17" x14ac:dyDescent="0.35">
      <c r="A5" t="s">
        <v>1528</v>
      </c>
      <c r="B5" t="s">
        <v>1493</v>
      </c>
    </row>
    <row r="6" spans="1:17" x14ac:dyDescent="0.35">
      <c r="A6" t="s">
        <v>1532</v>
      </c>
      <c r="B6" t="s">
        <v>1493</v>
      </c>
    </row>
    <row r="7" spans="1:17" x14ac:dyDescent="0.35">
      <c r="A7" t="s">
        <v>1483</v>
      </c>
      <c r="B7" t="s">
        <v>1456</v>
      </c>
    </row>
    <row r="8" spans="1:17" x14ac:dyDescent="0.35">
      <c r="A8" t="s">
        <v>1500</v>
      </c>
      <c r="B8" t="s">
        <v>1493</v>
      </c>
    </row>
    <row r="9" spans="1:17" x14ac:dyDescent="0.35">
      <c r="A9" t="s">
        <v>1488</v>
      </c>
      <c r="B9" t="s">
        <v>1456</v>
      </c>
    </row>
    <row r="10" spans="1:17" x14ac:dyDescent="0.35">
      <c r="A10" t="s">
        <v>1499</v>
      </c>
      <c r="B10" t="s">
        <v>1493</v>
      </c>
    </row>
    <row r="11" spans="1:17" x14ac:dyDescent="0.35">
      <c r="A11" t="s">
        <v>1529</v>
      </c>
      <c r="B11" t="s">
        <v>1493</v>
      </c>
    </row>
    <row r="12" spans="1:17" x14ac:dyDescent="0.35">
      <c r="A12" t="s">
        <v>1508</v>
      </c>
      <c r="B12" t="s">
        <v>1493</v>
      </c>
    </row>
    <row r="13" spans="1:17" x14ac:dyDescent="0.35">
      <c r="A13" t="s">
        <v>1531</v>
      </c>
      <c r="B13" t="s">
        <v>1493</v>
      </c>
    </row>
    <row r="14" spans="1:17" x14ac:dyDescent="0.35">
      <c r="A14" t="s">
        <v>1511</v>
      </c>
      <c r="B14" t="s">
        <v>1493</v>
      </c>
    </row>
    <row r="15" spans="1:17" x14ac:dyDescent="0.35">
      <c r="A15" t="s">
        <v>1504</v>
      </c>
      <c r="B15" t="s">
        <v>1493</v>
      </c>
    </row>
    <row r="16" spans="1:17" x14ac:dyDescent="0.35">
      <c r="A16" t="s">
        <v>1509</v>
      </c>
      <c r="B16" t="s">
        <v>1493</v>
      </c>
    </row>
    <row r="17" spans="1:2" x14ac:dyDescent="0.35">
      <c r="A17" t="s">
        <v>1512</v>
      </c>
      <c r="B17" t="s">
        <v>1493</v>
      </c>
    </row>
    <row r="18" spans="1:2" x14ac:dyDescent="0.35">
      <c r="A18" t="s">
        <v>1475</v>
      </c>
      <c r="B18" t="s">
        <v>1456</v>
      </c>
    </row>
    <row r="19" spans="1:2" x14ac:dyDescent="0.35">
      <c r="A19" t="s">
        <v>1505</v>
      </c>
      <c r="B19" t="s">
        <v>1493</v>
      </c>
    </row>
    <row r="20" spans="1:2" x14ac:dyDescent="0.35">
      <c r="A20" t="s">
        <v>1510</v>
      </c>
      <c r="B20" t="s">
        <v>1493</v>
      </c>
    </row>
    <row r="21" spans="1:2" x14ac:dyDescent="0.35">
      <c r="A21" t="s">
        <v>1481</v>
      </c>
      <c r="B21" t="s">
        <v>1456</v>
      </c>
    </row>
    <row r="22" spans="1:2" x14ac:dyDescent="0.35">
      <c r="A22" t="s">
        <v>1496</v>
      </c>
      <c r="B22" t="s">
        <v>1493</v>
      </c>
    </row>
    <row r="23" spans="1:2" x14ac:dyDescent="0.35">
      <c r="A23" t="s">
        <v>1494</v>
      </c>
      <c r="B23" t="s">
        <v>1493</v>
      </c>
    </row>
    <row r="24" spans="1:2" x14ac:dyDescent="0.35">
      <c r="A24" t="s">
        <v>1495</v>
      </c>
      <c r="B24" t="s">
        <v>1493</v>
      </c>
    </row>
    <row r="25" spans="1:2" x14ac:dyDescent="0.35">
      <c r="A25" t="s">
        <v>1492</v>
      </c>
      <c r="B25" t="s">
        <v>1493</v>
      </c>
    </row>
    <row r="26" spans="1:2" x14ac:dyDescent="0.35">
      <c r="A26" t="s">
        <v>1502</v>
      </c>
      <c r="B26" t="s">
        <v>1493</v>
      </c>
    </row>
    <row r="27" spans="1:2" x14ac:dyDescent="0.35">
      <c r="A27" t="s">
        <v>1503</v>
      </c>
      <c r="B27" t="s">
        <v>1493</v>
      </c>
    </row>
    <row r="28" spans="1:2" x14ac:dyDescent="0.35">
      <c r="A28" t="s">
        <v>1501</v>
      </c>
      <c r="B28" t="s">
        <v>1493</v>
      </c>
    </row>
    <row r="29" spans="1:2" x14ac:dyDescent="0.35">
      <c r="A29" t="s">
        <v>1490</v>
      </c>
      <c r="B29" t="s">
        <v>1456</v>
      </c>
    </row>
    <row r="30" spans="1:2" x14ac:dyDescent="0.35">
      <c r="A30" t="s">
        <v>1507</v>
      </c>
      <c r="B30" t="s">
        <v>1493</v>
      </c>
    </row>
    <row r="31" spans="1:2" x14ac:dyDescent="0.35">
      <c r="A31" t="s">
        <v>1477</v>
      </c>
      <c r="B31" t="s">
        <v>1456</v>
      </c>
    </row>
    <row r="32" spans="1:2" x14ac:dyDescent="0.35">
      <c r="A32" t="s">
        <v>1513</v>
      </c>
      <c r="B32" t="s">
        <v>1493</v>
      </c>
    </row>
    <row r="33" spans="1:2" x14ac:dyDescent="0.35">
      <c r="A33" t="s">
        <v>1454</v>
      </c>
      <c r="B33" t="s">
        <v>1456</v>
      </c>
    </row>
    <row r="34" spans="1:2" x14ac:dyDescent="0.35">
      <c r="A34" t="s">
        <v>1463</v>
      </c>
      <c r="B34" t="s">
        <v>1456</v>
      </c>
    </row>
    <row r="35" spans="1:2" x14ac:dyDescent="0.35">
      <c r="A35" t="s">
        <v>1530</v>
      </c>
      <c r="B35" t="s">
        <v>1493</v>
      </c>
    </row>
    <row r="36" spans="1:2" x14ac:dyDescent="0.35">
      <c r="A36" t="s">
        <v>1486</v>
      </c>
      <c r="B36" t="s">
        <v>1456</v>
      </c>
    </row>
    <row r="37" spans="1:2" x14ac:dyDescent="0.35">
      <c r="A37" t="s">
        <v>1465</v>
      </c>
      <c r="B37" t="s">
        <v>1456</v>
      </c>
    </row>
    <row r="38" spans="1:2" x14ac:dyDescent="0.35">
      <c r="A38" t="s">
        <v>1516</v>
      </c>
      <c r="B38" t="s">
        <v>1493</v>
      </c>
    </row>
    <row r="39" spans="1:2" x14ac:dyDescent="0.35">
      <c r="A39" t="s">
        <v>1517</v>
      </c>
      <c r="B39" t="s">
        <v>1493</v>
      </c>
    </row>
    <row r="40" spans="1:2" x14ac:dyDescent="0.35">
      <c r="A40" t="s">
        <v>1515</v>
      </c>
      <c r="B40" t="s">
        <v>1493</v>
      </c>
    </row>
    <row r="41" spans="1:2" x14ac:dyDescent="0.35">
      <c r="A41" t="s">
        <v>1524</v>
      </c>
      <c r="B41" t="s">
        <v>1493</v>
      </c>
    </row>
    <row r="42" spans="1:2" x14ac:dyDescent="0.35">
      <c r="A42" t="s">
        <v>1467</v>
      </c>
      <c r="B42" t="s">
        <v>1456</v>
      </c>
    </row>
    <row r="43" spans="1:2" x14ac:dyDescent="0.35">
      <c r="A43" t="s">
        <v>1506</v>
      </c>
      <c r="B43" t="s">
        <v>1493</v>
      </c>
    </row>
    <row r="44" spans="1:2" x14ac:dyDescent="0.35">
      <c r="A44" t="s">
        <v>1514</v>
      </c>
      <c r="B44" t="s">
        <v>1493</v>
      </c>
    </row>
    <row r="45" spans="1:2" x14ac:dyDescent="0.35">
      <c r="A45" t="s">
        <v>1471</v>
      </c>
      <c r="B45" t="s">
        <v>1456</v>
      </c>
    </row>
    <row r="46" spans="1:2" x14ac:dyDescent="0.35">
      <c r="A46" s="18" t="s">
        <v>1295</v>
      </c>
      <c r="B46" s="18"/>
    </row>
    <row r="47" spans="1:2" x14ac:dyDescent="0.35">
      <c r="A47"/>
    </row>
    <row r="48" spans="1:2" x14ac:dyDescent="0.35">
      <c r="A48"/>
    </row>
    <row r="49" spans="1:1" x14ac:dyDescent="0.35">
      <c r="A49"/>
    </row>
    <row r="50" spans="1:1" x14ac:dyDescent="0.35">
      <c r="A50"/>
    </row>
    <row r="51" spans="1:1" x14ac:dyDescent="0.35">
      <c r="A51"/>
    </row>
    <row r="52" spans="1:1" x14ac:dyDescent="0.35">
      <c r="A52"/>
    </row>
    <row r="53" spans="1:1" x14ac:dyDescent="0.35">
      <c r="A53"/>
    </row>
    <row r="54" spans="1:1" x14ac:dyDescent="0.35">
      <c r="A54"/>
    </row>
    <row r="55" spans="1:1" x14ac:dyDescent="0.35">
      <c r="A55"/>
    </row>
    <row r="56" spans="1:1" x14ac:dyDescent="0.35">
      <c r="A56"/>
    </row>
    <row r="57" spans="1:1" x14ac:dyDescent="0.35">
      <c r="A57"/>
    </row>
    <row r="58" spans="1:1" x14ac:dyDescent="0.35">
      <c r="A58"/>
    </row>
    <row r="59" spans="1:1" x14ac:dyDescent="0.35">
      <c r="A59"/>
    </row>
    <row r="60" spans="1:1" x14ac:dyDescent="0.35">
      <c r="A60"/>
    </row>
    <row r="61" spans="1:1" x14ac:dyDescent="0.35">
      <c r="A61"/>
    </row>
    <row r="62" spans="1:1" x14ac:dyDescent="0.35">
      <c r="A62"/>
    </row>
    <row r="63" spans="1:1" x14ac:dyDescent="0.35">
      <c r="A63"/>
    </row>
    <row r="64" spans="1:1" x14ac:dyDescent="0.35">
      <c r="A64"/>
    </row>
    <row r="65" spans="1:1" x14ac:dyDescent="0.35">
      <c r="A65"/>
    </row>
    <row r="66" spans="1:1" x14ac:dyDescent="0.35">
      <c r="A66"/>
    </row>
    <row r="67" spans="1:1" x14ac:dyDescent="0.35">
      <c r="A67"/>
    </row>
    <row r="68" spans="1:1" x14ac:dyDescent="0.35">
      <c r="A68"/>
    </row>
    <row r="69" spans="1:1" x14ac:dyDescent="0.35">
      <c r="A69"/>
    </row>
    <row r="70" spans="1:1" x14ac:dyDescent="0.35">
      <c r="A70"/>
    </row>
    <row r="71" spans="1:1" x14ac:dyDescent="0.35">
      <c r="A71"/>
    </row>
    <row r="72" spans="1:1" x14ac:dyDescent="0.35">
      <c r="A72"/>
    </row>
    <row r="73" spans="1:1" x14ac:dyDescent="0.35">
      <c r="A73"/>
    </row>
    <row r="74" spans="1:1" x14ac:dyDescent="0.35">
      <c r="A74"/>
    </row>
    <row r="75" spans="1:1" x14ac:dyDescent="0.35">
      <c r="A75"/>
    </row>
    <row r="76" spans="1:1" x14ac:dyDescent="0.35">
      <c r="A76"/>
    </row>
    <row r="77" spans="1:1" x14ac:dyDescent="0.35">
      <c r="A77"/>
    </row>
    <row r="78" spans="1:1" x14ac:dyDescent="0.35">
      <c r="A78"/>
    </row>
    <row r="79" spans="1:1" x14ac:dyDescent="0.35">
      <c r="A79"/>
    </row>
    <row r="80" spans="1:1" x14ac:dyDescent="0.35">
      <c r="A80"/>
    </row>
    <row r="81" spans="1:1" x14ac:dyDescent="0.35">
      <c r="A81"/>
    </row>
    <row r="82" spans="1:1" x14ac:dyDescent="0.35">
      <c r="A82"/>
    </row>
    <row r="83" spans="1:1" x14ac:dyDescent="0.35">
      <c r="A83"/>
    </row>
    <row r="84" spans="1:1" x14ac:dyDescent="0.35">
      <c r="A84"/>
    </row>
    <row r="85" spans="1:1" x14ac:dyDescent="0.35">
      <c r="A85"/>
    </row>
    <row r="86" spans="1:1" x14ac:dyDescent="0.35">
      <c r="A8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F9DE2-C863-4815-8E13-9714F18EF5D2}">
  <dimension ref="B2:B30"/>
  <sheetViews>
    <sheetView workbookViewId="0">
      <selection activeCell="B2" sqref="B2:B235"/>
    </sheetView>
  </sheetViews>
  <sheetFormatPr defaultRowHeight="14.5" x14ac:dyDescent="0.35"/>
  <sheetData>
    <row r="2" spans="2:2" ht="29" x14ac:dyDescent="0.35">
      <c r="B2" s="34" t="s">
        <v>1492</v>
      </c>
    </row>
    <row r="3" spans="2:2" ht="43.5" x14ac:dyDescent="0.35">
      <c r="B3" s="34" t="s">
        <v>1494</v>
      </c>
    </row>
    <row r="4" spans="2:2" ht="29" x14ac:dyDescent="0.35">
      <c r="B4" s="34" t="s">
        <v>1495</v>
      </c>
    </row>
    <row r="5" spans="2:2" ht="43.5" x14ac:dyDescent="0.35">
      <c r="B5" s="34" t="s">
        <v>1496</v>
      </c>
    </row>
    <row r="6" spans="2:2" ht="29" x14ac:dyDescent="0.35">
      <c r="B6" s="34" t="s">
        <v>1499</v>
      </c>
    </row>
    <row r="7" spans="2:2" ht="43.5" x14ac:dyDescent="0.35">
      <c r="B7" s="34" t="s">
        <v>1500</v>
      </c>
    </row>
    <row r="8" spans="2:2" ht="29" x14ac:dyDescent="0.35">
      <c r="B8" s="34" t="s">
        <v>1501</v>
      </c>
    </row>
    <row r="9" spans="2:2" ht="29" x14ac:dyDescent="0.35">
      <c r="B9" s="34" t="s">
        <v>1502</v>
      </c>
    </row>
    <row r="10" spans="2:2" ht="29" x14ac:dyDescent="0.35">
      <c r="B10" s="34" t="s">
        <v>1503</v>
      </c>
    </row>
    <row r="11" spans="2:2" ht="29" x14ac:dyDescent="0.35">
      <c r="B11" s="34" t="s">
        <v>1504</v>
      </c>
    </row>
    <row r="12" spans="2:2" ht="29" x14ac:dyDescent="0.35">
      <c r="B12" s="34" t="s">
        <v>1505</v>
      </c>
    </row>
    <row r="13" spans="2:2" ht="29" x14ac:dyDescent="0.35">
      <c r="B13" s="34" t="s">
        <v>1506</v>
      </c>
    </row>
    <row r="14" spans="2:2" ht="72.5" x14ac:dyDescent="0.35">
      <c r="B14" s="34" t="s">
        <v>1507</v>
      </c>
    </row>
    <row r="15" spans="2:2" ht="29" x14ac:dyDescent="0.35">
      <c r="B15" s="34" t="s">
        <v>1508</v>
      </c>
    </row>
    <row r="16" spans="2:2" x14ac:dyDescent="0.35">
      <c r="B16" s="34" t="s">
        <v>1509</v>
      </c>
    </row>
    <row r="17" spans="2:2" x14ac:dyDescent="0.35">
      <c r="B17" s="34" t="s">
        <v>1510</v>
      </c>
    </row>
    <row r="18" spans="2:2" ht="29" x14ac:dyDescent="0.35">
      <c r="B18" s="34" t="s">
        <v>1511</v>
      </c>
    </row>
    <row r="19" spans="2:2" ht="43.5" x14ac:dyDescent="0.35">
      <c r="B19" s="34" t="s">
        <v>1512</v>
      </c>
    </row>
    <row r="20" spans="2:2" ht="29" x14ac:dyDescent="0.35">
      <c r="B20" s="34" t="s">
        <v>1513</v>
      </c>
    </row>
    <row r="21" spans="2:2" ht="29" x14ac:dyDescent="0.35">
      <c r="B21" s="34" t="s">
        <v>1514</v>
      </c>
    </row>
    <row r="22" spans="2:2" ht="29" x14ac:dyDescent="0.35">
      <c r="B22" s="34" t="s">
        <v>1515</v>
      </c>
    </row>
    <row r="23" spans="2:2" ht="29" x14ac:dyDescent="0.35">
      <c r="B23" s="34" t="s">
        <v>1516</v>
      </c>
    </row>
    <row r="24" spans="2:2" ht="29" x14ac:dyDescent="0.35">
      <c r="B24" s="34" t="s">
        <v>1517</v>
      </c>
    </row>
    <row r="25" spans="2:2" ht="43.5" x14ac:dyDescent="0.35">
      <c r="B25" s="34" t="s">
        <v>1524</v>
      </c>
    </row>
    <row r="26" spans="2:2" ht="29" x14ac:dyDescent="0.35">
      <c r="B26" s="34" t="s">
        <v>1528</v>
      </c>
    </row>
    <row r="27" spans="2:2" ht="29" x14ac:dyDescent="0.35">
      <c r="B27" s="34" t="s">
        <v>1529</v>
      </c>
    </row>
    <row r="28" spans="2:2" ht="29" x14ac:dyDescent="0.35">
      <c r="B28" s="34" t="s">
        <v>1530</v>
      </c>
    </row>
    <row r="29" spans="2:2" ht="29" x14ac:dyDescent="0.35">
      <c r="B29" s="34" t="s">
        <v>1531</v>
      </c>
    </row>
    <row r="30" spans="2:2" ht="43.5" x14ac:dyDescent="0.35">
      <c r="B30" s="34" t="s">
        <v>1532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7110A605B28E428FEE630B6708F95F" ma:contentTypeVersion="11" ma:contentTypeDescription="Create a new document." ma:contentTypeScope="" ma:versionID="dcfda79e09318fdf9355f7a40a1bb38b">
  <xsd:schema xmlns:xsd="http://www.w3.org/2001/XMLSchema" xmlns:xs="http://www.w3.org/2001/XMLSchema" xmlns:p="http://schemas.microsoft.com/office/2006/metadata/properties" xmlns:ns2="5c2cc4ea-a0c0-4cb2-a403-2898359e7951" xmlns:ns3="3c313d8d-da46-45d3-8905-e4344bb6bb46" targetNamespace="http://schemas.microsoft.com/office/2006/metadata/properties" ma:root="true" ma:fieldsID="45b7f3320dbe7f0cd5899e1942368d9b" ns2:_="" ns3:_="">
    <xsd:import namespace="5c2cc4ea-a0c0-4cb2-a403-2898359e7951"/>
    <xsd:import namespace="3c313d8d-da46-45d3-8905-e4344bb6bb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2cc4ea-a0c0-4cb2-a403-2898359e7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2f60a05-c5b3-4718-8cf8-7242ab89436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313d8d-da46-45d3-8905-e4344bb6bb4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ae35186-07c3-41dd-ba97-c0d7bedee5e4}" ma:internalName="TaxCatchAll" ma:showField="CatchAllData" ma:web="3c313d8d-da46-45d3-8905-e4344bb6bb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c2cc4ea-a0c0-4cb2-a403-2898359e7951">
      <Terms xmlns="http://schemas.microsoft.com/office/infopath/2007/PartnerControls"/>
    </lcf76f155ced4ddcb4097134ff3c332f>
    <TaxCatchAll xmlns="3c313d8d-da46-45d3-8905-e4344bb6bb46" xsi:nil="true"/>
  </documentManagement>
</p:properties>
</file>

<file path=customXml/itemProps1.xml><?xml version="1.0" encoding="utf-8"?>
<ds:datastoreItem xmlns:ds="http://schemas.openxmlformats.org/officeDocument/2006/customXml" ds:itemID="{03531561-A63A-41E2-9505-5A612F77AE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2cc4ea-a0c0-4cb2-a403-2898359e7951"/>
    <ds:schemaRef ds:uri="3c313d8d-da46-45d3-8905-e4344bb6bb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D0CD70-32D4-447B-BB41-6EE98FED4B4D}">
  <ds:schemaRefs>
    <ds:schemaRef ds:uri="http://schemas.microsoft.com/sharepoint/v3/contenttype/forms"/>
  </ds:schemaRefs>
</ds:datastoreItem>
</file>

<file path=customXml/itemProps3.xml><?xml version="1.0" encoding="utf-8"?>
<ds:datastoreItem xmlns:ds="http://schemas.openxmlformats.org/officeDocument/2006/customXml" ds:itemID="{310AA63C-4424-4C65-B402-AF2A5451063B}">
  <ds:schemaRefs>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http://schemas.microsoft.com/office/2006/documentManagement/types"/>
    <ds:schemaRef ds:uri="http://purl.org/dc/terms/"/>
    <ds:schemaRef ds:uri="http://www.w3.org/XML/1998/namespace"/>
    <ds:schemaRef ds:uri="3c313d8d-da46-45d3-8905-e4344bb6bb46"/>
    <ds:schemaRef ds:uri="5c2cc4ea-a0c0-4cb2-a403-2898359e7951"/>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Maturity assessment</vt:lpstr>
      <vt:lpstr>V1</vt:lpstr>
      <vt:lpstr>Sheet2</vt:lpstr>
      <vt:lpstr>1_Value &amp; risk levers</vt:lpstr>
      <vt:lpstr>Sheet5</vt:lpstr>
      <vt:lpstr>2_Methodology (Value)</vt:lpstr>
      <vt:lpstr>3_Risk profile</vt:lpstr>
      <vt:lpstr>3_Risk profile_v2</vt:lpstr>
      <vt:lpstr>Sheet8</vt:lpstr>
      <vt:lpstr>Risk profile - example</vt:lpstr>
      <vt:lpstr>Sheet6</vt:lpstr>
      <vt:lpstr>Sheet4</vt:lpstr>
      <vt:lpstr>3_Methodology (Risk)_old</vt:lpstr>
      <vt:lpstr>Test 2 - Risk impact flag</vt:lpstr>
      <vt:lpstr>Reference-Proof pt impact flag</vt:lpstr>
      <vt:lpstr>Test 2 -Proof points - Sonnet</vt:lpstr>
      <vt:lpstr>Sheet3</vt:lpstr>
      <vt:lpstr>Test</vt:lpstr>
      <vt:lpstr>gpt5_1</vt:lpstr>
      <vt:lpstr>Gemini pro_2</vt:lpstr>
      <vt:lpstr>Gemini pro_1</vt:lpstr>
      <vt:lpstr>gpt5 iteration2</vt:lpstr>
      <vt:lpstr>Test 2 - Proof points - GPT5</vt:lpstr>
      <vt:lpstr>Sheet1</vt:lpstr>
      <vt:lpstr>Sheet7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Sharma, Anshuman</dc:creator>
  <cp:keywords/>
  <dc:description/>
  <cp:lastModifiedBy>Sharmila Gupta</cp:lastModifiedBy>
  <cp:revision/>
  <dcterms:created xsi:type="dcterms:W3CDTF">2015-06-05T18:17:20Z</dcterms:created>
  <dcterms:modified xsi:type="dcterms:W3CDTF">2026-01-21T11:01:08Z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815a84-bb14-486b-9367-c1af54c95fa4_Enabled">
    <vt:lpwstr>true</vt:lpwstr>
  </property>
  <property fmtid="{D5CDD505-2E9C-101B-9397-08002B2CF9AE}" pid="3" name="MSIP_Label_0e815a84-bb14-486b-9367-c1af54c95fa4_SetDate">
    <vt:lpwstr>2025-08-06T11:00:09Z</vt:lpwstr>
  </property>
  <property fmtid="{D5CDD505-2E9C-101B-9397-08002B2CF9AE}" pid="4" name="MSIP_Label_0e815a84-bb14-486b-9367-c1af54c95fa4_Method">
    <vt:lpwstr>Standard</vt:lpwstr>
  </property>
  <property fmtid="{D5CDD505-2E9C-101B-9397-08002B2CF9AE}" pid="5" name="MSIP_Label_0e815a84-bb14-486b-9367-c1af54c95fa4_Name">
    <vt:lpwstr>Standard</vt:lpwstr>
  </property>
  <property fmtid="{D5CDD505-2E9C-101B-9397-08002B2CF9AE}" pid="6" name="MSIP_Label_0e815a84-bb14-486b-9367-c1af54c95fa4_SiteId">
    <vt:lpwstr>5dc645ed-297f-4dca-b0af-2339c71c5388</vt:lpwstr>
  </property>
  <property fmtid="{D5CDD505-2E9C-101B-9397-08002B2CF9AE}" pid="7" name="MSIP_Label_0e815a84-bb14-486b-9367-c1af54c95fa4_ActionId">
    <vt:lpwstr>602a1285-3a2e-4c81-8fcb-9afdf364bd45</vt:lpwstr>
  </property>
  <property fmtid="{D5CDD505-2E9C-101B-9397-08002B2CF9AE}" pid="8" name="MSIP_Label_0e815a84-bb14-486b-9367-c1af54c95fa4_ContentBits">
    <vt:lpwstr>0</vt:lpwstr>
  </property>
  <property fmtid="{D5CDD505-2E9C-101B-9397-08002B2CF9AE}" pid="9" name="MSIP_Label_0e815a84-bb14-486b-9367-c1af54c95fa4_Tag">
    <vt:lpwstr>10, 3, 0, 1</vt:lpwstr>
  </property>
  <property fmtid="{D5CDD505-2E9C-101B-9397-08002B2CF9AE}" pid="10" name="ContentTypeId">
    <vt:lpwstr>0x010100CF7110A605B28E428FEE630B6708F95F</vt:lpwstr>
  </property>
  <property fmtid="{D5CDD505-2E9C-101B-9397-08002B2CF9AE}" pid="11" name="MediaServiceImageTags">
    <vt:lpwstr/>
  </property>
</Properties>
</file>