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tkearney-my.sharepoint.com/personal/asharm17_atkearney_com/Documents/Desktop/"/>
    </mc:Choice>
  </mc:AlternateContent>
  <xr:revisionPtr revIDLastSave="457" documentId="8_{AFACF4FA-95D8-4640-94AE-F45D7F14D393}" xr6:coauthVersionLast="47" xr6:coauthVersionMax="47" xr10:uidLastSave="{75A1AAF7-CC7C-4B7E-9DCB-4CF3C6EE4307}"/>
  <bookViews>
    <workbookView xWindow="-110" yWindow="-110" windowWidth="19420" windowHeight="10300" activeTab="1" xr2:uid="{E479BF1A-0A2F-4A79-8CC9-645C6BC064DB}"/>
  </bookViews>
  <sheets>
    <sheet name="Sample calculations" sheetId="1" r:id="rId1"/>
    <sheet name="Working file - for testing" sheetId="3" r:id="rId2"/>
    <sheet name="Sample - textual outputs" sheetId="4" r:id="rId3"/>
    <sheet name="Deep dive artifacts" sheetId="5" state="hidden" r:id="rId4"/>
    <sheet name="Data model_v1" sheetId="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G4" i="1" s="1"/>
  <c r="H4" i="1" s="1"/>
  <c r="I4" i="1"/>
  <c r="J13" i="3"/>
  <c r="K13" i="3" s="1"/>
  <c r="L13" i="3"/>
  <c r="L12" i="3"/>
  <c r="J12" i="3"/>
  <c r="K12" i="3" s="1"/>
  <c r="L11" i="3"/>
  <c r="J11" i="3"/>
  <c r="K11" i="3" s="1"/>
  <c r="E4" i="3"/>
  <c r="F4" i="3" s="1"/>
  <c r="M13" i="1"/>
  <c r="M12" i="1"/>
  <c r="M11" i="1"/>
  <c r="K13" i="1"/>
  <c r="L13" i="1" s="1"/>
  <c r="K12" i="1"/>
  <c r="L12" i="1" s="1"/>
  <c r="K11" i="1"/>
  <c r="H4" i="3" l="1"/>
  <c r="I4" i="3" s="1"/>
  <c r="N13" i="1"/>
  <c r="M12" i="3"/>
  <c r="M13" i="3"/>
  <c r="G4" i="3"/>
  <c r="M11" i="3"/>
  <c r="K4" i="1"/>
  <c r="M4" i="1" s="1"/>
  <c r="N11" i="1"/>
  <c r="N12" i="1"/>
  <c r="L11" i="1"/>
  <c r="L4" i="1" l="1"/>
  <c r="N4" i="1" s="1"/>
  <c r="P12" i="1" s="1"/>
  <c r="O12" i="1"/>
  <c r="O11" i="1"/>
  <c r="O13" i="1"/>
  <c r="K4" i="3"/>
  <c r="M4" i="3" s="1"/>
  <c r="O13" i="3" s="1"/>
  <c r="J4" i="3"/>
  <c r="L4" i="3" s="1"/>
  <c r="N12" i="3" s="1"/>
  <c r="J4" i="1"/>
  <c r="P11" i="1" l="1"/>
  <c r="O14" i="1"/>
  <c r="P13" i="1"/>
  <c r="O11" i="3"/>
  <c r="N13" i="3"/>
  <c r="N11" i="3"/>
  <c r="O12" i="3"/>
  <c r="P14" i="1" l="1"/>
  <c r="O14" i="3"/>
  <c r="N14" i="3"/>
</calcChain>
</file>

<file path=xl/sharedStrings.xml><?xml version="1.0" encoding="utf-8"?>
<sst xmlns="http://schemas.openxmlformats.org/spreadsheetml/2006/main" count="104" uniqueCount="60">
  <si>
    <t>Category level calculations</t>
  </si>
  <si>
    <t>Benchmark</t>
  </si>
  <si>
    <t>Estimation of whether the savings lies in the upper OR lower part of the benchmark</t>
  </si>
  <si>
    <t>Adjustment of savings range to determine width / narrowness of range</t>
  </si>
  <si>
    <t>Spend</t>
  </si>
  <si>
    <t>Savings benchmark (Low)</t>
  </si>
  <si>
    <t>Savings benchmark (High)</t>
  </si>
  <si>
    <t>Addressable spend</t>
  </si>
  <si>
    <t>Category health / maturity score (Value)</t>
  </si>
  <si>
    <t>Maturity adjusted savings (low)</t>
  </si>
  <si>
    <t>Maturity adjusted savings (high)</t>
  </si>
  <si>
    <t>Confidence score</t>
  </si>
  <si>
    <t>Confidence bucket</t>
  </si>
  <si>
    <t>Confidence adj savings % (low)</t>
  </si>
  <si>
    <t>Confidence adj savings % (high)</t>
  </si>
  <si>
    <t>Confidence adj savings $ (low)</t>
  </si>
  <si>
    <t>Confidence adj savings $ (high)</t>
  </si>
  <si>
    <t>Initiative level calculations</t>
  </si>
  <si>
    <t>Directional initiative benchmark (potential  savings by implementing an initiative in isolation)</t>
  </si>
  <si>
    <t># of proof points tested, contextulized and assigned an 'Impact flag'</t>
  </si>
  <si>
    <t>Initiative weightage (relative savings potential across the various initiatives)</t>
  </si>
  <si>
    <t>Lever theme</t>
  </si>
  <si>
    <t>Hypotheses / Initiative</t>
  </si>
  <si>
    <t>Maturity score (out of 4)</t>
  </si>
  <si>
    <t>Savings benchmark (low)</t>
  </si>
  <si>
    <t>Savings benchmark (high)</t>
  </si>
  <si>
    <t># of proof points to test</t>
  </si>
  <si>
    <t>'Low' flag</t>
  </si>
  <si>
    <t>'Medium' flag</t>
  </si>
  <si>
    <t>'High' flag</t>
  </si>
  <si>
    <t>Initiative 'Impact score' (out of 10)</t>
  </si>
  <si>
    <t>Initiative 'Impact bucket'</t>
  </si>
  <si>
    <t xml:space="preserve">Intermediate calc. </t>
  </si>
  <si>
    <t>Initiative weightage</t>
  </si>
  <si>
    <t>Initiative level savings (low)</t>
  </si>
  <si>
    <t>Initiative level savings (high)</t>
  </si>
  <si>
    <t>Volume bundling</t>
  </si>
  <si>
    <t>Initiative 1</t>
  </si>
  <si>
    <t>Initiative 2</t>
  </si>
  <si>
    <t>Target pricing</t>
  </si>
  <si>
    <t>Initiative 3</t>
  </si>
  <si>
    <t>#</t>
  </si>
  <si>
    <t>Key inputs</t>
  </si>
  <si>
    <t>Direction provided in prompts</t>
  </si>
  <si>
    <t>Outputs</t>
  </si>
  <si>
    <t>Step 1a</t>
  </si>
  <si>
    <t>1. Consider the combined context of 'Standard initiative' + 'Proof point' + 'Prompt to contextualize….'
2. Use the directions in 'Prompt to contextualize….' to execute analysis
3. Describe what you found, structure this in terms of 'Inisghts' and potential 'Actions'</t>
  </si>
  <si>
    <t>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t>
  </si>
  <si>
    <t>Step 1b</t>
  </si>
  <si>
    <t>1. Consider the combined context of Insights/actions generated in previous step + initiative
2. Evaluate whether the insight shows evidence for savings
3. Assign a flag - high/medium/low</t>
  </si>
  <si>
    <t>Step 2</t>
  </si>
  <si>
    <t xml:space="preserve">1. Look at a specific initiative
2. Summarize all the insights generated in Step 1A
3. Structure in the form of : 
- What isnights did I find?
- Why is there a savings opportunity?
- What should you do next?
- Potential risks involved </t>
  </si>
  <si>
    <t>What insights did I find?
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
Why is there a savings opportunity?
More intelligent and adaptable cost models can challenge supplier pricing more effectively. By incorporating trade intelligence, regional cost structures, and forecasted trends, procurement can achieve better price validation and negotiation outcomes in volatile market conditions.
What should you do next?
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
Potential risks involved
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t>
  </si>
  <si>
    <t>Deep-dive type</t>
  </si>
  <si>
    <t>Core output</t>
  </si>
  <si>
    <t>Visualization</t>
  </si>
  <si>
    <t>Analyses required</t>
  </si>
  <si>
    <t>Data inputs required</t>
  </si>
  <si>
    <t>Raw tables</t>
  </si>
  <si>
    <t>Aggregations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</si>
</sst>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0.0%"/>
    <numFmt numFmtId="166" formatCode="_(&quot;$&quot;* #,##0_);_(&quot;$&quot;* \(#,##0\);_(&quot;$&quot;* &quot;-&quot;??_);_(@_)"/>
  </numFmts>
  <fonts count="8">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4"/>
      <color rgb="FFC00000"/>
      <name val="Aptos Narrow"/>
      <family val="2"/>
      <scheme val="minor"/>
    </font>
    <font>
      <b/>
      <sz val="11"/>
      <color theme="0"/>
      <name val="Aptos Narrow"/>
      <family val="2"/>
      <scheme val="minor"/>
    </font>
    <font>
      <sz val="11"/>
      <color rgb="FFC00000"/>
      <name val="Aptos Narrow"/>
      <family val="2"/>
      <scheme val="minor"/>
    </font>
    <font>
      <b/>
      <sz val="12"/>
      <color theme="1"/>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bgColor indexed="64"/>
      </patternFill>
    </fill>
    <fill>
      <patternFill patternType="solid">
        <fgColor theme="4" tint="-0.249977111117893"/>
        <bgColor indexed="64"/>
      </patternFill>
    </fill>
    <fill>
      <patternFill patternType="solid">
        <fgColor rgb="FFFFFFCC"/>
        <bgColor indexed="64"/>
      </patternFill>
    </fill>
    <fill>
      <patternFill patternType="solid">
        <fgColor theme="7"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9" fontId="0" fillId="0" borderId="1" xfId="2" applyFont="1" applyBorder="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vertical="center" wrapText="1"/>
    </xf>
    <xf numFmtId="0" fontId="0" fillId="2" borderId="4" xfId="0"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166" fontId="0" fillId="0" borderId="1" xfId="1" applyNumberFormat="1" applyFont="1" applyBorder="1" applyAlignment="1">
      <alignment vertical="center" wrapText="1"/>
    </xf>
    <xf numFmtId="166" fontId="2" fillId="0" borderId="0" xfId="0" applyNumberFormat="1" applyFont="1" applyAlignment="1">
      <alignment vertical="center" wrapText="1"/>
    </xf>
    <xf numFmtId="0" fontId="0" fillId="5" borderId="1" xfId="0" applyFill="1" applyBorder="1" applyAlignment="1">
      <alignment horizontal="center" vertical="center" wrapText="1"/>
    </xf>
    <xf numFmtId="10" fontId="0" fillId="5" borderId="1" xfId="0" applyNumberFormat="1" applyFill="1" applyBorder="1" applyAlignment="1">
      <alignment horizontal="center" vertical="center" wrapText="1"/>
    </xf>
    <xf numFmtId="165" fontId="0" fillId="5" borderId="1" xfId="2" applyNumberFormat="1" applyFont="1" applyFill="1" applyBorder="1" applyAlignment="1">
      <alignment horizontal="center" vertical="center" wrapText="1"/>
    </xf>
    <xf numFmtId="166" fontId="0" fillId="5" borderId="1" xfId="0" applyNumberFormat="1" applyFill="1" applyBorder="1" applyAlignment="1">
      <alignment horizontal="center" vertical="center" wrapText="1"/>
    </xf>
    <xf numFmtId="164" fontId="0" fillId="5" borderId="1" xfId="0" applyNumberFormat="1" applyFill="1" applyBorder="1" applyAlignment="1">
      <alignment horizontal="center" vertical="center" wrapText="1"/>
    </xf>
    <xf numFmtId="2" fontId="0" fillId="5" borderId="1" xfId="0" applyNumberFormat="1" applyFill="1" applyBorder="1" applyAlignment="1">
      <alignment horizontal="center" vertical="center" wrapText="1"/>
    </xf>
    <xf numFmtId="0" fontId="0" fillId="0" borderId="1" xfId="0" applyBorder="1" applyAlignment="1">
      <alignment horizontal="center" vertical="center" wrapText="1"/>
    </xf>
    <xf numFmtId="10" fontId="2" fillId="5" borderId="1" xfId="0" applyNumberFormat="1" applyFont="1" applyFill="1" applyBorder="1" applyAlignment="1">
      <alignment horizontal="center" vertical="center" wrapText="1"/>
    </xf>
    <xf numFmtId="166" fontId="2"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0" xfId="0" applyAlignment="1">
      <alignment vertical="top"/>
    </xf>
    <xf numFmtId="0" fontId="6" fillId="0" borderId="1" xfId="0" applyFont="1" applyBorder="1" applyAlignment="1">
      <alignment horizontal="left"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2" fillId="0" borderId="0" xfId="0" applyFont="1" applyAlignment="1">
      <alignment horizontal="center" vertical="top"/>
    </xf>
    <xf numFmtId="0" fontId="7" fillId="2" borderId="1" xfId="0" applyFont="1" applyFill="1" applyBorder="1" applyAlignment="1">
      <alignment horizontal="center" vertical="top"/>
    </xf>
    <xf numFmtId="0" fontId="0" fillId="2" borderId="1" xfId="0" applyFill="1" applyBorder="1" applyAlignment="1">
      <alignment vertical="top"/>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2" borderId="1" xfId="0" applyFill="1" applyBorder="1" applyAlignment="1">
      <alignment horizontal="center" vertical="center"/>
    </xf>
    <xf numFmtId="0" fontId="2" fillId="0" borderId="0" xfId="0" applyFont="1"/>
    <xf numFmtId="0" fontId="0" fillId="2" borderId="1" xfId="0" applyFill="1" applyBorder="1" applyAlignment="1">
      <alignment horizontal="center" vertical="center" wrapText="1"/>
    </xf>
    <xf numFmtId="0" fontId="3" fillId="4" borderId="3"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0" borderId="0" xfId="0" applyFont="1" applyAlignment="1">
      <alignment horizontal="left" vertical="center" wrapText="1"/>
    </xf>
    <xf numFmtId="0" fontId="3" fillId="4" borderId="2"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567101</xdr:colOff>
      <xdr:row>4</xdr:row>
      <xdr:rowOff>21167</xdr:rowOff>
    </xdr:from>
    <xdr:to>
      <xdr:col>5</xdr:col>
      <xdr:colOff>420679</xdr:colOff>
      <xdr:row>8</xdr:row>
      <xdr:rowOff>635001</xdr:rowOff>
    </xdr:to>
    <xdr:cxnSp macro="">
      <xdr:nvCxnSpPr>
        <xdr:cNvPr id="3" name="Connector: Elbow 2">
          <a:extLst>
            <a:ext uri="{FF2B5EF4-FFF2-40B4-BE49-F238E27FC236}">
              <a16:creationId xmlns:a16="http://schemas.microsoft.com/office/drawing/2014/main" id="{6FDD3DBB-0015-EA0B-8727-34B6BD141FC6}"/>
            </a:ext>
          </a:extLst>
        </xdr:cNvPr>
        <xdr:cNvCxnSpPr/>
      </xdr:nvCxnSpPr>
      <xdr:spPr>
        <a:xfrm rot="5400000" flipH="1" flipV="1">
          <a:off x="2353028" y="1544295"/>
          <a:ext cx="1397001" cy="1737412"/>
        </a:xfrm>
        <a:prstGeom prst="bentConnector3">
          <a:avLst>
            <a:gd name="adj1" fmla="val 6161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612423</xdr:colOff>
      <xdr:row>3</xdr:row>
      <xdr:rowOff>331612</xdr:rowOff>
    </xdr:from>
    <xdr:to>
      <xdr:col>14</xdr:col>
      <xdr:colOff>290686</xdr:colOff>
      <xdr:row>9</xdr:row>
      <xdr:rowOff>28223</xdr:rowOff>
    </xdr:to>
    <xdr:cxnSp macro="">
      <xdr:nvCxnSpPr>
        <xdr:cNvPr id="10" name="Connector: Elbow 9">
          <a:extLst>
            <a:ext uri="{FF2B5EF4-FFF2-40B4-BE49-F238E27FC236}">
              <a16:creationId xmlns:a16="http://schemas.microsoft.com/office/drawing/2014/main" id="{C69E1DC9-2BEE-4817-BCAF-8757F43BA9B8}"/>
            </a:ext>
          </a:extLst>
        </xdr:cNvPr>
        <xdr:cNvCxnSpPr/>
      </xdr:nvCxnSpPr>
      <xdr:spPr>
        <a:xfrm rot="16200000" flipH="1">
          <a:off x="11151305" y="1624897"/>
          <a:ext cx="1460500" cy="1583263"/>
        </a:xfrm>
        <a:prstGeom prst="bentConnector3">
          <a:avLst>
            <a:gd name="adj1" fmla="val 4130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743658</xdr:colOff>
      <xdr:row>3</xdr:row>
      <xdr:rowOff>335845</xdr:rowOff>
    </xdr:from>
    <xdr:to>
      <xdr:col>15</xdr:col>
      <xdr:colOff>464254</xdr:colOff>
      <xdr:row>9</xdr:row>
      <xdr:rowOff>32456</xdr:rowOff>
    </xdr:to>
    <xdr:cxnSp macro="">
      <xdr:nvCxnSpPr>
        <xdr:cNvPr id="14" name="Connector: Elbow 13">
          <a:extLst>
            <a:ext uri="{FF2B5EF4-FFF2-40B4-BE49-F238E27FC236}">
              <a16:creationId xmlns:a16="http://schemas.microsoft.com/office/drawing/2014/main" id="{06F73808-36A3-4A80-884A-4CFCAE52C859}"/>
            </a:ext>
          </a:extLst>
        </xdr:cNvPr>
        <xdr:cNvCxnSpPr/>
      </xdr:nvCxnSpPr>
      <xdr:spPr>
        <a:xfrm rot="16200000" flipH="1">
          <a:off x="12263262" y="1629130"/>
          <a:ext cx="1460500" cy="1583263"/>
        </a:xfrm>
        <a:prstGeom prst="bentConnector3">
          <a:avLst>
            <a:gd name="adj1" fmla="val 2681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497544</xdr:colOff>
      <xdr:row>3</xdr:row>
      <xdr:rowOff>298737</xdr:rowOff>
    </xdr:from>
    <xdr:to>
      <xdr:col>10</xdr:col>
      <xdr:colOff>539631</xdr:colOff>
      <xdr:row>8</xdr:row>
      <xdr:rowOff>618495</xdr:rowOff>
    </xdr:to>
    <xdr:cxnSp macro="">
      <xdr:nvCxnSpPr>
        <xdr:cNvPr id="16" name="Connector: Elbow 15">
          <a:extLst>
            <a:ext uri="{FF2B5EF4-FFF2-40B4-BE49-F238E27FC236}">
              <a16:creationId xmlns:a16="http://schemas.microsoft.com/office/drawing/2014/main" id="{985166DD-71FB-49C8-BFA7-13CB5AC6DE07}"/>
            </a:ext>
          </a:extLst>
        </xdr:cNvPr>
        <xdr:cNvCxnSpPr/>
      </xdr:nvCxnSpPr>
      <xdr:spPr>
        <a:xfrm rot="16200000" flipV="1">
          <a:off x="7467181" y="1492378"/>
          <a:ext cx="1441591" cy="1763643"/>
        </a:xfrm>
        <a:prstGeom prst="bentConnector3">
          <a:avLst>
            <a:gd name="adj1" fmla="val 5783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698498</xdr:colOff>
      <xdr:row>5</xdr:row>
      <xdr:rowOff>42333</xdr:rowOff>
    </xdr:from>
    <xdr:to>
      <xdr:col>4</xdr:col>
      <xdr:colOff>924278</xdr:colOff>
      <xdr:row>7</xdr:row>
      <xdr:rowOff>169333</xdr:rowOff>
    </xdr:to>
    <xdr:sp macro="" textlink="">
      <xdr:nvSpPr>
        <xdr:cNvPr id="20" name="Rectangle: Rounded Corners 19">
          <a:extLst>
            <a:ext uri="{FF2B5EF4-FFF2-40B4-BE49-F238E27FC236}">
              <a16:creationId xmlns:a16="http://schemas.microsoft.com/office/drawing/2014/main" id="{434E4CA7-CEB4-44AE-EF87-632009271EB5}"/>
            </a:ext>
          </a:extLst>
        </xdr:cNvPr>
        <xdr:cNvSpPr/>
      </xdr:nvSpPr>
      <xdr:spPr>
        <a:xfrm>
          <a:off x="2314220" y="1919111"/>
          <a:ext cx="1128891" cy="493889"/>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Step 1 and</a:t>
          </a:r>
          <a:r>
            <a:rPr lang="en-US" sz="1000" baseline="0"/>
            <a:t>/or</a:t>
          </a:r>
          <a:r>
            <a:rPr lang="en-US" sz="1000"/>
            <a:t> User Q&amp;A</a:t>
          </a:r>
        </a:p>
      </xdr:txBody>
    </xdr:sp>
    <xdr:clientData/>
  </xdr:twoCellAnchor>
  <xdr:twoCellAnchor>
    <xdr:from>
      <xdr:col>6</xdr:col>
      <xdr:colOff>496358</xdr:colOff>
      <xdr:row>8</xdr:row>
      <xdr:rowOff>521935</xdr:rowOff>
    </xdr:from>
    <xdr:to>
      <xdr:col>9</xdr:col>
      <xdr:colOff>420688</xdr:colOff>
      <xdr:row>9</xdr:row>
      <xdr:rowOff>79374</xdr:rowOff>
    </xdr:to>
    <xdr:sp macro="" textlink="">
      <xdr:nvSpPr>
        <xdr:cNvPr id="21" name="Rectangle: Rounded Corners 20">
          <a:extLst>
            <a:ext uri="{FF2B5EF4-FFF2-40B4-BE49-F238E27FC236}">
              <a16:creationId xmlns:a16="http://schemas.microsoft.com/office/drawing/2014/main" id="{CA7F7243-E840-43C0-B7DF-72B013349BC5}"/>
            </a:ext>
          </a:extLst>
        </xdr:cNvPr>
        <xdr:cNvSpPr/>
      </xdr:nvSpPr>
      <xdr:spPr>
        <a:xfrm>
          <a:off x="5115983" y="2998435"/>
          <a:ext cx="2972330" cy="200377"/>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1</a:t>
          </a:r>
        </a:p>
      </xdr:txBody>
    </xdr:sp>
    <xdr:clientData/>
  </xdr:twoCellAnchor>
  <xdr:twoCellAnchor>
    <xdr:from>
      <xdr:col>10</xdr:col>
      <xdr:colOff>449790</xdr:colOff>
      <xdr:row>8</xdr:row>
      <xdr:rowOff>525462</xdr:rowOff>
    </xdr:from>
    <xdr:to>
      <xdr:col>13</xdr:col>
      <xdr:colOff>647699</xdr:colOff>
      <xdr:row>9</xdr:row>
      <xdr:rowOff>69850</xdr:rowOff>
    </xdr:to>
    <xdr:sp macro="" textlink="">
      <xdr:nvSpPr>
        <xdr:cNvPr id="23" name="Rectangle: Rounded Corners 22">
          <a:extLst>
            <a:ext uri="{FF2B5EF4-FFF2-40B4-BE49-F238E27FC236}">
              <a16:creationId xmlns:a16="http://schemas.microsoft.com/office/drawing/2014/main" id="{1F174CA4-9E36-4D79-87B1-EA2D5E10AE00}"/>
            </a:ext>
          </a:extLst>
        </xdr:cNvPr>
        <xdr:cNvSpPr/>
      </xdr:nvSpPr>
      <xdr:spPr>
        <a:xfrm>
          <a:off x="9104840" y="3008312"/>
          <a:ext cx="3118909" cy="185738"/>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2</a:t>
          </a:r>
        </a:p>
      </xdr:txBody>
    </xdr:sp>
    <xdr:clientData/>
  </xdr:twoCellAnchor>
  <xdr:twoCellAnchor>
    <xdr:from>
      <xdr:col>5</xdr:col>
      <xdr:colOff>1000125</xdr:colOff>
      <xdr:row>0</xdr:row>
      <xdr:rowOff>233891</xdr:rowOff>
    </xdr:from>
    <xdr:to>
      <xdr:col>12</xdr:col>
      <xdr:colOff>825500</xdr:colOff>
      <xdr:row>1</xdr:row>
      <xdr:rowOff>25928</xdr:rowOff>
    </xdr:to>
    <xdr:sp macro="" textlink="">
      <xdr:nvSpPr>
        <xdr:cNvPr id="24" name="Rectangle: Rounded Corners 23">
          <a:extLst>
            <a:ext uri="{FF2B5EF4-FFF2-40B4-BE49-F238E27FC236}">
              <a16:creationId xmlns:a16="http://schemas.microsoft.com/office/drawing/2014/main" id="{D858F9CE-9C31-4BED-8B96-A56C6A1C44D5}"/>
            </a:ext>
          </a:extLst>
        </xdr:cNvPr>
        <xdr:cNvSpPr/>
      </xdr:nvSpPr>
      <xdr:spPr>
        <a:xfrm>
          <a:off x="4492625" y="233891"/>
          <a:ext cx="6810375" cy="22860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3</a:t>
          </a:r>
        </a:p>
      </xdr:txBody>
    </xdr:sp>
    <xdr:clientData/>
  </xdr:twoCellAnchor>
  <xdr:twoCellAnchor>
    <xdr:from>
      <xdr:col>14</xdr:col>
      <xdr:colOff>322086</xdr:colOff>
      <xdr:row>8</xdr:row>
      <xdr:rowOff>556862</xdr:rowOff>
    </xdr:from>
    <xdr:to>
      <xdr:col>15</xdr:col>
      <xdr:colOff>796925</xdr:colOff>
      <xdr:row>9</xdr:row>
      <xdr:rowOff>115887</xdr:rowOff>
    </xdr:to>
    <xdr:sp macro="" textlink="">
      <xdr:nvSpPr>
        <xdr:cNvPr id="25" name="Rectangle: Rounded Corners 24">
          <a:extLst>
            <a:ext uri="{FF2B5EF4-FFF2-40B4-BE49-F238E27FC236}">
              <a16:creationId xmlns:a16="http://schemas.microsoft.com/office/drawing/2014/main" id="{1294C9FF-5C39-49E2-9097-EAB5BB026ECA}"/>
            </a:ext>
          </a:extLst>
        </xdr:cNvPr>
        <xdr:cNvSpPr/>
      </xdr:nvSpPr>
      <xdr:spPr>
        <a:xfrm>
          <a:off x="12825236" y="3039712"/>
          <a:ext cx="1414639" cy="20037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567101</xdr:colOff>
      <xdr:row>4</xdr:row>
      <xdr:rowOff>21167</xdr:rowOff>
    </xdr:from>
    <xdr:to>
      <xdr:col>4</xdr:col>
      <xdr:colOff>420679</xdr:colOff>
      <xdr:row>8</xdr:row>
      <xdr:rowOff>635001</xdr:rowOff>
    </xdr:to>
    <xdr:cxnSp macro="">
      <xdr:nvCxnSpPr>
        <xdr:cNvPr id="2" name="Connector: Elbow 1">
          <a:extLst>
            <a:ext uri="{FF2B5EF4-FFF2-40B4-BE49-F238E27FC236}">
              <a16:creationId xmlns:a16="http://schemas.microsoft.com/office/drawing/2014/main" id="{013AEFCD-DF67-41BD-87DE-23AC92E6A0F8}"/>
            </a:ext>
          </a:extLst>
        </xdr:cNvPr>
        <xdr:cNvCxnSpPr/>
      </xdr:nvCxnSpPr>
      <xdr:spPr>
        <a:xfrm rot="5400000" flipH="1" flipV="1">
          <a:off x="2345973" y="1550645"/>
          <a:ext cx="1401234" cy="1733178"/>
        </a:xfrm>
        <a:prstGeom prst="bentConnector3">
          <a:avLst>
            <a:gd name="adj1" fmla="val 6161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612423</xdr:colOff>
      <xdr:row>3</xdr:row>
      <xdr:rowOff>331612</xdr:rowOff>
    </xdr:from>
    <xdr:to>
      <xdr:col>13</xdr:col>
      <xdr:colOff>290686</xdr:colOff>
      <xdr:row>9</xdr:row>
      <xdr:rowOff>28223</xdr:rowOff>
    </xdr:to>
    <xdr:cxnSp macro="">
      <xdr:nvCxnSpPr>
        <xdr:cNvPr id="3" name="Connector: Elbow 2">
          <a:extLst>
            <a:ext uri="{FF2B5EF4-FFF2-40B4-BE49-F238E27FC236}">
              <a16:creationId xmlns:a16="http://schemas.microsoft.com/office/drawing/2014/main" id="{472C19B5-0CC7-43B2-B13D-9DA862CCCC51}"/>
            </a:ext>
          </a:extLst>
        </xdr:cNvPr>
        <xdr:cNvCxnSpPr/>
      </xdr:nvCxnSpPr>
      <xdr:spPr>
        <a:xfrm rot="16200000" flipH="1">
          <a:off x="11144249" y="1629836"/>
          <a:ext cx="1461911" cy="1583263"/>
        </a:xfrm>
        <a:prstGeom prst="bentConnector3">
          <a:avLst>
            <a:gd name="adj1" fmla="val 4130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743658</xdr:colOff>
      <xdr:row>3</xdr:row>
      <xdr:rowOff>335845</xdr:rowOff>
    </xdr:from>
    <xdr:to>
      <xdr:col>14</xdr:col>
      <xdr:colOff>464254</xdr:colOff>
      <xdr:row>9</xdr:row>
      <xdr:rowOff>32456</xdr:rowOff>
    </xdr:to>
    <xdr:cxnSp macro="">
      <xdr:nvCxnSpPr>
        <xdr:cNvPr id="4" name="Connector: Elbow 3">
          <a:extLst>
            <a:ext uri="{FF2B5EF4-FFF2-40B4-BE49-F238E27FC236}">
              <a16:creationId xmlns:a16="http://schemas.microsoft.com/office/drawing/2014/main" id="{78C33708-7A51-41A8-816A-937D34377BBD}"/>
            </a:ext>
          </a:extLst>
        </xdr:cNvPr>
        <xdr:cNvCxnSpPr/>
      </xdr:nvCxnSpPr>
      <xdr:spPr>
        <a:xfrm rot="16200000" flipH="1">
          <a:off x="12255500" y="1631953"/>
          <a:ext cx="1461911" cy="1587496"/>
        </a:xfrm>
        <a:prstGeom prst="bentConnector3">
          <a:avLst>
            <a:gd name="adj1" fmla="val 2681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497544</xdr:colOff>
      <xdr:row>3</xdr:row>
      <xdr:rowOff>298737</xdr:rowOff>
    </xdr:from>
    <xdr:to>
      <xdr:col>9</xdr:col>
      <xdr:colOff>539631</xdr:colOff>
      <xdr:row>8</xdr:row>
      <xdr:rowOff>618495</xdr:rowOff>
    </xdr:to>
    <xdr:cxnSp macro="">
      <xdr:nvCxnSpPr>
        <xdr:cNvPr id="5" name="Connector: Elbow 4">
          <a:extLst>
            <a:ext uri="{FF2B5EF4-FFF2-40B4-BE49-F238E27FC236}">
              <a16:creationId xmlns:a16="http://schemas.microsoft.com/office/drawing/2014/main" id="{F7D213A1-46FF-47D2-93ED-4D86760E3B34}"/>
            </a:ext>
          </a:extLst>
        </xdr:cNvPr>
        <xdr:cNvCxnSpPr/>
      </xdr:nvCxnSpPr>
      <xdr:spPr>
        <a:xfrm rot="16200000" flipV="1">
          <a:off x="7461184" y="1494847"/>
          <a:ext cx="1443708" cy="1769287"/>
        </a:xfrm>
        <a:prstGeom prst="bentConnector3">
          <a:avLst>
            <a:gd name="adj1" fmla="val 5783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681180</xdr:colOff>
      <xdr:row>5</xdr:row>
      <xdr:rowOff>42333</xdr:rowOff>
    </xdr:from>
    <xdr:to>
      <xdr:col>3</xdr:col>
      <xdr:colOff>906960</xdr:colOff>
      <xdr:row>7</xdr:row>
      <xdr:rowOff>169333</xdr:rowOff>
    </xdr:to>
    <xdr:sp macro="" textlink="">
      <xdr:nvSpPr>
        <xdr:cNvPr id="6" name="Rectangle: Rounded Corners 5">
          <a:extLst>
            <a:ext uri="{FF2B5EF4-FFF2-40B4-BE49-F238E27FC236}">
              <a16:creationId xmlns:a16="http://schemas.microsoft.com/office/drawing/2014/main" id="{BCF82885-5A75-42BB-B3AF-5C9D822CA953}"/>
            </a:ext>
          </a:extLst>
        </xdr:cNvPr>
        <xdr:cNvSpPr/>
      </xdr:nvSpPr>
      <xdr:spPr>
        <a:xfrm>
          <a:off x="2291771" y="1924242"/>
          <a:ext cx="1126325" cy="49645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Step 1 and</a:t>
          </a:r>
          <a:r>
            <a:rPr lang="en-US" sz="1000" baseline="0"/>
            <a:t>/or</a:t>
          </a:r>
          <a:r>
            <a:rPr lang="en-US" sz="1000"/>
            <a:t> User Q&amp;A</a:t>
          </a:r>
        </a:p>
      </xdr:txBody>
    </xdr:sp>
    <xdr:clientData/>
  </xdr:twoCellAnchor>
  <xdr:twoCellAnchor>
    <xdr:from>
      <xdr:col>5</xdr:col>
      <xdr:colOff>496358</xdr:colOff>
      <xdr:row>8</xdr:row>
      <xdr:rowOff>521934</xdr:rowOff>
    </xdr:from>
    <xdr:to>
      <xdr:col>8</xdr:col>
      <xdr:colOff>420688</xdr:colOff>
      <xdr:row>9</xdr:row>
      <xdr:rowOff>107596</xdr:rowOff>
    </xdr:to>
    <xdr:sp macro="" textlink="">
      <xdr:nvSpPr>
        <xdr:cNvPr id="7" name="Rectangle: Rounded Corners 6">
          <a:extLst>
            <a:ext uri="{FF2B5EF4-FFF2-40B4-BE49-F238E27FC236}">
              <a16:creationId xmlns:a16="http://schemas.microsoft.com/office/drawing/2014/main" id="{AB1191AD-05AE-4E09-A0E5-2EF7D917BB6B}"/>
            </a:ext>
          </a:extLst>
        </xdr:cNvPr>
        <xdr:cNvSpPr/>
      </xdr:nvSpPr>
      <xdr:spPr>
        <a:xfrm>
          <a:off x="5115983" y="2998434"/>
          <a:ext cx="2972330" cy="22860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1</a:t>
          </a:r>
        </a:p>
      </xdr:txBody>
    </xdr:sp>
    <xdr:clientData/>
  </xdr:twoCellAnchor>
  <xdr:twoCellAnchor>
    <xdr:from>
      <xdr:col>9</xdr:col>
      <xdr:colOff>476602</xdr:colOff>
      <xdr:row>8</xdr:row>
      <xdr:rowOff>538868</xdr:rowOff>
    </xdr:from>
    <xdr:to>
      <xdr:col>12</xdr:col>
      <xdr:colOff>508000</xdr:colOff>
      <xdr:row>9</xdr:row>
      <xdr:rowOff>112889</xdr:rowOff>
    </xdr:to>
    <xdr:sp macro="" textlink="">
      <xdr:nvSpPr>
        <xdr:cNvPr id="8" name="Rectangle: Rounded Corners 7">
          <a:extLst>
            <a:ext uri="{FF2B5EF4-FFF2-40B4-BE49-F238E27FC236}">
              <a16:creationId xmlns:a16="http://schemas.microsoft.com/office/drawing/2014/main" id="{63EDDA32-053B-4869-8945-BE9B9475C750}"/>
            </a:ext>
          </a:extLst>
        </xdr:cNvPr>
        <xdr:cNvSpPr/>
      </xdr:nvSpPr>
      <xdr:spPr>
        <a:xfrm>
          <a:off x="9006769" y="3015368"/>
          <a:ext cx="2959453" cy="216077"/>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2</a:t>
          </a:r>
        </a:p>
      </xdr:txBody>
    </xdr:sp>
    <xdr:clientData/>
  </xdr:twoCellAnchor>
  <xdr:twoCellAnchor>
    <xdr:from>
      <xdr:col>8</xdr:col>
      <xdr:colOff>435856</xdr:colOff>
      <xdr:row>0</xdr:row>
      <xdr:rowOff>281519</xdr:rowOff>
    </xdr:from>
    <xdr:to>
      <xdr:col>11</xdr:col>
      <xdr:colOff>539750</xdr:colOff>
      <xdr:row>1</xdr:row>
      <xdr:rowOff>73556</xdr:rowOff>
    </xdr:to>
    <xdr:sp macro="" textlink="">
      <xdr:nvSpPr>
        <xdr:cNvPr id="9" name="Rectangle: Rounded Corners 8">
          <a:extLst>
            <a:ext uri="{FF2B5EF4-FFF2-40B4-BE49-F238E27FC236}">
              <a16:creationId xmlns:a16="http://schemas.microsoft.com/office/drawing/2014/main" id="{F12901CF-9B4D-43FB-AC06-D5F421BF8EA6}"/>
            </a:ext>
          </a:extLst>
        </xdr:cNvPr>
        <xdr:cNvSpPr/>
      </xdr:nvSpPr>
      <xdr:spPr>
        <a:xfrm>
          <a:off x="8103481" y="281519"/>
          <a:ext cx="2913769" cy="22860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3</a:t>
          </a:r>
        </a:p>
      </xdr:txBody>
    </xdr:sp>
    <xdr:clientData/>
  </xdr:twoCellAnchor>
  <xdr:twoCellAnchor>
    <xdr:from>
      <xdr:col>13</xdr:col>
      <xdr:colOff>433436</xdr:colOff>
      <xdr:row>8</xdr:row>
      <xdr:rowOff>501827</xdr:rowOff>
    </xdr:from>
    <xdr:to>
      <xdr:col>14</xdr:col>
      <xdr:colOff>909686</xdr:colOff>
      <xdr:row>9</xdr:row>
      <xdr:rowOff>87489</xdr:rowOff>
    </xdr:to>
    <xdr:sp macro="" textlink="">
      <xdr:nvSpPr>
        <xdr:cNvPr id="10" name="Rectangle: Rounded Corners 9">
          <a:extLst>
            <a:ext uri="{FF2B5EF4-FFF2-40B4-BE49-F238E27FC236}">
              <a16:creationId xmlns:a16="http://schemas.microsoft.com/office/drawing/2014/main" id="{B0587897-E94C-46F3-94F9-C6FF14C43FE0}"/>
            </a:ext>
          </a:extLst>
        </xdr:cNvPr>
        <xdr:cNvSpPr/>
      </xdr:nvSpPr>
      <xdr:spPr>
        <a:xfrm>
          <a:off x="12804391" y="2989872"/>
          <a:ext cx="1417204" cy="22643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Step 4</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423637</xdr:colOff>
      <xdr:row>1</xdr:row>
      <xdr:rowOff>51707</xdr:rowOff>
    </xdr:from>
    <xdr:to>
      <xdr:col>1</xdr:col>
      <xdr:colOff>3524250</xdr:colOff>
      <xdr:row>1</xdr:row>
      <xdr:rowOff>1771086</xdr:rowOff>
    </xdr:to>
    <xdr:pic>
      <xdr:nvPicPr>
        <xdr:cNvPr id="2" name="Picture 1">
          <a:extLst>
            <a:ext uri="{FF2B5EF4-FFF2-40B4-BE49-F238E27FC236}">
              <a16:creationId xmlns:a16="http://schemas.microsoft.com/office/drawing/2014/main" id="{2E5058C4-42D8-8DC7-99B5-40EA70305618}"/>
            </a:ext>
          </a:extLst>
        </xdr:cNvPr>
        <xdr:cNvPicPr>
          <a:picLocks noChangeAspect="1"/>
        </xdr:cNvPicPr>
      </xdr:nvPicPr>
      <xdr:blipFill>
        <a:blip xmlns:r="http://schemas.openxmlformats.org/officeDocument/2006/relationships" r:embed="rId1"/>
        <a:stretch>
          <a:fillRect/>
        </a:stretch>
      </xdr:blipFill>
      <xdr:spPr>
        <a:xfrm>
          <a:off x="1033237" y="445407"/>
          <a:ext cx="3100613" cy="1719379"/>
        </a:xfrm>
        <a:prstGeom prst="rect">
          <a:avLst/>
        </a:prstGeom>
      </xdr:spPr>
    </xdr:pic>
    <xdr:clientData/>
  </xdr:twoCellAnchor>
  <xdr:twoCellAnchor editAs="oneCell">
    <xdr:from>
      <xdr:col>3</xdr:col>
      <xdr:colOff>78695</xdr:colOff>
      <xdr:row>2</xdr:row>
      <xdr:rowOff>346352</xdr:rowOff>
    </xdr:from>
    <xdr:to>
      <xdr:col>3</xdr:col>
      <xdr:colOff>5837308</xdr:colOff>
      <xdr:row>2</xdr:row>
      <xdr:rowOff>1874837</xdr:rowOff>
    </xdr:to>
    <xdr:pic>
      <xdr:nvPicPr>
        <xdr:cNvPr id="4" name="Picture 3">
          <a:extLst>
            <a:ext uri="{FF2B5EF4-FFF2-40B4-BE49-F238E27FC236}">
              <a16:creationId xmlns:a16="http://schemas.microsoft.com/office/drawing/2014/main" id="{FD12EEF0-C7F8-CCFE-C504-C1AC4EAD9B45}"/>
            </a:ext>
          </a:extLst>
        </xdr:cNvPr>
        <xdr:cNvPicPr>
          <a:picLocks noChangeAspect="1"/>
        </xdr:cNvPicPr>
      </xdr:nvPicPr>
      <xdr:blipFill>
        <a:blip xmlns:r="http://schemas.openxmlformats.org/officeDocument/2006/relationships" r:embed="rId2"/>
        <a:stretch>
          <a:fillRect/>
        </a:stretch>
      </xdr:blipFill>
      <xdr:spPr>
        <a:xfrm>
          <a:off x="7089095" y="2581552"/>
          <a:ext cx="5939588" cy="1528485"/>
        </a:xfrm>
        <a:prstGeom prst="rect">
          <a:avLst/>
        </a:prstGeom>
      </xdr:spPr>
    </xdr:pic>
    <xdr:clientData/>
  </xdr:twoCellAnchor>
  <xdr:twoCellAnchor editAs="oneCell">
    <xdr:from>
      <xdr:col>1</xdr:col>
      <xdr:colOff>412749</xdr:colOff>
      <xdr:row>2</xdr:row>
      <xdr:rowOff>129265</xdr:rowOff>
    </xdr:from>
    <xdr:to>
      <xdr:col>1</xdr:col>
      <xdr:colOff>3619500</xdr:colOff>
      <xdr:row>2</xdr:row>
      <xdr:rowOff>2040616</xdr:rowOff>
    </xdr:to>
    <xdr:pic>
      <xdr:nvPicPr>
        <xdr:cNvPr id="5" name="Picture 4">
          <a:extLst>
            <a:ext uri="{FF2B5EF4-FFF2-40B4-BE49-F238E27FC236}">
              <a16:creationId xmlns:a16="http://schemas.microsoft.com/office/drawing/2014/main" id="{0DC1213C-B020-A964-D0CE-85C2CD12F66F}"/>
            </a:ext>
          </a:extLst>
        </xdr:cNvPr>
        <xdr:cNvPicPr>
          <a:picLocks noChangeAspect="1"/>
        </xdr:cNvPicPr>
      </xdr:nvPicPr>
      <xdr:blipFill>
        <a:blip xmlns:r="http://schemas.openxmlformats.org/officeDocument/2006/relationships" r:embed="rId3"/>
        <a:stretch>
          <a:fillRect/>
        </a:stretch>
      </xdr:blipFill>
      <xdr:spPr>
        <a:xfrm>
          <a:off x="1023937" y="3105828"/>
          <a:ext cx="3206751" cy="1911351"/>
        </a:xfrm>
        <a:prstGeom prst="rect">
          <a:avLst/>
        </a:prstGeom>
      </xdr:spPr>
    </xdr:pic>
    <xdr:clientData/>
  </xdr:twoCellAnchor>
  <xdr:twoCellAnchor editAs="oneCell">
    <xdr:from>
      <xdr:col>1</xdr:col>
      <xdr:colOff>431297</xdr:colOff>
      <xdr:row>3</xdr:row>
      <xdr:rowOff>91722</xdr:rowOff>
    </xdr:from>
    <xdr:to>
      <xdr:col>1</xdr:col>
      <xdr:colOff>2861142</xdr:colOff>
      <xdr:row>3</xdr:row>
      <xdr:rowOff>3665864</xdr:rowOff>
    </xdr:to>
    <xdr:pic>
      <xdr:nvPicPr>
        <xdr:cNvPr id="7" name="Picture 6">
          <a:extLst>
            <a:ext uri="{FF2B5EF4-FFF2-40B4-BE49-F238E27FC236}">
              <a16:creationId xmlns:a16="http://schemas.microsoft.com/office/drawing/2014/main" id="{15D948FA-2426-C79E-D344-958522BE146D}"/>
            </a:ext>
          </a:extLst>
        </xdr:cNvPr>
        <xdr:cNvPicPr>
          <a:picLocks noChangeAspect="1"/>
        </xdr:cNvPicPr>
      </xdr:nvPicPr>
      <xdr:blipFill rotWithShape="1">
        <a:blip xmlns:r="http://schemas.openxmlformats.org/officeDocument/2006/relationships" r:embed="rId4"/>
        <a:srcRect b="5557"/>
        <a:stretch>
          <a:fillRect/>
        </a:stretch>
      </xdr:blipFill>
      <xdr:spPr>
        <a:xfrm>
          <a:off x="1040897" y="4485922"/>
          <a:ext cx="2429845" cy="35741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2EDE-98E2-40DC-8FA0-F604D0357140}">
  <dimension ref="B1:P14"/>
  <sheetViews>
    <sheetView showGridLines="0" topLeftCell="A4" zoomScale="90" zoomScaleNormal="90" workbookViewId="0">
      <selection activeCell="D11" sqref="D11"/>
    </sheetView>
  </sheetViews>
  <sheetFormatPr defaultColWidth="8.7109375" defaultRowHeight="14.45"/>
  <cols>
    <col min="1" max="1" width="1.85546875" style="3" customWidth="1"/>
    <col min="2" max="2" width="12.85546875" style="3" customWidth="1"/>
    <col min="3" max="3" width="10.28515625" style="3" customWidth="1"/>
    <col min="4" max="4" width="12.85546875" style="5" customWidth="1"/>
    <col min="5" max="5" width="14" style="5" customWidth="1"/>
    <col min="6" max="6" width="16.140625" style="3" customWidth="1"/>
    <col min="7" max="7" width="14.85546875" style="3" customWidth="1"/>
    <col min="8" max="8" width="16.42578125" style="3" bestFit="1" customWidth="1"/>
    <col min="9" max="10" width="12.42578125" style="3" customWidth="1"/>
    <col min="11" max="11" width="13.85546875" style="3" customWidth="1"/>
    <col min="12" max="13" width="14" style="3" customWidth="1"/>
    <col min="14" max="14" width="13.28515625" style="3" customWidth="1"/>
    <col min="15" max="15" width="13.42578125" style="3" customWidth="1"/>
    <col min="16" max="16" width="16.140625" style="3" customWidth="1"/>
    <col min="17" max="16384" width="8.7109375" style="3"/>
  </cols>
  <sheetData>
    <row r="1" spans="2:16" ht="34.5" customHeight="1">
      <c r="B1" s="40" t="s">
        <v>0</v>
      </c>
      <c r="C1" s="40"/>
      <c r="D1" s="40"/>
      <c r="E1" s="40"/>
    </row>
    <row r="2" spans="2:16" ht="29.1" customHeight="1">
      <c r="C2" s="37" t="s">
        <v>1</v>
      </c>
      <c r="D2" s="37"/>
      <c r="E2" s="37"/>
      <c r="F2" s="39" t="s">
        <v>2</v>
      </c>
      <c r="G2" s="39"/>
      <c r="H2" s="39"/>
      <c r="I2" s="41" t="s">
        <v>3</v>
      </c>
      <c r="J2" s="38"/>
      <c r="K2" s="38"/>
      <c r="L2" s="38"/>
      <c r="M2" s="38"/>
      <c r="N2" s="38"/>
    </row>
    <row r="3" spans="2:16" ht="43.5">
      <c r="B3" s="6" t="s">
        <v>4</v>
      </c>
      <c r="C3" s="7" t="s">
        <v>5</v>
      </c>
      <c r="D3" s="7" t="s">
        <v>6</v>
      </c>
      <c r="E3" s="7" t="s">
        <v>7</v>
      </c>
      <c r="F3" s="23" t="s">
        <v>8</v>
      </c>
      <c r="G3" s="23" t="s">
        <v>9</v>
      </c>
      <c r="H3" s="23" t="s">
        <v>10</v>
      </c>
      <c r="I3" s="9" t="s">
        <v>11</v>
      </c>
      <c r="J3" s="9" t="s">
        <v>12</v>
      </c>
      <c r="K3" s="9" t="s">
        <v>13</v>
      </c>
      <c r="L3" s="9" t="s">
        <v>14</v>
      </c>
      <c r="M3" s="9" t="s">
        <v>15</v>
      </c>
      <c r="N3" s="9" t="s">
        <v>16</v>
      </c>
    </row>
    <row r="4" spans="2:16" ht="26.45" customHeight="1">
      <c r="B4" s="12">
        <v>50000000</v>
      </c>
      <c r="C4" s="4">
        <v>0.04</v>
      </c>
      <c r="D4" s="4">
        <v>0.1</v>
      </c>
      <c r="E4" s="4">
        <v>0.8</v>
      </c>
      <c r="F4" s="14">
        <f>AVERAGE(D11:D13)</f>
        <v>2.5</v>
      </c>
      <c r="G4" s="15">
        <f>C4+(4-F4)*((D4-C4)/4)</f>
        <v>6.25E-2</v>
      </c>
      <c r="H4" s="15">
        <f>G4+((D4-C4)/4)</f>
        <v>7.7499999999999999E-2</v>
      </c>
      <c r="I4" s="16">
        <f>AVERAGE(K11:K13)/10</f>
        <v>0.5673611111111112</v>
      </c>
      <c r="J4" s="14" t="str">
        <f>IF(I4&lt;0.5,"Low",IF(I4&lt;0.75,"Medium","High"))</f>
        <v>Medium</v>
      </c>
      <c r="K4" s="21">
        <f>G4-(1-I4)*2/100</f>
        <v>5.3847222222222227E-2</v>
      </c>
      <c r="L4" s="21">
        <f>H4+(1-I4)*2/100</f>
        <v>8.6152777777777773E-2</v>
      </c>
      <c r="M4" s="22">
        <f>K4*B4*E4</f>
        <v>2153888.8888888895</v>
      </c>
      <c r="N4" s="22">
        <f>L4*B4*E4</f>
        <v>3446111.1111111115</v>
      </c>
    </row>
    <row r="8" spans="2:16" ht="18.600000000000001" customHeight="1">
      <c r="B8" s="40" t="s">
        <v>17</v>
      </c>
      <c r="C8" s="40"/>
      <c r="D8" s="40"/>
      <c r="E8" s="40"/>
    </row>
    <row r="9" spans="2:16" ht="50.45" customHeight="1">
      <c r="E9" s="37" t="s">
        <v>18</v>
      </c>
      <c r="F9" s="37"/>
      <c r="H9" s="38" t="s">
        <v>19</v>
      </c>
      <c r="I9" s="38"/>
      <c r="J9" s="38"/>
      <c r="M9" s="39" t="s">
        <v>20</v>
      </c>
      <c r="N9" s="39"/>
    </row>
    <row r="10" spans="2:16" ht="43.5">
      <c r="B10" s="6" t="s">
        <v>21</v>
      </c>
      <c r="C10" s="6" t="s">
        <v>22</v>
      </c>
      <c r="D10" s="23" t="s">
        <v>23</v>
      </c>
      <c r="E10" s="1" t="s">
        <v>24</v>
      </c>
      <c r="F10" s="1" t="s">
        <v>25</v>
      </c>
      <c r="G10" s="10" t="s">
        <v>26</v>
      </c>
      <c r="H10" s="11" t="s">
        <v>27</v>
      </c>
      <c r="I10" s="11" t="s">
        <v>28</v>
      </c>
      <c r="J10" s="11" t="s">
        <v>29</v>
      </c>
      <c r="K10" s="10" t="s">
        <v>30</v>
      </c>
      <c r="L10" s="10" t="s">
        <v>31</v>
      </c>
      <c r="M10" s="23" t="s">
        <v>32</v>
      </c>
      <c r="N10" s="23" t="s">
        <v>33</v>
      </c>
      <c r="O10" s="23" t="s">
        <v>34</v>
      </c>
      <c r="P10" s="23" t="s">
        <v>35</v>
      </c>
    </row>
    <row r="11" spans="2:16" ht="29.1">
      <c r="B11" s="2" t="s">
        <v>36</v>
      </c>
      <c r="C11" s="2" t="s">
        <v>37</v>
      </c>
      <c r="D11" s="14">
        <v>3</v>
      </c>
      <c r="E11" s="4">
        <v>0</v>
      </c>
      <c r="F11" s="4">
        <v>0.01</v>
      </c>
      <c r="G11" s="20">
        <v>5</v>
      </c>
      <c r="H11" s="14">
        <v>1</v>
      </c>
      <c r="I11" s="14">
        <v>2</v>
      </c>
      <c r="J11" s="14">
        <v>2</v>
      </c>
      <c r="K11" s="18">
        <f>(0.25*H11+0.625*I11+0.875*J11)*10/G11</f>
        <v>6.5</v>
      </c>
      <c r="L11" s="14" t="str">
        <f>IF(K11&lt;5,"Low",IF(K11&lt;7.5,"Medium","High"))</f>
        <v>Medium</v>
      </c>
      <c r="M11" s="15">
        <f>E11+(4-D11)*((F11-E11)/4)</f>
        <v>2.5000000000000001E-3</v>
      </c>
      <c r="N11" s="19">
        <f>M11/SUM($M$11:$M$13)</f>
        <v>5.128205128205128E-2</v>
      </c>
      <c r="O11" s="17">
        <f>N11*$M$4</f>
        <v>110455.84045584049</v>
      </c>
      <c r="P11" s="17">
        <f>N11*$N$4</f>
        <v>176723.64672364673</v>
      </c>
    </row>
    <row r="12" spans="2:16" ht="29.1">
      <c r="B12" s="2" t="s">
        <v>36</v>
      </c>
      <c r="C12" s="2" t="s">
        <v>38</v>
      </c>
      <c r="D12" s="14">
        <v>2.5</v>
      </c>
      <c r="E12" s="4">
        <v>0.02</v>
      </c>
      <c r="F12" s="4">
        <v>0.05</v>
      </c>
      <c r="G12" s="20">
        <v>6</v>
      </c>
      <c r="H12" s="14">
        <v>2</v>
      </c>
      <c r="I12" s="14">
        <v>1</v>
      </c>
      <c r="J12" s="14">
        <v>1</v>
      </c>
      <c r="K12" s="18">
        <f t="shared" ref="K12:K13" si="0">(0.25*H12+0.625*I12+0.875*J12)*10/G12</f>
        <v>3.3333333333333335</v>
      </c>
      <c r="L12" s="14" t="str">
        <f t="shared" ref="L12:L13" si="1">IF(K12&lt;5,"Low",IF(K12&lt;7.5,"Medium","High"))</f>
        <v>Low</v>
      </c>
      <c r="M12" s="15">
        <f>E12+(4-D12)*((F12-E12)/4)</f>
        <v>3.125E-2</v>
      </c>
      <c r="N12" s="19">
        <f>M12/SUM($M$11:$M$13)</f>
        <v>0.64102564102564097</v>
      </c>
      <c r="O12" s="17">
        <f t="shared" ref="O12:O13" si="2">N12*$M$4</f>
        <v>1380698.0056980059</v>
      </c>
      <c r="P12" s="17">
        <f t="shared" ref="P12:P13" si="3">N12*$N$4</f>
        <v>2209045.5840455843</v>
      </c>
    </row>
    <row r="13" spans="2:16" ht="27.6" customHeight="1">
      <c r="B13" s="2" t="s">
        <v>39</v>
      </c>
      <c r="C13" s="2" t="s">
        <v>40</v>
      </c>
      <c r="D13" s="14">
        <v>2</v>
      </c>
      <c r="E13" s="4">
        <v>0.01</v>
      </c>
      <c r="F13" s="4">
        <v>0.02</v>
      </c>
      <c r="G13" s="20">
        <v>4</v>
      </c>
      <c r="H13" s="14">
        <v>3</v>
      </c>
      <c r="I13" s="14">
        <v>2</v>
      </c>
      <c r="J13" s="14">
        <v>1</v>
      </c>
      <c r="K13" s="18">
        <f t="shared" si="0"/>
        <v>7.1875</v>
      </c>
      <c r="L13" s="14" t="str">
        <f t="shared" si="1"/>
        <v>Medium</v>
      </c>
      <c r="M13" s="15">
        <f>E13+(4-D13)*((F13-E13)/4)</f>
        <v>1.4999999999999999E-2</v>
      </c>
      <c r="N13" s="19">
        <f>M13/SUM($M$11:$M$13)</f>
        <v>0.30769230769230765</v>
      </c>
      <c r="O13" s="17">
        <f t="shared" si="2"/>
        <v>662735.04273504287</v>
      </c>
      <c r="P13" s="17">
        <f t="shared" si="3"/>
        <v>1060341.8803418803</v>
      </c>
    </row>
    <row r="14" spans="2:16">
      <c r="O14" s="13">
        <f>SUM(O11:O13)</f>
        <v>2153888.8888888895</v>
      </c>
      <c r="P14" s="13">
        <f>SUM(P11:P13)</f>
        <v>3446111.111111111</v>
      </c>
    </row>
  </sheetData>
  <mergeCells count="8">
    <mergeCell ref="E9:F9"/>
    <mergeCell ref="H9:J9"/>
    <mergeCell ref="M9:N9"/>
    <mergeCell ref="B1:E1"/>
    <mergeCell ref="B8:E8"/>
    <mergeCell ref="C2:E2"/>
    <mergeCell ref="F2:H2"/>
    <mergeCell ref="I2:N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8F91-4CFD-4E3B-B969-14AE2641F19E}">
  <dimension ref="A1:O14"/>
  <sheetViews>
    <sheetView showGridLines="0" tabSelected="1" topLeftCell="A3" zoomScale="90" zoomScaleNormal="90" workbookViewId="0">
      <selection activeCell="C12" sqref="C12"/>
    </sheetView>
  </sheetViews>
  <sheetFormatPr defaultColWidth="8.7109375" defaultRowHeight="14.45"/>
  <cols>
    <col min="1" max="1" width="12.85546875" style="3" customWidth="1"/>
    <col min="2" max="2" width="10.28515625" style="3" customWidth="1"/>
    <col min="3" max="3" width="12.85546875" style="5" customWidth="1"/>
    <col min="4" max="4" width="14" style="5" customWidth="1"/>
    <col min="5" max="5" width="16.140625" style="3" customWidth="1"/>
    <col min="6" max="7" width="14.85546875" style="3" customWidth="1"/>
    <col min="8" max="9" width="12.42578125" style="3" customWidth="1"/>
    <col min="10" max="10" width="13.85546875" style="3" customWidth="1"/>
    <col min="11" max="12" width="14" style="3" customWidth="1"/>
    <col min="13" max="13" width="13.28515625" style="3" customWidth="1"/>
    <col min="14" max="14" width="13.42578125" style="3" customWidth="1"/>
    <col min="15" max="15" width="16.140625" style="3" customWidth="1"/>
    <col min="16" max="16384" width="8.7109375" style="3"/>
  </cols>
  <sheetData>
    <row r="1" spans="1:15" ht="34.5" customHeight="1">
      <c r="A1" s="40" t="s">
        <v>0</v>
      </c>
      <c r="B1" s="40"/>
      <c r="C1" s="40"/>
      <c r="D1" s="40"/>
    </row>
    <row r="2" spans="1:15" ht="29.1" customHeight="1">
      <c r="B2" s="37" t="s">
        <v>1</v>
      </c>
      <c r="C2" s="37"/>
      <c r="D2" s="37"/>
      <c r="E2" s="42" t="s">
        <v>2</v>
      </c>
      <c r="F2" s="42"/>
      <c r="G2" s="42"/>
      <c r="H2" s="41" t="s">
        <v>3</v>
      </c>
      <c r="I2" s="38"/>
      <c r="J2" s="38"/>
      <c r="K2" s="38"/>
      <c r="L2" s="38"/>
      <c r="M2" s="38"/>
    </row>
    <row r="3" spans="1:15" ht="43.5">
      <c r="A3" s="6" t="s">
        <v>4</v>
      </c>
      <c r="B3" s="7" t="s">
        <v>5</v>
      </c>
      <c r="C3" s="7" t="s">
        <v>6</v>
      </c>
      <c r="D3" s="7" t="s">
        <v>7</v>
      </c>
      <c r="E3" s="8" t="s">
        <v>8</v>
      </c>
      <c r="F3" s="8" t="s">
        <v>9</v>
      </c>
      <c r="G3" s="8" t="s">
        <v>10</v>
      </c>
      <c r="H3" s="9" t="s">
        <v>11</v>
      </c>
      <c r="I3" s="9" t="s">
        <v>12</v>
      </c>
      <c r="J3" s="9" t="s">
        <v>13</v>
      </c>
      <c r="K3" s="9" t="s">
        <v>14</v>
      </c>
      <c r="L3" s="9" t="s">
        <v>15</v>
      </c>
      <c r="M3" s="9" t="s">
        <v>16</v>
      </c>
    </row>
    <row r="4" spans="1:15" ht="26.45" customHeight="1">
      <c r="A4" s="12">
        <v>50000000</v>
      </c>
      <c r="B4" s="4">
        <v>0.04</v>
      </c>
      <c r="C4" s="4">
        <v>0.1</v>
      </c>
      <c r="D4" s="4">
        <v>0.8</v>
      </c>
      <c r="E4" s="19">
        <f>AVERAGE(C11:C13)</f>
        <v>3</v>
      </c>
      <c r="F4" s="15">
        <f>B4+(4-E4)*((C4-B4)/4)</f>
        <v>5.5E-2</v>
      </c>
      <c r="G4" s="15">
        <f>F4+((C4-B4)/4)</f>
        <v>7.0000000000000007E-2</v>
      </c>
      <c r="H4" s="16">
        <f>SUM(J11:J13)/30</f>
        <v>0.64375000000000004</v>
      </c>
      <c r="I4" s="14" t="str">
        <f>IF(H4&lt;0.5,"Low",IF(H4&lt;0.75,"Medium","High"))</f>
        <v>Medium</v>
      </c>
      <c r="J4" s="15">
        <f>IF(F4-(1-H4)*2/100&lt;B4,B4,F4-(1-H4)*2/100)</f>
        <v>4.7875000000000001E-2</v>
      </c>
      <c r="K4" s="15">
        <f>IF(G4+(1-H4)*2/100&gt;C4,C4,G4+(1-H4)*2/100)</f>
        <v>7.7124999999999999E-2</v>
      </c>
      <c r="L4" s="17">
        <f>J4*A4*D4</f>
        <v>1915000</v>
      </c>
      <c r="M4" s="17">
        <f>K4*A4*D4</f>
        <v>3085000</v>
      </c>
    </row>
    <row r="8" spans="1:15" ht="18.600000000000001" customHeight="1">
      <c r="A8" s="40" t="s">
        <v>17</v>
      </c>
      <c r="B8" s="40"/>
      <c r="C8" s="40"/>
      <c r="D8" s="40"/>
    </row>
    <row r="9" spans="1:15" ht="50.45" customHeight="1">
      <c r="D9" s="37" t="s">
        <v>18</v>
      </c>
      <c r="E9" s="37"/>
      <c r="G9" s="38" t="s">
        <v>19</v>
      </c>
      <c r="H9" s="38"/>
      <c r="I9" s="38"/>
      <c r="L9" s="42" t="s">
        <v>20</v>
      </c>
      <c r="M9" s="42"/>
    </row>
    <row r="10" spans="1:15" ht="43.5">
      <c r="A10" s="6" t="s">
        <v>21</v>
      </c>
      <c r="B10" s="6" t="s">
        <v>22</v>
      </c>
      <c r="C10" s="8" t="s">
        <v>23</v>
      </c>
      <c r="D10" s="1" t="s">
        <v>24</v>
      </c>
      <c r="E10" s="1" t="s">
        <v>25</v>
      </c>
      <c r="F10" s="10" t="s">
        <v>26</v>
      </c>
      <c r="G10" s="11" t="s">
        <v>27</v>
      </c>
      <c r="H10" s="11" t="s">
        <v>28</v>
      </c>
      <c r="I10" s="11" t="s">
        <v>29</v>
      </c>
      <c r="J10" s="10" t="s">
        <v>30</v>
      </c>
      <c r="K10" s="10" t="s">
        <v>31</v>
      </c>
      <c r="L10" s="8" t="s">
        <v>32</v>
      </c>
      <c r="M10" s="8" t="s">
        <v>33</v>
      </c>
      <c r="N10" s="8" t="s">
        <v>34</v>
      </c>
      <c r="O10" s="8" t="s">
        <v>35</v>
      </c>
    </row>
    <row r="11" spans="1:15" ht="29.25">
      <c r="A11" s="2" t="s">
        <v>36</v>
      </c>
      <c r="B11" s="2" t="s">
        <v>37</v>
      </c>
      <c r="C11" s="14">
        <v>1</v>
      </c>
      <c r="D11" s="4">
        <v>0</v>
      </c>
      <c r="E11" s="4">
        <v>0.01</v>
      </c>
      <c r="F11" s="20">
        <v>5</v>
      </c>
      <c r="G11" s="14">
        <v>1</v>
      </c>
      <c r="H11" s="14">
        <v>2</v>
      </c>
      <c r="I11" s="14">
        <v>2</v>
      </c>
      <c r="J11" s="18">
        <f>(0.25*G11+0.625*H11+0.875*I11)*10/F11</f>
        <v>6.5</v>
      </c>
      <c r="K11" s="14" t="str">
        <f>IF(J11&lt;5,"Low",IF(J11&lt;7.5,"Medium","High"))</f>
        <v>Medium</v>
      </c>
      <c r="L11" s="15">
        <f>D11+(4-C11)*((E11-D11)/4)</f>
        <v>7.4999999999999997E-3</v>
      </c>
      <c r="M11" s="19">
        <f>L11/SUM($L$11:$L$13)</f>
        <v>0.15789473684210525</v>
      </c>
      <c r="N11" s="17">
        <f>M11*$L$4</f>
        <v>302368.42105263157</v>
      </c>
      <c r="O11" s="17">
        <f>M11*$M$4</f>
        <v>487105.26315789472</v>
      </c>
    </row>
    <row r="12" spans="1:15" ht="29.1">
      <c r="A12" s="2" t="s">
        <v>36</v>
      </c>
      <c r="B12" s="2" t="s">
        <v>38</v>
      </c>
      <c r="C12" s="14">
        <v>4</v>
      </c>
      <c r="D12" s="4">
        <v>0.02</v>
      </c>
      <c r="E12" s="4">
        <v>0.04</v>
      </c>
      <c r="F12" s="20">
        <v>6</v>
      </c>
      <c r="G12" s="14"/>
      <c r="H12" s="14">
        <v>3</v>
      </c>
      <c r="I12" s="14">
        <v>3</v>
      </c>
      <c r="J12" s="18">
        <f t="shared" ref="J12:J13" si="0">(0.25*G12+0.625*H12+0.875*I12)*10/F12</f>
        <v>7.5</v>
      </c>
      <c r="K12" s="14" t="str">
        <f t="shared" ref="K12:K13" si="1">IF(J12&lt;5,"Low",IF(J12&lt;7.5,"Medium","High"))</f>
        <v>High</v>
      </c>
      <c r="L12" s="15">
        <f>D12+(4-C12)*((E12-D12)/4)</f>
        <v>0.02</v>
      </c>
      <c r="M12" s="19">
        <f>L12/SUM($L$11:$L$13)</f>
        <v>0.42105263157894735</v>
      </c>
      <c r="N12" s="17">
        <f t="shared" ref="N12:N13" si="2">M12*$L$4</f>
        <v>806315.78947368416</v>
      </c>
      <c r="O12" s="17">
        <f t="shared" ref="O12:O13" si="3">M12*$M$4</f>
        <v>1298947.3684210526</v>
      </c>
    </row>
    <row r="13" spans="1:15" ht="27.6" customHeight="1">
      <c r="A13" s="2" t="s">
        <v>39</v>
      </c>
      <c r="B13" s="2" t="s">
        <v>40</v>
      </c>
      <c r="C13" s="14">
        <v>4</v>
      </c>
      <c r="D13" s="4">
        <v>0.02</v>
      </c>
      <c r="E13" s="4">
        <v>0.05</v>
      </c>
      <c r="F13" s="20">
        <v>4</v>
      </c>
      <c r="G13" s="14"/>
      <c r="H13" s="14">
        <v>2</v>
      </c>
      <c r="I13" s="14">
        <v>1</v>
      </c>
      <c r="J13" s="18">
        <f t="shared" si="0"/>
        <v>5.3125</v>
      </c>
      <c r="K13" s="14" t="str">
        <f t="shared" si="1"/>
        <v>Medium</v>
      </c>
      <c r="L13" s="15">
        <f>D13+(4-C13)*((E13-D13)/4)</f>
        <v>0.02</v>
      </c>
      <c r="M13" s="19">
        <f>L13/SUM($L$11:$L$13)</f>
        <v>0.42105263157894735</v>
      </c>
      <c r="N13" s="17">
        <f t="shared" si="2"/>
        <v>806315.78947368416</v>
      </c>
      <c r="O13" s="17">
        <f t="shared" si="3"/>
        <v>1298947.3684210526</v>
      </c>
    </row>
    <row r="14" spans="1:15">
      <c r="N14" s="13">
        <f>SUM(N11:N13)</f>
        <v>1915000</v>
      </c>
      <c r="O14" s="13">
        <f>SUM(O11:O13)</f>
        <v>3085000</v>
      </c>
    </row>
  </sheetData>
  <mergeCells count="8">
    <mergeCell ref="D9:E9"/>
    <mergeCell ref="G9:I9"/>
    <mergeCell ref="L9:M9"/>
    <mergeCell ref="A1:D1"/>
    <mergeCell ref="B2:D2"/>
    <mergeCell ref="E2:G2"/>
    <mergeCell ref="H2:M2"/>
    <mergeCell ref="A8:D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044C-552F-4592-A502-15AFE2F47974}">
  <dimension ref="A1:D4"/>
  <sheetViews>
    <sheetView showGridLines="0" zoomScaleNormal="100" workbookViewId="0">
      <pane ySplit="1" topLeftCell="A4" activePane="bottomLeft" state="frozen"/>
      <selection pane="bottomLeft" activeCell="D4" sqref="D4"/>
    </sheetView>
  </sheetViews>
  <sheetFormatPr defaultColWidth="8.7109375" defaultRowHeight="14.45"/>
  <cols>
    <col min="1" max="1" width="8.7109375" style="28"/>
    <col min="2" max="2" width="59.85546875" style="24" customWidth="1"/>
    <col min="3" max="3" width="31.7109375" style="3" customWidth="1"/>
    <col min="4" max="4" width="87.5703125" style="24" customWidth="1"/>
    <col min="5" max="16384" width="8.7109375" style="24"/>
  </cols>
  <sheetData>
    <row r="1" spans="1:4" ht="30.95" customHeight="1">
      <c r="A1" s="26" t="s">
        <v>41</v>
      </c>
      <c r="B1" s="26" t="s">
        <v>42</v>
      </c>
      <c r="C1" s="27" t="s">
        <v>43</v>
      </c>
      <c r="D1" s="26" t="s">
        <v>44</v>
      </c>
    </row>
    <row r="2" spans="1:4" ht="144.94999999999999">
      <c r="A2" s="29" t="s">
        <v>45</v>
      </c>
      <c r="B2" s="30"/>
      <c r="C2" s="2" t="s">
        <v>46</v>
      </c>
      <c r="D2" s="25" t="s">
        <v>47</v>
      </c>
    </row>
    <row r="3" spans="1:4" ht="170.1" customHeight="1">
      <c r="A3" s="29" t="s">
        <v>48</v>
      </c>
      <c r="B3" s="30"/>
      <c r="C3" s="2" t="s">
        <v>49</v>
      </c>
      <c r="D3" s="25"/>
    </row>
    <row r="4" spans="1:4" ht="309.95" customHeight="1">
      <c r="A4" s="29" t="s">
        <v>50</v>
      </c>
      <c r="B4" s="30"/>
      <c r="C4" s="2" t="s">
        <v>51</v>
      </c>
      <c r="D4" s="25" t="s">
        <v>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4EB7-B42D-4971-8E85-FCFC376813D7}">
  <dimension ref="A1:F6"/>
  <sheetViews>
    <sheetView workbookViewId="0">
      <selection activeCell="B2" sqref="B2"/>
    </sheetView>
  </sheetViews>
  <sheetFormatPr defaultColWidth="8.7109375" defaultRowHeight="14.45"/>
  <cols>
    <col min="1" max="1" width="8.7109375" style="31"/>
    <col min="2" max="2" width="14.28515625" style="32" bestFit="1" customWidth="1"/>
    <col min="3" max="3" width="10.42578125" style="32" bestFit="1" customWidth="1"/>
    <col min="4" max="4" width="11.140625" style="32" bestFit="1" customWidth="1"/>
    <col min="5" max="5" width="15.140625" style="32" bestFit="1" customWidth="1"/>
    <col min="6" max="6" width="17.42578125" style="32" bestFit="1" customWidth="1"/>
    <col min="7" max="16384" width="8.7109375" style="32"/>
  </cols>
  <sheetData>
    <row r="1" spans="1:6" s="31" customFormat="1">
      <c r="A1" s="35" t="s">
        <v>41</v>
      </c>
      <c r="B1" s="35" t="s">
        <v>53</v>
      </c>
      <c r="C1" s="35" t="s">
        <v>54</v>
      </c>
      <c r="D1" s="35" t="s">
        <v>55</v>
      </c>
      <c r="E1" s="35" t="s">
        <v>56</v>
      </c>
      <c r="F1" s="35" t="s">
        <v>57</v>
      </c>
    </row>
    <row r="2" spans="1:6">
      <c r="A2" s="33">
        <v>1</v>
      </c>
      <c r="B2" s="34"/>
      <c r="C2" s="34"/>
      <c r="D2" s="34"/>
      <c r="E2" s="34"/>
      <c r="F2" s="34"/>
    </row>
    <row r="3" spans="1:6">
      <c r="A3" s="33">
        <v>2</v>
      </c>
      <c r="B3" s="34"/>
      <c r="C3" s="34"/>
      <c r="D3" s="34"/>
      <c r="E3" s="34"/>
      <c r="F3" s="34"/>
    </row>
    <row r="4" spans="1:6">
      <c r="A4" s="33">
        <v>3</v>
      </c>
      <c r="B4" s="34"/>
      <c r="C4" s="34"/>
      <c r="D4" s="34"/>
      <c r="E4" s="34"/>
      <c r="F4" s="34"/>
    </row>
    <row r="5" spans="1:6">
      <c r="A5" s="33">
        <v>4</v>
      </c>
      <c r="B5" s="34"/>
      <c r="C5" s="34"/>
      <c r="D5" s="34"/>
      <c r="E5" s="34"/>
      <c r="F5" s="34"/>
    </row>
    <row r="6" spans="1:6">
      <c r="A6" s="33">
        <v>5</v>
      </c>
      <c r="B6" s="34"/>
      <c r="C6" s="34"/>
      <c r="D6" s="34"/>
      <c r="E6" s="34"/>
      <c r="F6"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8354-7F61-4747-831B-AEEBB121B793}">
  <dimension ref="A2:C2"/>
  <sheetViews>
    <sheetView workbookViewId="0">
      <selection activeCell="C2" sqref="C2"/>
    </sheetView>
  </sheetViews>
  <sheetFormatPr defaultRowHeight="14.45"/>
  <cols>
    <col min="1" max="1" width="9.85546875" bestFit="1" customWidth="1"/>
    <col min="3" max="3" width="11.42578125" bestFit="1" customWidth="1"/>
  </cols>
  <sheetData>
    <row r="2" spans="1:3">
      <c r="A2" s="36" t="s">
        <v>58</v>
      </c>
      <c r="C2" s="36"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7110A605B28E428FEE630B6708F95F" ma:contentTypeVersion="11" ma:contentTypeDescription="Create a new document." ma:contentTypeScope="" ma:versionID="dcfda79e09318fdf9355f7a40a1bb38b">
  <xsd:schema xmlns:xsd="http://www.w3.org/2001/XMLSchema" xmlns:xs="http://www.w3.org/2001/XMLSchema" xmlns:p="http://schemas.microsoft.com/office/2006/metadata/properties" xmlns:ns2="5c2cc4ea-a0c0-4cb2-a403-2898359e7951" xmlns:ns3="3c313d8d-da46-45d3-8905-e4344bb6bb46" targetNamespace="http://schemas.microsoft.com/office/2006/metadata/properties" ma:root="true" ma:fieldsID="45b7f3320dbe7f0cd5899e1942368d9b" ns2:_="" ns3:_="">
    <xsd:import namespace="5c2cc4ea-a0c0-4cb2-a403-2898359e7951"/>
    <xsd:import namespace="3c313d8d-da46-45d3-8905-e4344bb6bb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cc4ea-a0c0-4cb2-a403-2898359e7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2f60a05-c5b3-4718-8cf8-7242ab8943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313d8d-da46-45d3-8905-e4344bb6bb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ae35186-07c3-41dd-ba97-c0d7bedee5e4}" ma:internalName="TaxCatchAll" ma:showField="CatchAllData" ma:web="3c313d8d-da46-45d3-8905-e4344bb6b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2cc4ea-a0c0-4cb2-a403-2898359e7951">
      <Terms xmlns="http://schemas.microsoft.com/office/infopath/2007/PartnerControls"/>
    </lcf76f155ced4ddcb4097134ff3c332f>
    <TaxCatchAll xmlns="3c313d8d-da46-45d3-8905-e4344bb6bb46" xsi:nil="true"/>
  </documentManagement>
</p:properties>
</file>

<file path=customXml/itemProps1.xml><?xml version="1.0" encoding="utf-8"?>
<ds:datastoreItem xmlns:ds="http://schemas.openxmlformats.org/officeDocument/2006/customXml" ds:itemID="{30982E6C-4127-4D31-B5FD-A53C598EAC0D}"/>
</file>

<file path=customXml/itemProps2.xml><?xml version="1.0" encoding="utf-8"?>
<ds:datastoreItem xmlns:ds="http://schemas.openxmlformats.org/officeDocument/2006/customXml" ds:itemID="{7AD85CD0-9700-48DA-A5F9-E5E39F44650B}"/>
</file>

<file path=customXml/itemProps3.xml><?xml version="1.0" encoding="utf-8"?>
<ds:datastoreItem xmlns:ds="http://schemas.openxmlformats.org/officeDocument/2006/customXml" ds:itemID="{9951456D-C9A1-40BE-95D7-14684DDB0D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Anshuman</dc:creator>
  <cp:keywords/>
  <dc:description/>
  <cp:lastModifiedBy>Sharmila Gupta</cp:lastModifiedBy>
  <cp:revision/>
  <dcterms:created xsi:type="dcterms:W3CDTF">2025-09-15T09:14:47Z</dcterms:created>
  <dcterms:modified xsi:type="dcterms:W3CDTF">2026-01-21T10:27:13Z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2025-09-15T12:21:07Z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6f291d6c-982e-4a63-b388-3d84b475a3a4</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y fmtid="{D5CDD505-2E9C-101B-9397-08002B2CF9AE}" pid="10" name="ContentTypeId">
    <vt:lpwstr>0x010100CF7110A605B28E428FEE630B6708F95F</vt:lpwstr>
  </property>
  <property fmtid="{D5CDD505-2E9C-101B-9397-08002B2CF9AE}" pid="11" name="MediaServiceImageTags">
    <vt:lpwstr/>
  </property>
</Properties>
</file>